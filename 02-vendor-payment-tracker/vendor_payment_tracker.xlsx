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 Program\dashboard-tools-10-ap-and-ar\02-vendor-payment-tracker\"/>
    </mc:Choice>
  </mc:AlternateContent>
  <xr:revisionPtr revIDLastSave="0" documentId="13_ncr:1_{289D25F4-91E5-45BF-9702-CA3EAF139C13}" xr6:coauthVersionLast="47" xr6:coauthVersionMax="47" xr10:uidLastSave="{00000000-0000-0000-0000-000000000000}"/>
  <bookViews>
    <workbookView xWindow="585" yWindow="165" windowWidth="21600" windowHeight="11295" xr2:uid="{1A639DB1-E4CB-4E6F-837B-64A72A8D93E8}"/>
  </bookViews>
  <sheets>
    <sheet name="Dashboard" sheetId="2" r:id="rId1"/>
    <sheet name="Data" sheetId="1" r:id="rId2"/>
  </sheets>
  <definedNames>
    <definedName name="SegmentaciónDeDatos_payment_status">#N/A</definedName>
    <definedName name="SegmentaciónDeDatos_vendor_category">#N/A</definedName>
  </definedNames>
  <calcPr calcId="191029"/>
  <pivotCaches>
    <pivotCache cacheId="0" r:id="rId3"/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F5" i="2"/>
  <c r="J5" i="2"/>
  <c r="N5" i="2"/>
</calcChain>
</file>

<file path=xl/sharedStrings.xml><?xml version="1.0" encoding="utf-8"?>
<sst xmlns="http://schemas.openxmlformats.org/spreadsheetml/2006/main" count="4258" uniqueCount="791">
  <si>
    <t>vendor_id</t>
  </si>
  <si>
    <t>vendor_name</t>
  </si>
  <si>
    <t>vendor_category</t>
  </si>
  <si>
    <t>region</t>
  </si>
  <si>
    <t>invoice_id</t>
  </si>
  <si>
    <t>invoice_date</t>
  </si>
  <si>
    <t>due_date</t>
  </si>
  <si>
    <t>payment_terms</t>
  </si>
  <si>
    <t>invoice_amount</t>
  </si>
  <si>
    <t>paid_amount</t>
  </si>
  <si>
    <t>outstanding_balance</t>
  </si>
  <si>
    <t>payment_date</t>
  </si>
  <si>
    <t>days_outstanding</t>
  </si>
  <si>
    <t>days_overdue</t>
  </si>
  <si>
    <t>payment_status</t>
  </si>
  <si>
    <t>discount_rate</t>
  </si>
  <si>
    <t>discount_captured</t>
  </si>
  <si>
    <t>VND-001</t>
  </si>
  <si>
    <t>Acero Nacional SA</t>
  </si>
  <si>
    <t>Materials</t>
  </si>
  <si>
    <t>West</t>
  </si>
  <si>
    <t>INV-0001</t>
  </si>
  <si>
    <t>Pending</t>
  </si>
  <si>
    <t>INV-0002</t>
  </si>
  <si>
    <t>INV-0003</t>
  </si>
  <si>
    <t>Paid</t>
  </si>
  <si>
    <t>INV-0004</t>
  </si>
  <si>
    <t>INV-0005</t>
  </si>
  <si>
    <t>INV-0006</t>
  </si>
  <si>
    <t>Partial</t>
  </si>
  <si>
    <t>INV-0007</t>
  </si>
  <si>
    <t>INV-0008</t>
  </si>
  <si>
    <t>INV-0009</t>
  </si>
  <si>
    <t>INV-0010</t>
  </si>
  <si>
    <t>INV-0011</t>
  </si>
  <si>
    <t>INV-0012</t>
  </si>
  <si>
    <t>Overdue</t>
  </si>
  <si>
    <t>INV-0013</t>
  </si>
  <si>
    <t>INV-0014</t>
  </si>
  <si>
    <t>INV-0015</t>
  </si>
  <si>
    <t>INV-0016</t>
  </si>
  <si>
    <t>INV-0017</t>
  </si>
  <si>
    <t>INV-0018</t>
  </si>
  <si>
    <t>INV-0019</t>
  </si>
  <si>
    <t>INV-0020</t>
  </si>
  <si>
    <t>INV-0021</t>
  </si>
  <si>
    <t>INV-0022</t>
  </si>
  <si>
    <t>INV-0023</t>
  </si>
  <si>
    <t>INV-0024</t>
  </si>
  <si>
    <t>INV-0025</t>
  </si>
  <si>
    <t>INV-0026</t>
  </si>
  <si>
    <t>INV-0027</t>
  </si>
  <si>
    <t>INV-0028</t>
  </si>
  <si>
    <t>INV-0029</t>
  </si>
  <si>
    <t>INV-0030</t>
  </si>
  <si>
    <t>INV-0031</t>
  </si>
  <si>
    <t>INV-0032</t>
  </si>
  <si>
    <t>VND-002</t>
  </si>
  <si>
    <t>TechSupplies Inc</t>
  </si>
  <si>
    <t>IT</t>
  </si>
  <si>
    <t>INV-0033</t>
  </si>
  <si>
    <t>INV-0034</t>
  </si>
  <si>
    <t>INV-0035</t>
  </si>
  <si>
    <t>INV-0036</t>
  </si>
  <si>
    <t>INV-0037</t>
  </si>
  <si>
    <t>INV-0038</t>
  </si>
  <si>
    <t>INV-0039</t>
  </si>
  <si>
    <t>INV-0040</t>
  </si>
  <si>
    <t>INV-0041</t>
  </si>
  <si>
    <t>INV-0042</t>
  </si>
  <si>
    <t>INV-0043</t>
  </si>
  <si>
    <t>INV-0044</t>
  </si>
  <si>
    <t>INV-0045</t>
  </si>
  <si>
    <t>INV-0046</t>
  </si>
  <si>
    <t>INV-0047</t>
  </si>
  <si>
    <t>INV-0048</t>
  </si>
  <si>
    <t>INV-0049</t>
  </si>
  <si>
    <t>INV-0050</t>
  </si>
  <si>
    <t>INV-0051</t>
  </si>
  <si>
    <t>INV-0052</t>
  </si>
  <si>
    <t>INV-0053</t>
  </si>
  <si>
    <t>INV-0054</t>
  </si>
  <si>
    <t>INV-0055</t>
  </si>
  <si>
    <t>INV-0056</t>
  </si>
  <si>
    <t>INV-0057</t>
  </si>
  <si>
    <t>INV-0058</t>
  </si>
  <si>
    <t>INV-0059</t>
  </si>
  <si>
    <t>INV-0060</t>
  </si>
  <si>
    <t>INV-0061</t>
  </si>
  <si>
    <t>INV-0062</t>
  </si>
  <si>
    <t>INV-0063</t>
  </si>
  <si>
    <t>INV-0064</t>
  </si>
  <si>
    <t>INV-0065</t>
  </si>
  <si>
    <t>INV-0066</t>
  </si>
  <si>
    <t>INV-0067</t>
  </si>
  <si>
    <t>INV-0068</t>
  </si>
  <si>
    <t>INV-0069</t>
  </si>
  <si>
    <t>INV-0070</t>
  </si>
  <si>
    <t>INV-0071</t>
  </si>
  <si>
    <t>INV-0072</t>
  </si>
  <si>
    <t>INV-0073</t>
  </si>
  <si>
    <t>INV-0074</t>
  </si>
  <si>
    <t>INV-0075</t>
  </si>
  <si>
    <t>VND-003</t>
  </si>
  <si>
    <t>LogiExpress</t>
  </si>
  <si>
    <t>Logistics</t>
  </si>
  <si>
    <t>East</t>
  </si>
  <si>
    <t>INV-0076</t>
  </si>
  <si>
    <t>INV-0077</t>
  </si>
  <si>
    <t>INV-0078</t>
  </si>
  <si>
    <t>INV-0079</t>
  </si>
  <si>
    <t>INV-0080</t>
  </si>
  <si>
    <t>INV-0081</t>
  </si>
  <si>
    <t>INV-0082</t>
  </si>
  <si>
    <t>INV-0083</t>
  </si>
  <si>
    <t>INV-0084</t>
  </si>
  <si>
    <t>INV-0085</t>
  </si>
  <si>
    <t>INV-0086</t>
  </si>
  <si>
    <t>INV-0087</t>
  </si>
  <si>
    <t>INV-0088</t>
  </si>
  <si>
    <t>INV-0089</t>
  </si>
  <si>
    <t>INV-0090</t>
  </si>
  <si>
    <t>INV-0091</t>
  </si>
  <si>
    <t>INV-0092</t>
  </si>
  <si>
    <t>INV-0093</t>
  </si>
  <si>
    <t>INV-0094</t>
  </si>
  <si>
    <t>INV-0095</t>
  </si>
  <si>
    <t>INV-0096</t>
  </si>
  <si>
    <t>INV-0097</t>
  </si>
  <si>
    <t>INV-0098</t>
  </si>
  <si>
    <t>INV-0099</t>
  </si>
  <si>
    <t>VND-004</t>
  </si>
  <si>
    <t>Grupo Servicios Pro</t>
  </si>
  <si>
    <t>Services</t>
  </si>
  <si>
    <t>South</t>
  </si>
  <si>
    <t>INV-0100</t>
  </si>
  <si>
    <t>INV-0101</t>
  </si>
  <si>
    <t>INV-0102</t>
  </si>
  <si>
    <t>INV-0103</t>
  </si>
  <si>
    <t>INV-0104</t>
  </si>
  <si>
    <t>INV-0105</t>
  </si>
  <si>
    <t>INV-0106</t>
  </si>
  <si>
    <t>INV-0107</t>
  </si>
  <si>
    <t>INV-0108</t>
  </si>
  <si>
    <t>INV-0109</t>
  </si>
  <si>
    <t>INV-0110</t>
  </si>
  <si>
    <t>INV-0111</t>
  </si>
  <si>
    <t>INV-0112</t>
  </si>
  <si>
    <t>INV-0113</t>
  </si>
  <si>
    <t>INV-0114</t>
  </si>
  <si>
    <t>INV-0115</t>
  </si>
  <si>
    <t>INV-0116</t>
  </si>
  <si>
    <t>INV-0117</t>
  </si>
  <si>
    <t>INV-0118</t>
  </si>
  <si>
    <t>INV-0119</t>
  </si>
  <si>
    <t>INV-0120</t>
  </si>
  <si>
    <t>INV-0121</t>
  </si>
  <si>
    <t>INV-0122</t>
  </si>
  <si>
    <t>INV-0123</t>
  </si>
  <si>
    <t>INV-0124</t>
  </si>
  <si>
    <t>INV-0125</t>
  </si>
  <si>
    <t>INV-0126</t>
  </si>
  <si>
    <t>INV-0127</t>
  </si>
  <si>
    <t>INV-0128</t>
  </si>
  <si>
    <t>VND-005</t>
  </si>
  <si>
    <t>EnergyPlus Corp</t>
  </si>
  <si>
    <t>Utilities</t>
  </si>
  <si>
    <t>Central</t>
  </si>
  <si>
    <t>INV-0129</t>
  </si>
  <si>
    <t>INV-0130</t>
  </si>
  <si>
    <t>INV-0131</t>
  </si>
  <si>
    <t>INV-0132</t>
  </si>
  <si>
    <t>INV-0133</t>
  </si>
  <si>
    <t>INV-0134</t>
  </si>
  <si>
    <t>INV-0135</t>
  </si>
  <si>
    <t>INV-0136</t>
  </si>
  <si>
    <t>INV-0137</t>
  </si>
  <si>
    <t>INV-0138</t>
  </si>
  <si>
    <t>INV-0139</t>
  </si>
  <si>
    <t>INV-0140</t>
  </si>
  <si>
    <t>INV-0141</t>
  </si>
  <si>
    <t>INV-0142</t>
  </si>
  <si>
    <t>INV-0143</t>
  </si>
  <si>
    <t>INV-0144</t>
  </si>
  <si>
    <t>INV-0145</t>
  </si>
  <si>
    <t>INV-0146</t>
  </si>
  <si>
    <t>INV-0147</t>
  </si>
  <si>
    <t>INV-0148</t>
  </si>
  <si>
    <t>INV-0149</t>
  </si>
  <si>
    <t>INV-0150</t>
  </si>
  <si>
    <t>INV-0151</t>
  </si>
  <si>
    <t>INV-0152</t>
  </si>
  <si>
    <t>INV-0153</t>
  </si>
  <si>
    <t>INV-0154</t>
  </si>
  <si>
    <t>INV-0155</t>
  </si>
  <si>
    <t>INV-0156</t>
  </si>
  <si>
    <t>INV-0157</t>
  </si>
  <si>
    <t>INV-0158</t>
  </si>
  <si>
    <t>INV-0159</t>
  </si>
  <si>
    <t>INV-0160</t>
  </si>
  <si>
    <t>INV-0161</t>
  </si>
  <si>
    <t>INV-0162</t>
  </si>
  <si>
    <t>INV-0163</t>
  </si>
  <si>
    <t>INV-0164</t>
  </si>
  <si>
    <t>INV-0165</t>
  </si>
  <si>
    <t>INV-0166</t>
  </si>
  <si>
    <t>INV-0167</t>
  </si>
  <si>
    <t>INV-0168</t>
  </si>
  <si>
    <t>INV-0169</t>
  </si>
  <si>
    <t>INV-0170</t>
  </si>
  <si>
    <t>INV-0171</t>
  </si>
  <si>
    <t>INV-0172</t>
  </si>
  <si>
    <t>INV-0173</t>
  </si>
  <si>
    <t>VND-006</t>
  </si>
  <si>
    <t>MegaParts Ltd</t>
  </si>
  <si>
    <t>INV-0174</t>
  </si>
  <si>
    <t>INV-0175</t>
  </si>
  <si>
    <t>INV-0176</t>
  </si>
  <si>
    <t>INV-0177</t>
  </si>
  <si>
    <t>INV-0178</t>
  </si>
  <si>
    <t>INV-0179</t>
  </si>
  <si>
    <t>INV-0180</t>
  </si>
  <si>
    <t>INV-0181</t>
  </si>
  <si>
    <t>INV-0182</t>
  </si>
  <si>
    <t>INV-0183</t>
  </si>
  <si>
    <t>INV-0184</t>
  </si>
  <si>
    <t>INV-0185</t>
  </si>
  <si>
    <t>INV-0186</t>
  </si>
  <si>
    <t>INV-0187</t>
  </si>
  <si>
    <t>INV-0188</t>
  </si>
  <si>
    <t>INV-0189</t>
  </si>
  <si>
    <t>INV-0190</t>
  </si>
  <si>
    <t>INV-0191</t>
  </si>
  <si>
    <t>INV-0192</t>
  </si>
  <si>
    <t>INV-0193</t>
  </si>
  <si>
    <t>INV-0194</t>
  </si>
  <si>
    <t>INV-0195</t>
  </si>
  <si>
    <t>INV-0196</t>
  </si>
  <si>
    <t>INV-0197</t>
  </si>
  <si>
    <t>INV-0198</t>
  </si>
  <si>
    <t>INV-0199</t>
  </si>
  <si>
    <t>INV-0200</t>
  </si>
  <si>
    <t>INV-0201</t>
  </si>
  <si>
    <t>INV-0202</t>
  </si>
  <si>
    <t>INV-0203</t>
  </si>
  <si>
    <t>INV-0204</t>
  </si>
  <si>
    <t>INV-0205</t>
  </si>
  <si>
    <t>INV-0206</t>
  </si>
  <si>
    <t>INV-0207</t>
  </si>
  <si>
    <t>INV-0208</t>
  </si>
  <si>
    <t>VND-007</t>
  </si>
  <si>
    <t>CloudSoft Solutions</t>
  </si>
  <si>
    <t>INV-0209</t>
  </si>
  <si>
    <t>INV-0210</t>
  </si>
  <si>
    <t>INV-0211</t>
  </si>
  <si>
    <t>INV-0212</t>
  </si>
  <si>
    <t>INV-0213</t>
  </si>
  <si>
    <t>INV-0214</t>
  </si>
  <si>
    <t>INV-0215</t>
  </si>
  <si>
    <t>INV-0216</t>
  </si>
  <si>
    <t>INV-0217</t>
  </si>
  <si>
    <t>INV-0218</t>
  </si>
  <si>
    <t>INV-0219</t>
  </si>
  <si>
    <t>INV-0220</t>
  </si>
  <si>
    <t>INV-0221</t>
  </si>
  <si>
    <t>INV-0222</t>
  </si>
  <si>
    <t>INV-0223</t>
  </si>
  <si>
    <t>INV-0224</t>
  </si>
  <si>
    <t>INV-0225</t>
  </si>
  <si>
    <t>INV-0226</t>
  </si>
  <si>
    <t>INV-0227</t>
  </si>
  <si>
    <t>INV-0228</t>
  </si>
  <si>
    <t>INV-0229</t>
  </si>
  <si>
    <t>INV-0230</t>
  </si>
  <si>
    <t>INV-0231</t>
  </si>
  <si>
    <t>INV-0232</t>
  </si>
  <si>
    <t>INV-0233</t>
  </si>
  <si>
    <t>INV-0234</t>
  </si>
  <si>
    <t>INV-0235</t>
  </si>
  <si>
    <t>INV-0236</t>
  </si>
  <si>
    <t>INV-0237</t>
  </si>
  <si>
    <t>INV-0238</t>
  </si>
  <si>
    <t>INV-0239</t>
  </si>
  <si>
    <t>INV-0240</t>
  </si>
  <si>
    <t>INV-0241</t>
  </si>
  <si>
    <t>INV-0242</t>
  </si>
  <si>
    <t>INV-0243</t>
  </si>
  <si>
    <t>INV-0244</t>
  </si>
  <si>
    <t>INV-0245</t>
  </si>
  <si>
    <t>INV-0246</t>
  </si>
  <si>
    <t>INV-0247</t>
  </si>
  <si>
    <t>INV-0248</t>
  </si>
  <si>
    <t>INV-0249</t>
  </si>
  <si>
    <t>INV-0250</t>
  </si>
  <si>
    <t>INV-0251</t>
  </si>
  <si>
    <t>INV-0252</t>
  </si>
  <si>
    <t>INV-0253</t>
  </si>
  <si>
    <t>VND-008</t>
  </si>
  <si>
    <t>Rapi Cargo SA</t>
  </si>
  <si>
    <t>INV-0254</t>
  </si>
  <si>
    <t>INV-0255</t>
  </si>
  <si>
    <t>INV-0256</t>
  </si>
  <si>
    <t>INV-0257</t>
  </si>
  <si>
    <t>INV-0258</t>
  </si>
  <si>
    <t>INV-0259</t>
  </si>
  <si>
    <t>INV-0260</t>
  </si>
  <si>
    <t>INV-0261</t>
  </si>
  <si>
    <t>INV-0262</t>
  </si>
  <si>
    <t>INV-0263</t>
  </si>
  <si>
    <t>INV-0264</t>
  </si>
  <si>
    <t>INV-0265</t>
  </si>
  <si>
    <t>INV-0266</t>
  </si>
  <si>
    <t>INV-0267</t>
  </si>
  <si>
    <t>INV-0268</t>
  </si>
  <si>
    <t>INV-0269</t>
  </si>
  <si>
    <t>INV-0270</t>
  </si>
  <si>
    <t>INV-0271</t>
  </si>
  <si>
    <t>INV-0272</t>
  </si>
  <si>
    <t>INV-0273</t>
  </si>
  <si>
    <t>INV-0274</t>
  </si>
  <si>
    <t>INV-0275</t>
  </si>
  <si>
    <t>INV-0276</t>
  </si>
  <si>
    <t>INV-0277</t>
  </si>
  <si>
    <t>INV-0278</t>
  </si>
  <si>
    <t>INV-0279</t>
  </si>
  <si>
    <t>INV-0280</t>
  </si>
  <si>
    <t>INV-0281</t>
  </si>
  <si>
    <t>INV-0282</t>
  </si>
  <si>
    <t>INV-0283</t>
  </si>
  <si>
    <t>INV-0284</t>
  </si>
  <si>
    <t>INV-0285</t>
  </si>
  <si>
    <t>INV-0286</t>
  </si>
  <si>
    <t>INV-0287</t>
  </si>
  <si>
    <t>INV-0288</t>
  </si>
  <si>
    <t>INV-0289</t>
  </si>
  <si>
    <t>INV-0290</t>
  </si>
  <si>
    <t>INV-0291</t>
  </si>
  <si>
    <t>INV-0292</t>
  </si>
  <si>
    <t>INV-0293</t>
  </si>
  <si>
    <t>INV-0294</t>
  </si>
  <si>
    <t>INV-0295</t>
  </si>
  <si>
    <t>INV-0296</t>
  </si>
  <si>
    <t>VND-009</t>
  </si>
  <si>
    <t>Consulting Masters</t>
  </si>
  <si>
    <t>INV-0297</t>
  </si>
  <si>
    <t>INV-0298</t>
  </si>
  <si>
    <t>INV-0299</t>
  </si>
  <si>
    <t>INV-0300</t>
  </si>
  <si>
    <t>INV-0301</t>
  </si>
  <si>
    <t>INV-0302</t>
  </si>
  <si>
    <t>INV-0303</t>
  </si>
  <si>
    <t>INV-0304</t>
  </si>
  <si>
    <t>INV-0305</t>
  </si>
  <si>
    <t>INV-0306</t>
  </si>
  <si>
    <t>INV-0307</t>
  </si>
  <si>
    <t>INV-0308</t>
  </si>
  <si>
    <t>INV-0309</t>
  </si>
  <si>
    <t>INV-0310</t>
  </si>
  <si>
    <t>INV-0311</t>
  </si>
  <si>
    <t>INV-0312</t>
  </si>
  <si>
    <t>INV-0313</t>
  </si>
  <si>
    <t>INV-0314</t>
  </si>
  <si>
    <t>INV-0315</t>
  </si>
  <si>
    <t>INV-0316</t>
  </si>
  <si>
    <t>INV-0317</t>
  </si>
  <si>
    <t>INV-0318</t>
  </si>
  <si>
    <t>INV-0319</t>
  </si>
  <si>
    <t>INV-0320</t>
  </si>
  <si>
    <t>INV-0321</t>
  </si>
  <si>
    <t>VND-010</t>
  </si>
  <si>
    <t>AquaServ</t>
  </si>
  <si>
    <t>INV-0322</t>
  </si>
  <si>
    <t>INV-0323</t>
  </si>
  <si>
    <t>INV-0324</t>
  </si>
  <si>
    <t>INV-0325</t>
  </si>
  <si>
    <t>INV-0326</t>
  </si>
  <si>
    <t>INV-0327</t>
  </si>
  <si>
    <t>INV-0328</t>
  </si>
  <si>
    <t>INV-0329</t>
  </si>
  <si>
    <t>INV-0330</t>
  </si>
  <si>
    <t>INV-0331</t>
  </si>
  <si>
    <t>INV-0332</t>
  </si>
  <si>
    <t>INV-0333</t>
  </si>
  <si>
    <t>INV-0334</t>
  </si>
  <si>
    <t>INV-0335</t>
  </si>
  <si>
    <t>INV-0336</t>
  </si>
  <si>
    <t>INV-0337</t>
  </si>
  <si>
    <t>INV-0338</t>
  </si>
  <si>
    <t>INV-0339</t>
  </si>
  <si>
    <t>INV-0340</t>
  </si>
  <si>
    <t>INV-0341</t>
  </si>
  <si>
    <t>INV-0342</t>
  </si>
  <si>
    <t>INV-0343</t>
  </si>
  <si>
    <t>INV-0344</t>
  </si>
  <si>
    <t>INV-0345</t>
  </si>
  <si>
    <t>INV-0346</t>
  </si>
  <si>
    <t>VND-011</t>
  </si>
  <si>
    <t>SteelBuild Co</t>
  </si>
  <si>
    <t>INV-0347</t>
  </si>
  <si>
    <t>INV-0348</t>
  </si>
  <si>
    <t>INV-0349</t>
  </si>
  <si>
    <t>INV-0350</t>
  </si>
  <si>
    <t>INV-0351</t>
  </si>
  <si>
    <t>INV-0352</t>
  </si>
  <si>
    <t>INV-0353</t>
  </si>
  <si>
    <t>INV-0354</t>
  </si>
  <si>
    <t>INV-0355</t>
  </si>
  <si>
    <t>INV-0356</t>
  </si>
  <si>
    <t>INV-0357</t>
  </si>
  <si>
    <t>INV-0358</t>
  </si>
  <si>
    <t>INV-0359</t>
  </si>
  <si>
    <t>INV-0360</t>
  </si>
  <si>
    <t>INV-0361</t>
  </si>
  <si>
    <t>INV-0362</t>
  </si>
  <si>
    <t>INV-0363</t>
  </si>
  <si>
    <t>INV-0364</t>
  </si>
  <si>
    <t>INV-0365</t>
  </si>
  <si>
    <t>INV-0366</t>
  </si>
  <si>
    <t>INV-0367</t>
  </si>
  <si>
    <t>INV-0368</t>
  </si>
  <si>
    <t>INV-0369</t>
  </si>
  <si>
    <t>INV-0370</t>
  </si>
  <si>
    <t>INV-0371</t>
  </si>
  <si>
    <t>INV-0372</t>
  </si>
  <si>
    <t>INV-0373</t>
  </si>
  <si>
    <t>INV-0374</t>
  </si>
  <si>
    <t>INV-0375</t>
  </si>
  <si>
    <t>INV-0376</t>
  </si>
  <si>
    <t>INV-0377</t>
  </si>
  <si>
    <t>INV-0378</t>
  </si>
  <si>
    <t>INV-0379</t>
  </si>
  <si>
    <t>INV-0380</t>
  </si>
  <si>
    <t>INV-0381</t>
  </si>
  <si>
    <t>INV-0382</t>
  </si>
  <si>
    <t>VND-012</t>
  </si>
  <si>
    <t>DataCenter Pro</t>
  </si>
  <si>
    <t>INV-0383</t>
  </si>
  <si>
    <t>INV-0384</t>
  </si>
  <si>
    <t>INV-0385</t>
  </si>
  <si>
    <t>INV-0386</t>
  </si>
  <si>
    <t>INV-0387</t>
  </si>
  <si>
    <t>INV-0388</t>
  </si>
  <si>
    <t>INV-0389</t>
  </si>
  <si>
    <t>INV-0390</t>
  </si>
  <si>
    <t>INV-0391</t>
  </si>
  <si>
    <t>INV-0392</t>
  </si>
  <si>
    <t>INV-0393</t>
  </si>
  <si>
    <t>INV-0394</t>
  </si>
  <si>
    <t>INV-0395</t>
  </si>
  <si>
    <t>INV-0396</t>
  </si>
  <si>
    <t>INV-0397</t>
  </si>
  <si>
    <t>INV-0398</t>
  </si>
  <si>
    <t>INV-0399</t>
  </si>
  <si>
    <t>INV-0400</t>
  </si>
  <si>
    <t>INV-0401</t>
  </si>
  <si>
    <t>INV-0402</t>
  </si>
  <si>
    <t>INV-0403</t>
  </si>
  <si>
    <t>INV-0404</t>
  </si>
  <si>
    <t>INV-0405</t>
  </si>
  <si>
    <t>INV-0406</t>
  </si>
  <si>
    <t>INV-0407</t>
  </si>
  <si>
    <t>INV-0408</t>
  </si>
  <si>
    <t>INV-0409</t>
  </si>
  <si>
    <t>VND-013</t>
  </si>
  <si>
    <t>FreightKing</t>
  </si>
  <si>
    <t>North</t>
  </si>
  <si>
    <t>INV-0410</t>
  </si>
  <si>
    <t>INV-0411</t>
  </si>
  <si>
    <t>INV-0412</t>
  </si>
  <si>
    <t>INV-0413</t>
  </si>
  <si>
    <t>INV-0414</t>
  </si>
  <si>
    <t>INV-0415</t>
  </si>
  <si>
    <t>INV-0416</t>
  </si>
  <si>
    <t>INV-0417</t>
  </si>
  <si>
    <t>INV-0418</t>
  </si>
  <si>
    <t>INV-0419</t>
  </si>
  <si>
    <t>INV-0420</t>
  </si>
  <si>
    <t>INV-0421</t>
  </si>
  <si>
    <t>INV-0422</t>
  </si>
  <si>
    <t>INV-0423</t>
  </si>
  <si>
    <t>INV-0424</t>
  </si>
  <si>
    <t>INV-0425</t>
  </si>
  <si>
    <t>INV-0426</t>
  </si>
  <si>
    <t>INV-0427</t>
  </si>
  <si>
    <t>INV-0428</t>
  </si>
  <si>
    <t>INV-0429</t>
  </si>
  <si>
    <t>INV-0430</t>
  </si>
  <si>
    <t>INV-0431</t>
  </si>
  <si>
    <t>INV-0432</t>
  </si>
  <si>
    <t>INV-0433</t>
  </si>
  <si>
    <t>INV-0434</t>
  </si>
  <si>
    <t>INV-0435</t>
  </si>
  <si>
    <t>INV-0436</t>
  </si>
  <si>
    <t>INV-0437</t>
  </si>
  <si>
    <t>INV-0438</t>
  </si>
  <si>
    <t>INV-0439</t>
  </si>
  <si>
    <t>INV-0440</t>
  </si>
  <si>
    <t>INV-0441</t>
  </si>
  <si>
    <t>INV-0442</t>
  </si>
  <si>
    <t>INV-0443</t>
  </si>
  <si>
    <t>INV-0444</t>
  </si>
  <si>
    <t>VND-014</t>
  </si>
  <si>
    <t>FacilityPro</t>
  </si>
  <si>
    <t>INV-0445</t>
  </si>
  <si>
    <t>INV-0446</t>
  </si>
  <si>
    <t>INV-0447</t>
  </si>
  <si>
    <t>INV-0448</t>
  </si>
  <si>
    <t>INV-0449</t>
  </si>
  <si>
    <t>INV-0450</t>
  </si>
  <si>
    <t>INV-0451</t>
  </si>
  <si>
    <t>INV-0452</t>
  </si>
  <si>
    <t>INV-0453</t>
  </si>
  <si>
    <t>INV-0454</t>
  </si>
  <si>
    <t>INV-0455</t>
  </si>
  <si>
    <t>INV-0456</t>
  </si>
  <si>
    <t>INV-0457</t>
  </si>
  <si>
    <t>INV-0458</t>
  </si>
  <si>
    <t>INV-0459</t>
  </si>
  <si>
    <t>INV-0460</t>
  </si>
  <si>
    <t>INV-0461</t>
  </si>
  <si>
    <t>INV-0462</t>
  </si>
  <si>
    <t>INV-0463</t>
  </si>
  <si>
    <t>INV-0464</t>
  </si>
  <si>
    <t>INV-0465</t>
  </si>
  <si>
    <t>INV-0466</t>
  </si>
  <si>
    <t>INV-0467</t>
  </si>
  <si>
    <t>INV-0468</t>
  </si>
  <si>
    <t>INV-0469</t>
  </si>
  <si>
    <t>INV-0470</t>
  </si>
  <si>
    <t>INV-0471</t>
  </si>
  <si>
    <t>INV-0472</t>
  </si>
  <si>
    <t>INV-0473</t>
  </si>
  <si>
    <t>INV-0474</t>
  </si>
  <si>
    <t>INV-0475</t>
  </si>
  <si>
    <t>INV-0476</t>
  </si>
  <si>
    <t>VND-015</t>
  </si>
  <si>
    <t>PowerGrid SA</t>
  </si>
  <si>
    <t>INV-0477</t>
  </si>
  <si>
    <t>INV-0478</t>
  </si>
  <si>
    <t>INV-0479</t>
  </si>
  <si>
    <t>INV-0480</t>
  </si>
  <si>
    <t>INV-0481</t>
  </si>
  <si>
    <t>INV-0482</t>
  </si>
  <si>
    <t>INV-0483</t>
  </si>
  <si>
    <t>INV-0484</t>
  </si>
  <si>
    <t>INV-0485</t>
  </si>
  <si>
    <t>INV-0486</t>
  </si>
  <si>
    <t>INV-0487</t>
  </si>
  <si>
    <t>INV-0488</t>
  </si>
  <si>
    <t>INV-0489</t>
  </si>
  <si>
    <t>INV-0490</t>
  </si>
  <si>
    <t>INV-0491</t>
  </si>
  <si>
    <t>INV-0492</t>
  </si>
  <si>
    <t>INV-0493</t>
  </si>
  <si>
    <t>INV-0494</t>
  </si>
  <si>
    <t>INV-0495</t>
  </si>
  <si>
    <t>INV-0496</t>
  </si>
  <si>
    <t>INV-0497</t>
  </si>
  <si>
    <t>INV-0498</t>
  </si>
  <si>
    <t>INV-0499</t>
  </si>
  <si>
    <t>INV-0500</t>
  </si>
  <si>
    <t>INV-0501</t>
  </si>
  <si>
    <t>INV-0502</t>
  </si>
  <si>
    <t>INV-0503</t>
  </si>
  <si>
    <t>INV-0504</t>
  </si>
  <si>
    <t>INV-0505</t>
  </si>
  <si>
    <t>INV-0506</t>
  </si>
  <si>
    <t>INV-0507</t>
  </si>
  <si>
    <t>INV-0508</t>
  </si>
  <si>
    <t>INV-0509</t>
  </si>
  <si>
    <t>INV-0510</t>
  </si>
  <si>
    <t>INV-0511</t>
  </si>
  <si>
    <t>INV-0512</t>
  </si>
  <si>
    <t>INV-0513</t>
  </si>
  <si>
    <t>INV-0514</t>
  </si>
  <si>
    <t>VND-016</t>
  </si>
  <si>
    <t>MetalWorks Corp</t>
  </si>
  <si>
    <t>INV-0515</t>
  </si>
  <si>
    <t>INV-0516</t>
  </si>
  <si>
    <t>INV-0517</t>
  </si>
  <si>
    <t>INV-0518</t>
  </si>
  <si>
    <t>INV-0519</t>
  </si>
  <si>
    <t>INV-0520</t>
  </si>
  <si>
    <t>INV-0521</t>
  </si>
  <si>
    <t>INV-0522</t>
  </si>
  <si>
    <t>INV-0523</t>
  </si>
  <si>
    <t>INV-0524</t>
  </si>
  <si>
    <t>INV-0525</t>
  </si>
  <si>
    <t>INV-0526</t>
  </si>
  <si>
    <t>INV-0527</t>
  </si>
  <si>
    <t>INV-0528</t>
  </si>
  <si>
    <t>INV-0529</t>
  </si>
  <si>
    <t>INV-0530</t>
  </si>
  <si>
    <t>INV-0531</t>
  </si>
  <si>
    <t>INV-0532</t>
  </si>
  <si>
    <t>INV-0533</t>
  </si>
  <si>
    <t>INV-0534</t>
  </si>
  <si>
    <t>INV-0535</t>
  </si>
  <si>
    <t>INV-0536</t>
  </si>
  <si>
    <t>INV-0537</t>
  </si>
  <si>
    <t>INV-0538</t>
  </si>
  <si>
    <t>INV-0539</t>
  </si>
  <si>
    <t>INV-0540</t>
  </si>
  <si>
    <t>INV-0541</t>
  </si>
  <si>
    <t>INV-0542</t>
  </si>
  <si>
    <t>INV-0543</t>
  </si>
  <si>
    <t>INV-0544</t>
  </si>
  <si>
    <t>INV-0545</t>
  </si>
  <si>
    <t>INV-0546</t>
  </si>
  <si>
    <t>INV-0547</t>
  </si>
  <si>
    <t>INV-0548</t>
  </si>
  <si>
    <t>INV-0549</t>
  </si>
  <si>
    <t>INV-0550</t>
  </si>
  <si>
    <t>INV-0551</t>
  </si>
  <si>
    <t>INV-0552</t>
  </si>
  <si>
    <t>INV-0553</t>
  </si>
  <si>
    <t>INV-0554</t>
  </si>
  <si>
    <t>INV-0555</t>
  </si>
  <si>
    <t>INV-0556</t>
  </si>
  <si>
    <t>INV-0557</t>
  </si>
  <si>
    <t>VND-017</t>
  </si>
  <si>
    <t>NetSystems Ltd</t>
  </si>
  <si>
    <t>INV-0558</t>
  </si>
  <si>
    <t>INV-0559</t>
  </si>
  <si>
    <t>INV-0560</t>
  </si>
  <si>
    <t>INV-0561</t>
  </si>
  <si>
    <t>INV-0562</t>
  </si>
  <si>
    <t>INV-0563</t>
  </si>
  <si>
    <t>INV-0564</t>
  </si>
  <si>
    <t>INV-0565</t>
  </si>
  <si>
    <t>INV-0566</t>
  </si>
  <si>
    <t>INV-0567</t>
  </si>
  <si>
    <t>INV-0568</t>
  </si>
  <si>
    <t>INV-0569</t>
  </si>
  <si>
    <t>INV-0570</t>
  </si>
  <si>
    <t>INV-0571</t>
  </si>
  <si>
    <t>INV-0572</t>
  </si>
  <si>
    <t>INV-0573</t>
  </si>
  <si>
    <t>INV-0574</t>
  </si>
  <si>
    <t>INV-0575</t>
  </si>
  <si>
    <t>INV-0576</t>
  </si>
  <si>
    <t>INV-0577</t>
  </si>
  <si>
    <t>INV-0578</t>
  </si>
  <si>
    <t>INV-0579</t>
  </si>
  <si>
    <t>INV-0580</t>
  </si>
  <si>
    <t>INV-0581</t>
  </si>
  <si>
    <t>INV-0582</t>
  </si>
  <si>
    <t>INV-0583</t>
  </si>
  <si>
    <t>INV-0584</t>
  </si>
  <si>
    <t>INV-0585</t>
  </si>
  <si>
    <t>INV-0586</t>
  </si>
  <si>
    <t>INV-0587</t>
  </si>
  <si>
    <t>INV-0588</t>
  </si>
  <si>
    <t>INV-0589</t>
  </si>
  <si>
    <t>INV-0590</t>
  </si>
  <si>
    <t>INV-0591</t>
  </si>
  <si>
    <t>INV-0592</t>
  </si>
  <si>
    <t>INV-0593</t>
  </si>
  <si>
    <t>VND-018</t>
  </si>
  <si>
    <t>SwiftShip SA</t>
  </si>
  <si>
    <t>INV-0594</t>
  </si>
  <si>
    <t>INV-0595</t>
  </si>
  <si>
    <t>INV-0596</t>
  </si>
  <si>
    <t>INV-0597</t>
  </si>
  <si>
    <t>INV-0598</t>
  </si>
  <si>
    <t>INV-0599</t>
  </si>
  <si>
    <t>INV-0600</t>
  </si>
  <si>
    <t>INV-0601</t>
  </si>
  <si>
    <t>INV-0602</t>
  </si>
  <si>
    <t>INV-0603</t>
  </si>
  <si>
    <t>INV-0604</t>
  </si>
  <si>
    <t>INV-0605</t>
  </si>
  <si>
    <t>INV-0606</t>
  </si>
  <si>
    <t>INV-0607</t>
  </si>
  <si>
    <t>INV-0608</t>
  </si>
  <si>
    <t>INV-0609</t>
  </si>
  <si>
    <t>INV-0610</t>
  </si>
  <si>
    <t>INV-0611</t>
  </si>
  <si>
    <t>INV-0612</t>
  </si>
  <si>
    <t>INV-0613</t>
  </si>
  <si>
    <t>INV-0614</t>
  </si>
  <si>
    <t>INV-0615</t>
  </si>
  <si>
    <t>INV-0616</t>
  </si>
  <si>
    <t>INV-0617</t>
  </si>
  <si>
    <t>INV-0618</t>
  </si>
  <si>
    <t>INV-0619</t>
  </si>
  <si>
    <t>INV-0620</t>
  </si>
  <si>
    <t>INV-0621</t>
  </si>
  <si>
    <t>INV-0622</t>
  </si>
  <si>
    <t>INV-0623</t>
  </si>
  <si>
    <t>INV-0624</t>
  </si>
  <si>
    <t>INV-0625</t>
  </si>
  <si>
    <t>INV-0626</t>
  </si>
  <si>
    <t>INV-0627</t>
  </si>
  <si>
    <t>INV-0628</t>
  </si>
  <si>
    <t>INV-0629</t>
  </si>
  <si>
    <t>INV-0630</t>
  </si>
  <si>
    <t>INV-0631</t>
  </si>
  <si>
    <t>INV-0632</t>
  </si>
  <si>
    <t>INV-0633</t>
  </si>
  <si>
    <t>INV-0634</t>
  </si>
  <si>
    <t>INV-0635</t>
  </si>
  <si>
    <t>INV-0636</t>
  </si>
  <si>
    <t>INV-0637</t>
  </si>
  <si>
    <t>INV-0638</t>
  </si>
  <si>
    <t>VND-019</t>
  </si>
  <si>
    <t>CleanOffice Services</t>
  </si>
  <si>
    <t>INV-0639</t>
  </si>
  <si>
    <t>INV-0640</t>
  </si>
  <si>
    <t>INV-0641</t>
  </si>
  <si>
    <t>INV-0642</t>
  </si>
  <si>
    <t>INV-0643</t>
  </si>
  <si>
    <t>INV-0644</t>
  </si>
  <si>
    <t>INV-0645</t>
  </si>
  <si>
    <t>INV-0646</t>
  </si>
  <si>
    <t>INV-0647</t>
  </si>
  <si>
    <t>INV-0648</t>
  </si>
  <si>
    <t>INV-0649</t>
  </si>
  <si>
    <t>INV-0650</t>
  </si>
  <si>
    <t>INV-0651</t>
  </si>
  <si>
    <t>INV-0652</t>
  </si>
  <si>
    <t>INV-0653</t>
  </si>
  <si>
    <t>INV-0654</t>
  </si>
  <si>
    <t>INV-0655</t>
  </si>
  <si>
    <t>INV-0656</t>
  </si>
  <si>
    <t>INV-0657</t>
  </si>
  <si>
    <t>INV-0658</t>
  </si>
  <si>
    <t>INV-0659</t>
  </si>
  <si>
    <t>INV-0660</t>
  </si>
  <si>
    <t>INV-0661</t>
  </si>
  <si>
    <t>INV-0662</t>
  </si>
  <si>
    <t>INV-0663</t>
  </si>
  <si>
    <t>INV-0664</t>
  </si>
  <si>
    <t>INV-0665</t>
  </si>
  <si>
    <t>INV-0666</t>
  </si>
  <si>
    <t>INV-0667</t>
  </si>
  <si>
    <t>INV-0668</t>
  </si>
  <si>
    <t>INV-0669</t>
  </si>
  <si>
    <t>INV-0670</t>
  </si>
  <si>
    <t>INV-0671</t>
  </si>
  <si>
    <t>INV-0672</t>
  </si>
  <si>
    <t>INV-0673</t>
  </si>
  <si>
    <t>INV-0674</t>
  </si>
  <si>
    <t>VND-020</t>
  </si>
  <si>
    <t>GasNetwork</t>
  </si>
  <si>
    <t>INV-0675</t>
  </si>
  <si>
    <t>INV-0676</t>
  </si>
  <si>
    <t>INV-0677</t>
  </si>
  <si>
    <t>INV-0678</t>
  </si>
  <si>
    <t>INV-0679</t>
  </si>
  <si>
    <t>INV-0680</t>
  </si>
  <si>
    <t>INV-0681</t>
  </si>
  <si>
    <t>INV-0682</t>
  </si>
  <si>
    <t>INV-0683</t>
  </si>
  <si>
    <t>INV-0684</t>
  </si>
  <si>
    <t>INV-0685</t>
  </si>
  <si>
    <t>INV-0686</t>
  </si>
  <si>
    <t>INV-0687</t>
  </si>
  <si>
    <t>INV-0688</t>
  </si>
  <si>
    <t>INV-0689</t>
  </si>
  <si>
    <t>INV-0690</t>
  </si>
  <si>
    <t>INV-0691</t>
  </si>
  <si>
    <t>INV-0692</t>
  </si>
  <si>
    <t>INV-0693</t>
  </si>
  <si>
    <t>INV-0694</t>
  </si>
  <si>
    <t>INV-0695</t>
  </si>
  <si>
    <t>INV-0696</t>
  </si>
  <si>
    <t>INV-0697</t>
  </si>
  <si>
    <t>INV-0698</t>
  </si>
  <si>
    <t>INV-0699</t>
  </si>
  <si>
    <t>INV-0700</t>
  </si>
  <si>
    <t>INV-0701</t>
  </si>
  <si>
    <t>INV-0702</t>
  </si>
  <si>
    <t>Vendor Payment Tracker</t>
  </si>
  <si>
    <t>TOTAL PAYABLES</t>
  </si>
  <si>
    <t>OVERDUE AMOUNT</t>
  </si>
  <si>
    <t>AVG PAYMENT DAYS</t>
  </si>
  <si>
    <t>DISCOUNT CAPTURED</t>
  </si>
  <si>
    <t>Total Outstanding</t>
  </si>
  <si>
    <t>Overdue + Partial</t>
  </si>
  <si>
    <t>Non-Paid Invoices</t>
  </si>
  <si>
    <t>Early Pay Savings</t>
  </si>
  <si>
    <t>Outstanding by Category</t>
  </si>
  <si>
    <t>Invoices by Status</t>
  </si>
  <si>
    <t>Top Vendors by Payables</t>
  </si>
  <si>
    <t>Etiquetas de fila</t>
  </si>
  <si>
    <t>Total general</t>
  </si>
  <si>
    <t>Outstanding Balance</t>
  </si>
  <si>
    <t>Suma de days_overdue</t>
  </si>
  <si>
    <t>Valores</t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</si>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</sst>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6" formatCode="&quot;$&quot;#,##0.00"/>
    <numFmt numFmtId="167" formatCode="0.0\ &quot;days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0" borderId="0" xfId="0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">
    <dxf>
      <numFmt numFmtId="165" formatCode="m/d/yyyy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[vendor_payment_tracker.xlsx]Dashboard!PT_Category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Outstanding Balance by Vendor 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Dashboard!$B$10:$B$15</c:f>
              <c:strCache>
                <c:ptCount val="5"/>
                <c:pt idx="0">
                  <c:v>IT</c:v>
                </c:pt>
                <c:pt idx="1">
                  <c:v>Logistics</c:v>
                </c:pt>
                <c:pt idx="2">
                  <c:v>Materials</c:v>
                </c:pt>
                <c:pt idx="3">
                  <c:v>Services</c:v>
                </c:pt>
                <c:pt idx="4">
                  <c:v>Utilities</c:v>
                </c:pt>
              </c:strCache>
            </c:strRef>
          </c:cat>
          <c:val>
            <c:numRef>
              <c:f>Dashboard!$C$10:$C$15</c:f>
              <c:numCache>
                <c:formatCode>"$"#.##0</c:formatCode>
                <c:ptCount val="5"/>
                <c:pt idx="0">
                  <c:v>2425053.91</c:v>
                </c:pt>
                <c:pt idx="1">
                  <c:v>2414143.7300000009</c:v>
                </c:pt>
                <c:pt idx="2">
                  <c:v>2352815.6099999994</c:v>
                </c:pt>
                <c:pt idx="3">
                  <c:v>2046606.89</c:v>
                </c:pt>
                <c:pt idx="4">
                  <c:v>2433786.7599999998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3-45B3-8288-1AB747A1A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4152943"/>
        <c:axId val="934154191"/>
      </c:barChart>
      <c:catAx>
        <c:axId val="934152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34154191"/>
        <c:crosses val="autoZero"/>
        <c:auto val="1"/>
        <c:lblAlgn val="ctr"/>
        <c:lblOffset val="100"/>
        <c:noMultiLvlLbl val="0"/>
      </c:catAx>
      <c:valAx>
        <c:axId val="934154191"/>
        <c:scaling>
          <c:orientation val="minMax"/>
        </c:scaling>
        <c:delete val="0"/>
        <c:axPos val="l"/>
        <c:majorGridlines/>
        <c:numFmt formatCode="&quot;$&quot;#.##0" sourceLinked="0"/>
        <c:majorTickMark val="out"/>
        <c:minorTickMark val="none"/>
        <c:tickLblPos val="nextTo"/>
        <c:crossAx val="93415294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[vendor_payment_tracker.xlsx]Dashboard!PT_Status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s-CO"/>
              <a:t>Outstanding by Payment Status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Dashboard!$H$9:$H$10</c:f>
              <c:strCache>
                <c:ptCount val="1"/>
                <c:pt idx="0">
                  <c:v>Suma de days_overdue</c:v>
                </c:pt>
              </c:strCache>
            </c:strRef>
          </c:tx>
          <c:cat>
            <c:strRef>
              <c:f>Dashboard!$G$11:$G$15</c:f>
              <c:strCache>
                <c:ptCount val="4"/>
                <c:pt idx="0">
                  <c:v>Overdue</c:v>
                </c:pt>
                <c:pt idx="1">
                  <c:v>Paid</c:v>
                </c:pt>
                <c:pt idx="2">
                  <c:v>Partial</c:v>
                </c:pt>
                <c:pt idx="3">
                  <c:v>Pending</c:v>
                </c:pt>
              </c:strCache>
            </c:strRef>
          </c:cat>
          <c:val>
            <c:numRef>
              <c:f>Dashboard!$H$11:$H$15</c:f>
              <c:numCache>
                <c:formatCode>General</c:formatCode>
                <c:ptCount val="4"/>
                <c:pt idx="0">
                  <c:v>6318</c:v>
                </c:pt>
                <c:pt idx="1">
                  <c:v>23739</c:v>
                </c:pt>
                <c:pt idx="2">
                  <c:v>4149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2-44BC-B112-F3CDE663FE46}"/>
            </c:ext>
          </c:extLst>
        </c:ser>
        <c:ser>
          <c:idx val="1"/>
          <c:order val="1"/>
          <c:tx>
            <c:strRef>
              <c:f>Dashboard!$I$9:$I$10</c:f>
              <c:strCache>
                <c:ptCount val="1"/>
                <c:pt idx="0">
                  <c:v>Outstanding</c:v>
                </c:pt>
              </c:strCache>
            </c:strRef>
          </c:tx>
          <c:cat>
            <c:strRef>
              <c:f>Dashboard!$G$11:$G$15</c:f>
              <c:strCache>
                <c:ptCount val="4"/>
                <c:pt idx="0">
                  <c:v>Overdue</c:v>
                </c:pt>
                <c:pt idx="1">
                  <c:v>Paid</c:v>
                </c:pt>
                <c:pt idx="2">
                  <c:v>Partial</c:v>
                </c:pt>
                <c:pt idx="3">
                  <c:v>Pending</c:v>
                </c:pt>
              </c:strCache>
            </c:strRef>
          </c:cat>
          <c:val>
            <c:numRef>
              <c:f>Dashboard!$I$11:$I$15</c:f>
              <c:numCache>
                <c:formatCode>"$"#.##0</c:formatCode>
                <c:ptCount val="4"/>
                <c:pt idx="0">
                  <c:v>3492600.59</c:v>
                </c:pt>
                <c:pt idx="1">
                  <c:v>0</c:v>
                </c:pt>
                <c:pt idx="2">
                  <c:v>1264052.1799999997</c:v>
                </c:pt>
                <c:pt idx="3">
                  <c:v>6915754.1300000018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2-44BC-B112-F3CDE663F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7</xdr:col>
      <xdr:colOff>0</xdr:colOff>
      <xdr:row>46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0641E0-0B37-4278-8BC2-E08895D31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B769C8-A1BD-4D37-83E3-EA583F2C9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657225</xdr:colOff>
      <xdr:row>60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Slicer">
              <a:extLst>
                <a:ext uri="{FF2B5EF4-FFF2-40B4-BE49-F238E27FC236}">
                  <a16:creationId xmlns:a16="http://schemas.microsoft.com/office/drawing/2014/main" id="{28EF91E4-D265-4A5E-934D-0673CB702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Slic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" y="92964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47</xdr:row>
      <xdr:rowOff>0</xdr:rowOff>
    </xdr:from>
    <xdr:to>
      <xdr:col>6</xdr:col>
      <xdr:colOff>219075</xdr:colOff>
      <xdr:row>60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tatusSlicer">
              <a:extLst>
                <a:ext uri="{FF2B5EF4-FFF2-40B4-BE49-F238E27FC236}">
                  <a16:creationId xmlns:a16="http://schemas.microsoft.com/office/drawing/2014/main" id="{963467ED-9D60-49CF-B79E-7076341F22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Slic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1450" y="92964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0.491646759256" createdVersion="3" refreshedVersion="7" minRefreshableVersion="3" recordCount="702" xr:uid="{FE8FB05C-E2A5-4D01-9D53-B19E7C59DCB3}">
  <cacheSource type="worksheet">
    <worksheetSource name="VendorData"/>
  </cacheSource>
  <cacheFields count="17">
    <cacheField name="vendor_id" numFmtId="0">
      <sharedItems/>
    </cacheField>
    <cacheField name="vendor_name" numFmtId="0">
      <sharedItems/>
    </cacheField>
    <cacheField name="vendor_category" numFmtId="0">
      <sharedItems count="5">
        <s v="Materials"/>
        <s v="IT"/>
        <s v="Logistics"/>
        <s v="Services"/>
        <s v="Utilities"/>
      </sharedItems>
    </cacheField>
    <cacheField name="region" numFmtId="0">
      <sharedItems/>
    </cacheField>
    <cacheField name="invoice_id" numFmtId="0">
      <sharedItems/>
    </cacheField>
    <cacheField name="invoice_date" numFmtId="14">
      <sharedItems containsSemiMixedTypes="0" containsNonDate="0" containsDate="1" containsString="0" minDate="2024-12-03T00:00:00" maxDate="2025-05-28T00:00:00"/>
    </cacheField>
    <cacheField name="due_date" numFmtId="14">
      <sharedItems containsSemiMixedTypes="0" containsNonDate="0" containsDate="1" containsString="0" minDate="2024-12-18T00:00:00" maxDate="2025-08-25T00:00:00"/>
    </cacheField>
    <cacheField name="payment_terms" numFmtId="0">
      <sharedItems containsSemiMixedTypes="0" containsString="0" containsNumber="1" containsInteger="1" minValue="15" maxValue="90"/>
    </cacheField>
    <cacheField name="invoice_amount" numFmtId="0">
      <sharedItems containsSemiMixedTypes="0" containsString="0" containsNumber="1" minValue="1009.81" maxValue="79958.5"/>
    </cacheField>
    <cacheField name="paid_amount" numFmtId="0">
      <sharedItems containsSemiMixedTypes="0" containsString="0" containsNumber="1" minValue="0" maxValue="79958.5"/>
    </cacheField>
    <cacheField name="outstanding_balance" numFmtId="0">
      <sharedItems containsSemiMixedTypes="0" containsString="0" containsNumber="1" minValue="0" maxValue="79380.179999999993"/>
    </cacheField>
    <cacheField name="payment_date" numFmtId="0">
      <sharedItems containsNonDate="0" containsDate="1" containsString="0" containsBlank="1" minDate="2024-12-06T00:00:00" maxDate="2025-06-24T00:00:00"/>
    </cacheField>
    <cacheField name="days_outstanding" numFmtId="0">
      <sharedItems containsSemiMixedTypes="0" containsString="0" containsNumber="1" containsInteger="1" minValue="5" maxValue="180"/>
    </cacheField>
    <cacheField name="days_overdue" numFmtId="0">
      <sharedItems containsSemiMixedTypes="0" containsString="0" containsNumber="1" containsInteger="1" minValue="0" maxValue="165"/>
    </cacheField>
    <cacheField name="payment_status" numFmtId="0">
      <sharedItems/>
    </cacheField>
    <cacheField name="discount_rate" numFmtId="0">
      <sharedItems containsSemiMixedTypes="0" containsString="0" containsNumber="1" minValue="0" maxValue="2.5000000000000001E-2"/>
    </cacheField>
    <cacheField name="discount_captured" numFmtId="0">
      <sharedItems containsSemiMixedTypes="0" containsString="0" containsNumber="1" minValue="0" maxValue="1976.52"/>
    </cacheField>
  </cacheFields>
  <extLst>
    <ext xmlns:x14="http://schemas.microsoft.com/office/spreadsheetml/2009/9/main" uri="{725AE2AE-9491-48be-B2B4-4EB974FC3084}">
      <x14:pivotCacheDefinition pivotCacheId="166892422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0.491670601848" createdVersion="3" refreshedVersion="7" minRefreshableVersion="3" recordCount="702" xr:uid="{DE1B932E-39CD-472D-B5F8-EDB320E7D107}">
  <cacheSource type="worksheet">
    <worksheetSource name="VendorData"/>
  </cacheSource>
  <cacheFields count="17">
    <cacheField name="vendor_id" numFmtId="0">
      <sharedItems/>
    </cacheField>
    <cacheField name="vendor_name" numFmtId="0">
      <sharedItems/>
    </cacheField>
    <cacheField name="vendor_category" numFmtId="0">
      <sharedItems/>
    </cacheField>
    <cacheField name="region" numFmtId="0">
      <sharedItems/>
    </cacheField>
    <cacheField name="invoice_id" numFmtId="0">
      <sharedItems/>
    </cacheField>
    <cacheField name="invoice_date" numFmtId="14">
      <sharedItems containsSemiMixedTypes="0" containsNonDate="0" containsDate="1" containsString="0" minDate="2024-12-03T00:00:00" maxDate="2025-05-28T00:00:00"/>
    </cacheField>
    <cacheField name="due_date" numFmtId="14">
      <sharedItems containsSemiMixedTypes="0" containsNonDate="0" containsDate="1" containsString="0" minDate="2024-12-18T00:00:00" maxDate="2025-08-25T00:00:00"/>
    </cacheField>
    <cacheField name="payment_terms" numFmtId="0">
      <sharedItems containsSemiMixedTypes="0" containsString="0" containsNumber="1" containsInteger="1" minValue="15" maxValue="90"/>
    </cacheField>
    <cacheField name="invoice_amount" numFmtId="0">
      <sharedItems containsSemiMixedTypes="0" containsString="0" containsNumber="1" minValue="1009.81" maxValue="79958.5"/>
    </cacheField>
    <cacheField name="paid_amount" numFmtId="0">
      <sharedItems containsSemiMixedTypes="0" containsString="0" containsNumber="1" minValue="0" maxValue="79958.5"/>
    </cacheField>
    <cacheField name="outstanding_balance" numFmtId="0">
      <sharedItems containsSemiMixedTypes="0" containsString="0" containsNumber="1" minValue="0" maxValue="79380.179999999993"/>
    </cacheField>
    <cacheField name="payment_date" numFmtId="0">
      <sharedItems containsNonDate="0" containsDate="1" containsString="0" containsBlank="1" minDate="2024-12-06T00:00:00" maxDate="2025-06-24T00:00:00"/>
    </cacheField>
    <cacheField name="days_outstanding" numFmtId="0">
      <sharedItems containsSemiMixedTypes="0" containsString="0" containsNumber="1" containsInteger="1" minValue="5" maxValue="180"/>
    </cacheField>
    <cacheField name="days_overdue" numFmtId="0">
      <sharedItems containsSemiMixedTypes="0" containsString="0" containsNumber="1" containsInteger="1" minValue="0" maxValue="165"/>
    </cacheField>
    <cacheField name="payment_status" numFmtId="0">
      <sharedItems count="4">
        <s v="Pending"/>
        <s v="Paid"/>
        <s v="Partial"/>
        <s v="Overdue"/>
      </sharedItems>
    </cacheField>
    <cacheField name="discount_rate" numFmtId="0">
      <sharedItems containsSemiMixedTypes="0" containsString="0" containsNumber="1" minValue="0" maxValue="2.5000000000000001E-2"/>
    </cacheField>
    <cacheField name="discount_captured" numFmtId="0">
      <sharedItems containsSemiMixedTypes="0" containsString="0" containsNumber="1" minValue="0" maxValue="1976.52"/>
    </cacheField>
  </cacheFields>
  <extLst>
    <ext xmlns:x14="http://schemas.microsoft.com/office/spreadsheetml/2009/9/main" uri="{725AE2AE-9491-48be-B2B4-4EB974FC3084}">
      <x14:pivotCacheDefinition pivotCacheId="14154048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2">
  <r>
    <s v="VND-001"/>
    <s v="Acero Nacional SA"/>
    <x v="0"/>
    <s v="West"/>
    <s v="INV-0001"/>
    <d v="2025-04-06T00:00:00"/>
    <d v="2025-07-05T00:00:00"/>
    <n v="90"/>
    <n v="15125.38"/>
    <n v="0"/>
    <n v="15125.38"/>
    <m/>
    <n v="56"/>
    <n v="0"/>
    <s v="Pending"/>
    <n v="0.01"/>
    <n v="0"/>
  </r>
  <r>
    <s v="VND-001"/>
    <s v="Acero Nacional SA"/>
    <x v="0"/>
    <s v="West"/>
    <s v="INV-0002"/>
    <d v="2025-05-05T00:00:00"/>
    <d v="2025-06-19T00:00:00"/>
    <n v="45"/>
    <n v="58593.45"/>
    <n v="0"/>
    <n v="58593.45"/>
    <m/>
    <n v="27"/>
    <n v="0"/>
    <s v="Pending"/>
    <n v="0"/>
    <n v="0"/>
  </r>
  <r>
    <s v="VND-001"/>
    <s v="Acero Nacional SA"/>
    <x v="0"/>
    <s v="West"/>
    <s v="INV-0003"/>
    <d v="2025-01-22T00:00:00"/>
    <d v="2025-02-21T00:00:00"/>
    <n v="30"/>
    <n v="34309.5"/>
    <n v="34309.5"/>
    <n v="0"/>
    <d v="2025-03-19T00:00:00"/>
    <n v="130"/>
    <n v="100"/>
    <s v="Paid"/>
    <n v="0.01"/>
    <n v="0"/>
  </r>
  <r>
    <s v="VND-001"/>
    <s v="Acero Nacional SA"/>
    <x v="0"/>
    <s v="West"/>
    <s v="INV-0004"/>
    <d v="2025-02-21T00:00:00"/>
    <d v="2025-04-22T00:00:00"/>
    <n v="60"/>
    <n v="69057.88"/>
    <n v="69057.88"/>
    <n v="0"/>
    <d v="2025-04-04T00:00:00"/>
    <n v="100"/>
    <n v="40"/>
    <s v="Paid"/>
    <n v="0.01"/>
    <n v="690.58"/>
  </r>
  <r>
    <s v="VND-001"/>
    <s v="Acero Nacional SA"/>
    <x v="0"/>
    <s v="West"/>
    <s v="INV-0005"/>
    <d v="2025-04-12T00:00:00"/>
    <d v="2025-07-11T00:00:00"/>
    <n v="90"/>
    <n v="27765.73"/>
    <n v="0"/>
    <n v="27765.73"/>
    <m/>
    <n v="50"/>
    <n v="0"/>
    <s v="Pending"/>
    <n v="0"/>
    <n v="0"/>
  </r>
  <r>
    <s v="VND-001"/>
    <s v="Acero Nacional SA"/>
    <x v="0"/>
    <s v="West"/>
    <s v="INV-0006"/>
    <d v="2025-02-13T00:00:00"/>
    <d v="2025-02-28T00:00:00"/>
    <n v="15"/>
    <n v="22282.54"/>
    <n v="7882.94"/>
    <n v="14399.6"/>
    <d v="2025-04-23T00:00:00"/>
    <n v="108"/>
    <n v="93"/>
    <s v="Partial"/>
    <n v="0"/>
    <n v="0"/>
  </r>
  <r>
    <s v="VND-001"/>
    <s v="Acero Nacional SA"/>
    <x v="0"/>
    <s v="West"/>
    <s v="INV-0007"/>
    <d v="2025-05-07T00:00:00"/>
    <d v="2025-07-06T00:00:00"/>
    <n v="60"/>
    <n v="41973.74"/>
    <n v="0"/>
    <n v="41973.74"/>
    <m/>
    <n v="25"/>
    <n v="0"/>
    <s v="Pending"/>
    <n v="0.01"/>
    <n v="0"/>
  </r>
  <r>
    <s v="VND-001"/>
    <s v="Acero Nacional SA"/>
    <x v="0"/>
    <s v="West"/>
    <s v="INV-0008"/>
    <d v="2025-05-14T00:00:00"/>
    <d v="2025-06-28T00:00:00"/>
    <n v="45"/>
    <n v="11202.04"/>
    <n v="0"/>
    <n v="11202.04"/>
    <m/>
    <n v="18"/>
    <n v="0"/>
    <s v="Pending"/>
    <n v="0.01"/>
    <n v="0"/>
  </r>
  <r>
    <s v="VND-001"/>
    <s v="Acero Nacional SA"/>
    <x v="0"/>
    <s v="West"/>
    <s v="INV-0009"/>
    <d v="2025-02-03T00:00:00"/>
    <d v="2025-05-04T00:00:00"/>
    <n v="90"/>
    <n v="74062.91"/>
    <n v="74062.91"/>
    <n v="0"/>
    <d v="2025-05-26T00:00:00"/>
    <n v="118"/>
    <n v="28"/>
    <s v="Paid"/>
    <n v="0.01"/>
    <n v="0"/>
  </r>
  <r>
    <s v="VND-001"/>
    <s v="Acero Nacional SA"/>
    <x v="0"/>
    <s v="West"/>
    <s v="INV-0010"/>
    <d v="2025-04-12T00:00:00"/>
    <d v="2025-04-27T00:00:00"/>
    <n v="15"/>
    <n v="9673.6"/>
    <n v="6517.76"/>
    <n v="3155.84"/>
    <d v="2025-04-18T00:00:00"/>
    <n v="50"/>
    <n v="35"/>
    <s v="Partial"/>
    <n v="0.01"/>
    <n v="0"/>
  </r>
  <r>
    <s v="VND-001"/>
    <s v="Acero Nacional SA"/>
    <x v="0"/>
    <s v="West"/>
    <s v="INV-0011"/>
    <d v="2025-02-08T00:00:00"/>
    <d v="2025-02-23T00:00:00"/>
    <n v="15"/>
    <n v="12290.01"/>
    <n v="12290.01"/>
    <n v="0"/>
    <d v="2025-02-12T00:00:00"/>
    <n v="113"/>
    <n v="98"/>
    <s v="Paid"/>
    <n v="0"/>
    <n v="0"/>
  </r>
  <r>
    <s v="VND-001"/>
    <s v="Acero Nacional SA"/>
    <x v="0"/>
    <s v="West"/>
    <s v="INV-0012"/>
    <d v="2025-01-14T00:00:00"/>
    <d v="2025-03-15T00:00:00"/>
    <n v="60"/>
    <n v="16862.759999999998"/>
    <n v="0"/>
    <n v="16862.759999999998"/>
    <m/>
    <n v="138"/>
    <n v="78"/>
    <s v="Overdue"/>
    <n v="0"/>
    <n v="0"/>
  </r>
  <r>
    <s v="VND-001"/>
    <s v="Acero Nacional SA"/>
    <x v="0"/>
    <s v="West"/>
    <s v="INV-0013"/>
    <d v="2025-02-03T00:00:00"/>
    <d v="2025-03-20T00:00:00"/>
    <n v="45"/>
    <n v="44092.2"/>
    <n v="44092.2"/>
    <n v="0"/>
    <d v="2025-03-19T00:00:00"/>
    <n v="118"/>
    <n v="73"/>
    <s v="Paid"/>
    <n v="0.01"/>
    <n v="0"/>
  </r>
  <r>
    <s v="VND-001"/>
    <s v="Acero Nacional SA"/>
    <x v="0"/>
    <s v="West"/>
    <s v="INV-0014"/>
    <d v="2025-01-26T00:00:00"/>
    <d v="2025-02-10T00:00:00"/>
    <n v="15"/>
    <n v="11343.23"/>
    <n v="0"/>
    <n v="11343.23"/>
    <m/>
    <n v="126"/>
    <n v="111"/>
    <s v="Overdue"/>
    <n v="0.01"/>
    <n v="0"/>
  </r>
  <r>
    <s v="VND-001"/>
    <s v="Acero Nacional SA"/>
    <x v="0"/>
    <s v="West"/>
    <s v="INV-0015"/>
    <d v="2025-02-12T00:00:00"/>
    <d v="2025-02-27T00:00:00"/>
    <n v="15"/>
    <n v="8622.18"/>
    <n v="8622.18"/>
    <n v="0"/>
    <d v="2025-02-17T00:00:00"/>
    <n v="109"/>
    <n v="94"/>
    <s v="Paid"/>
    <n v="0.01"/>
    <n v="86.22"/>
  </r>
  <r>
    <s v="VND-001"/>
    <s v="Acero Nacional SA"/>
    <x v="0"/>
    <s v="West"/>
    <s v="INV-0016"/>
    <d v="2025-02-12T00:00:00"/>
    <d v="2025-03-14T00:00:00"/>
    <n v="30"/>
    <n v="74006.58"/>
    <n v="74006.58"/>
    <n v="0"/>
    <d v="2025-04-09T00:00:00"/>
    <n v="109"/>
    <n v="79"/>
    <s v="Paid"/>
    <n v="0.02"/>
    <n v="0"/>
  </r>
  <r>
    <s v="VND-001"/>
    <s v="Acero Nacional SA"/>
    <x v="0"/>
    <s v="West"/>
    <s v="INV-0017"/>
    <d v="2025-03-29T00:00:00"/>
    <d v="2025-05-13T00:00:00"/>
    <n v="45"/>
    <n v="10259.85"/>
    <n v="10259.85"/>
    <n v="0"/>
    <d v="2025-04-02T00:00:00"/>
    <n v="64"/>
    <n v="19"/>
    <s v="Paid"/>
    <n v="0.02"/>
    <n v="205.2"/>
  </r>
  <r>
    <s v="VND-001"/>
    <s v="Acero Nacional SA"/>
    <x v="0"/>
    <s v="West"/>
    <s v="INV-0018"/>
    <d v="2025-01-19T00:00:00"/>
    <d v="2025-03-05T00:00:00"/>
    <n v="45"/>
    <n v="1880.73"/>
    <n v="1880.73"/>
    <n v="0"/>
    <d v="2025-02-12T00:00:00"/>
    <n v="133"/>
    <n v="88"/>
    <s v="Paid"/>
    <n v="0"/>
    <n v="0"/>
  </r>
  <r>
    <s v="VND-001"/>
    <s v="Acero Nacional SA"/>
    <x v="0"/>
    <s v="West"/>
    <s v="INV-0019"/>
    <d v="2025-02-14T00:00:00"/>
    <d v="2025-03-31T00:00:00"/>
    <n v="45"/>
    <n v="65967"/>
    <n v="65967"/>
    <n v="0"/>
    <d v="2025-03-09T00:00:00"/>
    <n v="107"/>
    <n v="62"/>
    <s v="Paid"/>
    <n v="2.5000000000000001E-2"/>
    <n v="1649.18"/>
  </r>
  <r>
    <s v="VND-001"/>
    <s v="Acero Nacional SA"/>
    <x v="0"/>
    <s v="West"/>
    <s v="INV-0020"/>
    <d v="2025-01-11T00:00:00"/>
    <d v="2025-01-26T00:00:00"/>
    <n v="15"/>
    <n v="15316.81"/>
    <n v="15316.81"/>
    <n v="0"/>
    <d v="2025-02-19T00:00:00"/>
    <n v="141"/>
    <n v="126"/>
    <s v="Paid"/>
    <n v="0"/>
    <n v="0"/>
  </r>
  <r>
    <s v="VND-001"/>
    <s v="Acero Nacional SA"/>
    <x v="0"/>
    <s v="West"/>
    <s v="INV-0021"/>
    <d v="2025-02-14T00:00:00"/>
    <d v="2025-04-15T00:00:00"/>
    <n v="60"/>
    <n v="19186.57"/>
    <n v="0"/>
    <n v="19186.57"/>
    <m/>
    <n v="107"/>
    <n v="47"/>
    <s v="Overdue"/>
    <n v="0.01"/>
    <n v="0"/>
  </r>
  <r>
    <s v="VND-001"/>
    <s v="Acero Nacional SA"/>
    <x v="0"/>
    <s v="West"/>
    <s v="INV-0022"/>
    <d v="2025-03-09T00:00:00"/>
    <d v="2025-03-24T00:00:00"/>
    <n v="15"/>
    <n v="70064.179999999993"/>
    <n v="70064.179999999993"/>
    <n v="0"/>
    <d v="2025-03-16T00:00:00"/>
    <n v="84"/>
    <n v="69"/>
    <s v="Paid"/>
    <n v="0.02"/>
    <n v="1401.28"/>
  </r>
  <r>
    <s v="VND-001"/>
    <s v="Acero Nacional SA"/>
    <x v="0"/>
    <s v="West"/>
    <s v="INV-0023"/>
    <d v="2025-02-18T00:00:00"/>
    <d v="2025-04-04T00:00:00"/>
    <n v="45"/>
    <n v="35611.9"/>
    <n v="35611.9"/>
    <n v="0"/>
    <d v="2025-04-18T00:00:00"/>
    <n v="103"/>
    <n v="58"/>
    <s v="Paid"/>
    <n v="0"/>
    <n v="0"/>
  </r>
  <r>
    <s v="VND-001"/>
    <s v="Acero Nacional SA"/>
    <x v="0"/>
    <s v="West"/>
    <s v="INV-0024"/>
    <d v="2025-03-23T00:00:00"/>
    <d v="2025-04-07T00:00:00"/>
    <n v="15"/>
    <n v="40748.9"/>
    <n v="40748.9"/>
    <n v="0"/>
    <d v="2025-04-25T00:00:00"/>
    <n v="70"/>
    <n v="55"/>
    <s v="Paid"/>
    <n v="0.02"/>
    <n v="0"/>
  </r>
  <r>
    <s v="VND-001"/>
    <s v="Acero Nacional SA"/>
    <x v="0"/>
    <s v="West"/>
    <s v="INV-0025"/>
    <d v="2025-04-25T00:00:00"/>
    <d v="2025-06-09T00:00:00"/>
    <n v="45"/>
    <n v="35042.83"/>
    <n v="0"/>
    <n v="35042.83"/>
    <m/>
    <n v="37"/>
    <n v="0"/>
    <s v="Pending"/>
    <n v="0.02"/>
    <n v="0"/>
  </r>
  <r>
    <s v="VND-001"/>
    <s v="Acero Nacional SA"/>
    <x v="0"/>
    <s v="West"/>
    <s v="INV-0026"/>
    <d v="2024-12-10T00:00:00"/>
    <d v="2025-03-10T00:00:00"/>
    <n v="90"/>
    <n v="13594.17"/>
    <n v="0"/>
    <n v="13594.17"/>
    <m/>
    <n v="173"/>
    <n v="83"/>
    <s v="Overdue"/>
    <n v="2.5000000000000001E-2"/>
    <n v="0"/>
  </r>
  <r>
    <s v="VND-001"/>
    <s v="Acero Nacional SA"/>
    <x v="0"/>
    <s v="West"/>
    <s v="INV-0027"/>
    <d v="2024-12-24T00:00:00"/>
    <d v="2025-03-24T00:00:00"/>
    <n v="90"/>
    <n v="53675.75"/>
    <n v="53675.75"/>
    <n v="0"/>
    <d v="2025-02-05T00:00:00"/>
    <n v="159"/>
    <n v="69"/>
    <s v="Paid"/>
    <n v="2.5000000000000001E-2"/>
    <n v="1341.89"/>
  </r>
  <r>
    <s v="VND-001"/>
    <s v="Acero Nacional SA"/>
    <x v="0"/>
    <s v="West"/>
    <s v="INV-0028"/>
    <d v="2025-04-07T00:00:00"/>
    <d v="2025-05-22T00:00:00"/>
    <n v="45"/>
    <n v="1340.59"/>
    <n v="0"/>
    <n v="1340.59"/>
    <m/>
    <n v="55"/>
    <n v="10"/>
    <s v="Overdue"/>
    <n v="0.02"/>
    <n v="0"/>
  </r>
  <r>
    <s v="VND-001"/>
    <s v="Acero Nacional SA"/>
    <x v="0"/>
    <s v="West"/>
    <s v="INV-0029"/>
    <d v="2025-04-08T00:00:00"/>
    <d v="2025-05-08T00:00:00"/>
    <n v="30"/>
    <n v="63369.91"/>
    <n v="0"/>
    <n v="63369.91"/>
    <m/>
    <n v="54"/>
    <n v="24"/>
    <s v="Overdue"/>
    <n v="0.02"/>
    <n v="0"/>
  </r>
  <r>
    <s v="VND-001"/>
    <s v="Acero Nacional SA"/>
    <x v="0"/>
    <s v="West"/>
    <s v="INV-0030"/>
    <d v="2025-03-29T00:00:00"/>
    <d v="2025-05-28T00:00:00"/>
    <n v="60"/>
    <n v="68979.929999999993"/>
    <n v="0"/>
    <n v="68979.929999999993"/>
    <m/>
    <n v="64"/>
    <n v="4"/>
    <s v="Overdue"/>
    <n v="0.02"/>
    <n v="0"/>
  </r>
  <r>
    <s v="VND-001"/>
    <s v="Acero Nacional SA"/>
    <x v="0"/>
    <s v="West"/>
    <s v="INV-0031"/>
    <d v="2025-05-27T00:00:00"/>
    <d v="2025-06-11T00:00:00"/>
    <n v="15"/>
    <n v="40630.839999999997"/>
    <n v="0"/>
    <n v="40630.839999999997"/>
    <m/>
    <n v="5"/>
    <n v="0"/>
    <s v="Pending"/>
    <n v="0.01"/>
    <n v="0"/>
  </r>
  <r>
    <s v="VND-001"/>
    <s v="Acero Nacional SA"/>
    <x v="0"/>
    <s v="West"/>
    <s v="INV-0032"/>
    <d v="2025-03-09T00:00:00"/>
    <d v="2025-04-08T00:00:00"/>
    <n v="30"/>
    <n v="41378.160000000003"/>
    <n v="41378.160000000003"/>
    <n v="0"/>
    <d v="2025-04-17T00:00:00"/>
    <n v="84"/>
    <n v="54"/>
    <s v="Paid"/>
    <n v="2.5000000000000001E-2"/>
    <n v="0"/>
  </r>
  <r>
    <s v="VND-002"/>
    <s v="TechSupplies Inc"/>
    <x v="1"/>
    <s v="West"/>
    <s v="INV-0033"/>
    <d v="2025-01-28T00:00:00"/>
    <d v="2025-04-28T00:00:00"/>
    <n v="90"/>
    <n v="42951.45"/>
    <n v="42951.45"/>
    <n v="0"/>
    <d v="2025-01-30T00:00:00"/>
    <n v="124"/>
    <n v="34"/>
    <s v="Paid"/>
    <n v="0.02"/>
    <n v="859.03"/>
  </r>
  <r>
    <s v="VND-002"/>
    <s v="TechSupplies Inc"/>
    <x v="1"/>
    <s v="West"/>
    <s v="INV-0034"/>
    <d v="2025-05-01T00:00:00"/>
    <d v="2025-06-15T00:00:00"/>
    <n v="45"/>
    <n v="6970.15"/>
    <n v="0"/>
    <n v="6970.15"/>
    <m/>
    <n v="31"/>
    <n v="0"/>
    <s v="Pending"/>
    <n v="0"/>
    <n v="0"/>
  </r>
  <r>
    <s v="VND-002"/>
    <s v="TechSupplies Inc"/>
    <x v="1"/>
    <s v="West"/>
    <s v="INV-0035"/>
    <d v="2025-02-10T00:00:00"/>
    <d v="2025-03-27T00:00:00"/>
    <n v="45"/>
    <n v="30168.89"/>
    <n v="30168.89"/>
    <n v="0"/>
    <d v="2025-02-16T00:00:00"/>
    <n v="111"/>
    <n v="66"/>
    <s v="Paid"/>
    <n v="0.02"/>
    <n v="603.38"/>
  </r>
  <r>
    <s v="VND-002"/>
    <s v="TechSupplies Inc"/>
    <x v="1"/>
    <s v="West"/>
    <s v="INV-0036"/>
    <d v="2025-02-15T00:00:00"/>
    <d v="2025-04-16T00:00:00"/>
    <n v="60"/>
    <n v="63350.62"/>
    <n v="12032.06"/>
    <n v="51318.559999999998"/>
    <d v="2025-03-04T00:00:00"/>
    <n v="106"/>
    <n v="46"/>
    <s v="Partial"/>
    <n v="0.02"/>
    <n v="0"/>
  </r>
  <r>
    <s v="VND-002"/>
    <s v="TechSupplies Inc"/>
    <x v="1"/>
    <s v="West"/>
    <s v="INV-0037"/>
    <d v="2025-02-02T00:00:00"/>
    <d v="2025-04-03T00:00:00"/>
    <n v="60"/>
    <n v="34034.879999999997"/>
    <n v="34034.879999999997"/>
    <n v="0"/>
    <d v="2025-02-15T00:00:00"/>
    <n v="119"/>
    <n v="59"/>
    <s v="Paid"/>
    <n v="0.01"/>
    <n v="340.35"/>
  </r>
  <r>
    <s v="VND-002"/>
    <s v="TechSupplies Inc"/>
    <x v="1"/>
    <s v="West"/>
    <s v="INV-0038"/>
    <d v="2025-03-18T00:00:00"/>
    <d v="2025-05-17T00:00:00"/>
    <n v="60"/>
    <n v="46240.43"/>
    <n v="46240.43"/>
    <n v="0"/>
    <d v="2025-05-15T00:00:00"/>
    <n v="75"/>
    <n v="15"/>
    <s v="Paid"/>
    <n v="2.5000000000000001E-2"/>
    <n v="0"/>
  </r>
  <r>
    <s v="VND-002"/>
    <s v="TechSupplies Inc"/>
    <x v="1"/>
    <s v="West"/>
    <s v="INV-0039"/>
    <d v="2025-01-25T00:00:00"/>
    <d v="2025-04-25T00:00:00"/>
    <n v="90"/>
    <n v="71541.42"/>
    <n v="0"/>
    <n v="71541.42"/>
    <m/>
    <n v="127"/>
    <n v="37"/>
    <s v="Overdue"/>
    <n v="2.5000000000000001E-2"/>
    <n v="0"/>
  </r>
  <r>
    <s v="VND-002"/>
    <s v="TechSupplies Inc"/>
    <x v="1"/>
    <s v="West"/>
    <s v="INV-0040"/>
    <d v="2025-05-08T00:00:00"/>
    <d v="2025-08-06T00:00:00"/>
    <n v="90"/>
    <n v="19926.27"/>
    <n v="0"/>
    <n v="19926.27"/>
    <m/>
    <n v="24"/>
    <n v="0"/>
    <s v="Pending"/>
    <n v="2.5000000000000001E-2"/>
    <n v="0"/>
  </r>
  <r>
    <s v="VND-002"/>
    <s v="TechSupplies Inc"/>
    <x v="1"/>
    <s v="West"/>
    <s v="INV-0041"/>
    <d v="2025-04-28T00:00:00"/>
    <d v="2025-06-12T00:00:00"/>
    <n v="45"/>
    <n v="63904.89"/>
    <n v="0"/>
    <n v="63904.89"/>
    <m/>
    <n v="34"/>
    <n v="0"/>
    <s v="Pending"/>
    <n v="0"/>
    <n v="0"/>
  </r>
  <r>
    <s v="VND-002"/>
    <s v="TechSupplies Inc"/>
    <x v="1"/>
    <s v="West"/>
    <s v="INV-0042"/>
    <d v="2025-05-26T00:00:00"/>
    <d v="2025-08-24T00:00:00"/>
    <n v="90"/>
    <n v="54769.74"/>
    <n v="0"/>
    <n v="54769.74"/>
    <m/>
    <n v="6"/>
    <n v="0"/>
    <s v="Pending"/>
    <n v="0.02"/>
    <n v="0"/>
  </r>
  <r>
    <s v="VND-002"/>
    <s v="TechSupplies Inc"/>
    <x v="1"/>
    <s v="West"/>
    <s v="INV-0043"/>
    <d v="2024-12-29T00:00:00"/>
    <d v="2025-02-12T00:00:00"/>
    <n v="45"/>
    <n v="33701.17"/>
    <n v="33701.17"/>
    <n v="0"/>
    <d v="2025-01-01T00:00:00"/>
    <n v="154"/>
    <n v="109"/>
    <s v="Paid"/>
    <n v="0.01"/>
    <n v="337.01"/>
  </r>
  <r>
    <s v="VND-002"/>
    <s v="TechSupplies Inc"/>
    <x v="1"/>
    <s v="West"/>
    <s v="INV-0044"/>
    <d v="2025-02-15T00:00:00"/>
    <d v="2025-03-02T00:00:00"/>
    <n v="15"/>
    <n v="4772.75"/>
    <n v="0"/>
    <n v="4772.75"/>
    <m/>
    <n v="106"/>
    <n v="91"/>
    <s v="Overdue"/>
    <n v="0.01"/>
    <n v="0"/>
  </r>
  <r>
    <s v="VND-002"/>
    <s v="TechSupplies Inc"/>
    <x v="1"/>
    <s v="West"/>
    <s v="INV-0045"/>
    <d v="2025-03-14T00:00:00"/>
    <d v="2025-04-13T00:00:00"/>
    <n v="30"/>
    <n v="67188.87"/>
    <n v="0"/>
    <n v="67188.87"/>
    <m/>
    <n v="79"/>
    <n v="49"/>
    <s v="Overdue"/>
    <n v="0"/>
    <n v="0"/>
  </r>
  <r>
    <s v="VND-002"/>
    <s v="TechSupplies Inc"/>
    <x v="1"/>
    <s v="West"/>
    <s v="INV-0046"/>
    <d v="2025-02-10T00:00:00"/>
    <d v="2025-03-12T00:00:00"/>
    <n v="30"/>
    <n v="64622.99"/>
    <n v="18802.77"/>
    <n v="45820.22"/>
    <d v="2025-05-06T00:00:00"/>
    <n v="111"/>
    <n v="81"/>
    <s v="Partial"/>
    <n v="0"/>
    <n v="0"/>
  </r>
  <r>
    <s v="VND-002"/>
    <s v="TechSupplies Inc"/>
    <x v="1"/>
    <s v="West"/>
    <s v="INV-0047"/>
    <d v="2025-02-23T00:00:00"/>
    <d v="2025-03-10T00:00:00"/>
    <n v="15"/>
    <n v="45216.38"/>
    <n v="45216.38"/>
    <n v="0"/>
    <d v="2025-03-16T00:00:00"/>
    <n v="98"/>
    <n v="83"/>
    <s v="Paid"/>
    <n v="0.01"/>
    <n v="0"/>
  </r>
  <r>
    <s v="VND-002"/>
    <s v="TechSupplies Inc"/>
    <x v="1"/>
    <s v="West"/>
    <s v="INV-0048"/>
    <d v="2025-02-26T00:00:00"/>
    <d v="2025-05-27T00:00:00"/>
    <n v="90"/>
    <n v="7435.58"/>
    <n v="7435.58"/>
    <n v="0"/>
    <d v="2025-06-23T00:00:00"/>
    <n v="95"/>
    <n v="5"/>
    <s v="Paid"/>
    <n v="0"/>
    <n v="0"/>
  </r>
  <r>
    <s v="VND-002"/>
    <s v="TechSupplies Inc"/>
    <x v="1"/>
    <s v="West"/>
    <s v="INV-0049"/>
    <d v="2025-04-22T00:00:00"/>
    <d v="2025-05-22T00:00:00"/>
    <n v="30"/>
    <n v="44080.53"/>
    <n v="44080.53"/>
    <n v="0"/>
    <d v="2025-06-12T00:00:00"/>
    <n v="40"/>
    <n v="10"/>
    <s v="Paid"/>
    <n v="0"/>
    <n v="0"/>
  </r>
  <r>
    <s v="VND-002"/>
    <s v="TechSupplies Inc"/>
    <x v="1"/>
    <s v="West"/>
    <s v="INV-0050"/>
    <d v="2025-02-19T00:00:00"/>
    <d v="2025-03-21T00:00:00"/>
    <n v="30"/>
    <n v="28958.78"/>
    <n v="0"/>
    <n v="28958.78"/>
    <m/>
    <n v="102"/>
    <n v="72"/>
    <s v="Overdue"/>
    <n v="0.01"/>
    <n v="0"/>
  </r>
  <r>
    <s v="VND-002"/>
    <s v="TechSupplies Inc"/>
    <x v="1"/>
    <s v="West"/>
    <s v="INV-0051"/>
    <d v="2024-12-22T00:00:00"/>
    <d v="2025-01-21T00:00:00"/>
    <n v="30"/>
    <n v="27867.26"/>
    <n v="27867.26"/>
    <n v="0"/>
    <d v="2025-02-16T00:00:00"/>
    <n v="161"/>
    <n v="131"/>
    <s v="Paid"/>
    <n v="0"/>
    <n v="0"/>
  </r>
  <r>
    <s v="VND-002"/>
    <s v="TechSupplies Inc"/>
    <x v="1"/>
    <s v="West"/>
    <s v="INV-0052"/>
    <d v="2024-12-18T00:00:00"/>
    <d v="2025-02-16T00:00:00"/>
    <n v="60"/>
    <n v="15851.23"/>
    <n v="15851.23"/>
    <n v="0"/>
    <d v="2025-02-21T00:00:00"/>
    <n v="165"/>
    <n v="105"/>
    <s v="Paid"/>
    <n v="0.01"/>
    <n v="0"/>
  </r>
  <r>
    <s v="VND-002"/>
    <s v="TechSupplies Inc"/>
    <x v="1"/>
    <s v="West"/>
    <s v="INV-0053"/>
    <d v="2025-01-20T00:00:00"/>
    <d v="2025-04-20T00:00:00"/>
    <n v="90"/>
    <n v="58724.66"/>
    <n v="58724.66"/>
    <n v="0"/>
    <d v="2025-04-17T00:00:00"/>
    <n v="132"/>
    <n v="42"/>
    <s v="Paid"/>
    <n v="0"/>
    <n v="0"/>
  </r>
  <r>
    <s v="VND-002"/>
    <s v="TechSupplies Inc"/>
    <x v="1"/>
    <s v="West"/>
    <s v="INV-0054"/>
    <d v="2025-05-03T00:00:00"/>
    <d v="2025-06-02T00:00:00"/>
    <n v="30"/>
    <n v="45773.11"/>
    <n v="0"/>
    <n v="45773.11"/>
    <m/>
    <n v="29"/>
    <n v="0"/>
    <s v="Pending"/>
    <n v="0"/>
    <n v="0"/>
  </r>
  <r>
    <s v="VND-002"/>
    <s v="TechSupplies Inc"/>
    <x v="1"/>
    <s v="West"/>
    <s v="INV-0055"/>
    <d v="2025-04-16T00:00:00"/>
    <d v="2025-05-16T00:00:00"/>
    <n v="30"/>
    <n v="62149.56"/>
    <n v="62149.56"/>
    <n v="0"/>
    <d v="2025-05-04T00:00:00"/>
    <n v="46"/>
    <n v="16"/>
    <s v="Paid"/>
    <n v="0.02"/>
    <n v="1242.99"/>
  </r>
  <r>
    <s v="VND-002"/>
    <s v="TechSupplies Inc"/>
    <x v="1"/>
    <s v="West"/>
    <s v="INV-0056"/>
    <d v="2025-05-16T00:00:00"/>
    <d v="2025-08-14T00:00:00"/>
    <n v="90"/>
    <n v="32325.599999999999"/>
    <n v="0"/>
    <n v="32325.599999999999"/>
    <m/>
    <n v="16"/>
    <n v="0"/>
    <s v="Pending"/>
    <n v="0.02"/>
    <n v="0"/>
  </r>
  <r>
    <s v="VND-002"/>
    <s v="TechSupplies Inc"/>
    <x v="1"/>
    <s v="West"/>
    <s v="INV-0057"/>
    <d v="2025-04-24T00:00:00"/>
    <d v="2025-05-09T00:00:00"/>
    <n v="15"/>
    <n v="70595.520000000004"/>
    <n v="70595.520000000004"/>
    <n v="0"/>
    <d v="2025-05-09T00:00:00"/>
    <n v="38"/>
    <n v="23"/>
    <s v="Paid"/>
    <n v="0.02"/>
    <n v="0"/>
  </r>
  <r>
    <s v="VND-002"/>
    <s v="TechSupplies Inc"/>
    <x v="1"/>
    <s v="West"/>
    <s v="INV-0058"/>
    <d v="2025-02-07T00:00:00"/>
    <d v="2025-02-22T00:00:00"/>
    <n v="15"/>
    <n v="4183.28"/>
    <n v="0"/>
    <n v="4183.28"/>
    <m/>
    <n v="114"/>
    <n v="99"/>
    <s v="Overdue"/>
    <n v="0.01"/>
    <n v="0"/>
  </r>
  <r>
    <s v="VND-002"/>
    <s v="TechSupplies Inc"/>
    <x v="1"/>
    <s v="West"/>
    <s v="INV-0059"/>
    <d v="2025-03-07T00:00:00"/>
    <d v="2025-04-21T00:00:00"/>
    <n v="45"/>
    <n v="53455.28"/>
    <n v="53455.28"/>
    <n v="0"/>
    <d v="2025-03-24T00:00:00"/>
    <n v="86"/>
    <n v="41"/>
    <s v="Paid"/>
    <n v="0"/>
    <n v="0"/>
  </r>
  <r>
    <s v="VND-002"/>
    <s v="TechSupplies Inc"/>
    <x v="1"/>
    <s v="West"/>
    <s v="INV-0060"/>
    <d v="2024-12-22T00:00:00"/>
    <d v="2025-01-21T00:00:00"/>
    <n v="30"/>
    <n v="44290.13"/>
    <n v="44290.13"/>
    <n v="0"/>
    <d v="2025-01-31T00:00:00"/>
    <n v="161"/>
    <n v="131"/>
    <s v="Paid"/>
    <n v="0"/>
    <n v="0"/>
  </r>
  <r>
    <s v="VND-002"/>
    <s v="TechSupplies Inc"/>
    <x v="1"/>
    <s v="West"/>
    <s v="INV-0061"/>
    <d v="2025-02-14T00:00:00"/>
    <d v="2025-04-15T00:00:00"/>
    <n v="60"/>
    <n v="41469.51"/>
    <n v="41469.51"/>
    <n v="0"/>
    <d v="2025-03-12T00:00:00"/>
    <n v="107"/>
    <n v="47"/>
    <s v="Paid"/>
    <n v="0.01"/>
    <n v="414.7"/>
  </r>
  <r>
    <s v="VND-002"/>
    <s v="TechSupplies Inc"/>
    <x v="1"/>
    <s v="West"/>
    <s v="INV-0062"/>
    <d v="2025-05-14T00:00:00"/>
    <d v="2025-06-13T00:00:00"/>
    <n v="30"/>
    <n v="20099.45"/>
    <n v="0"/>
    <n v="20099.45"/>
    <m/>
    <n v="18"/>
    <n v="0"/>
    <s v="Pending"/>
    <n v="0.02"/>
    <n v="0"/>
  </r>
  <r>
    <s v="VND-002"/>
    <s v="TechSupplies Inc"/>
    <x v="1"/>
    <s v="West"/>
    <s v="INV-0063"/>
    <d v="2025-01-02T00:00:00"/>
    <d v="2025-01-17T00:00:00"/>
    <n v="15"/>
    <n v="35342.199999999997"/>
    <n v="35342.199999999997"/>
    <n v="0"/>
    <d v="2025-01-22T00:00:00"/>
    <n v="150"/>
    <n v="135"/>
    <s v="Paid"/>
    <n v="0"/>
    <n v="0"/>
  </r>
  <r>
    <s v="VND-002"/>
    <s v="TechSupplies Inc"/>
    <x v="1"/>
    <s v="West"/>
    <s v="INV-0064"/>
    <d v="2025-04-11T00:00:00"/>
    <d v="2025-05-26T00:00:00"/>
    <n v="45"/>
    <n v="5840.46"/>
    <n v="5840.46"/>
    <n v="0"/>
    <d v="2025-05-08T00:00:00"/>
    <n v="51"/>
    <n v="6"/>
    <s v="Paid"/>
    <n v="0.02"/>
    <n v="116.81"/>
  </r>
  <r>
    <s v="VND-002"/>
    <s v="TechSupplies Inc"/>
    <x v="1"/>
    <s v="West"/>
    <s v="INV-0065"/>
    <d v="2025-04-19T00:00:00"/>
    <d v="2025-05-04T00:00:00"/>
    <n v="15"/>
    <n v="74680.759999999995"/>
    <n v="56448.27"/>
    <n v="18232.490000000002"/>
    <d v="2025-05-18T00:00:00"/>
    <n v="43"/>
    <n v="28"/>
    <s v="Partial"/>
    <n v="0"/>
    <n v="0"/>
  </r>
  <r>
    <s v="VND-002"/>
    <s v="TechSupplies Inc"/>
    <x v="1"/>
    <s v="West"/>
    <s v="INV-0066"/>
    <d v="2025-05-09T00:00:00"/>
    <d v="2025-06-08T00:00:00"/>
    <n v="30"/>
    <n v="47470.01"/>
    <n v="0"/>
    <n v="47470.01"/>
    <m/>
    <n v="23"/>
    <n v="0"/>
    <s v="Pending"/>
    <n v="0.02"/>
    <n v="0"/>
  </r>
  <r>
    <s v="VND-002"/>
    <s v="TechSupplies Inc"/>
    <x v="1"/>
    <s v="West"/>
    <s v="INV-0067"/>
    <d v="2025-01-25T00:00:00"/>
    <d v="2025-04-25T00:00:00"/>
    <n v="90"/>
    <n v="8188.53"/>
    <n v="8188.53"/>
    <n v="0"/>
    <d v="2025-04-08T00:00:00"/>
    <n v="127"/>
    <n v="37"/>
    <s v="Paid"/>
    <n v="0.01"/>
    <n v="81.89"/>
  </r>
  <r>
    <s v="VND-002"/>
    <s v="TechSupplies Inc"/>
    <x v="1"/>
    <s v="West"/>
    <s v="INV-0068"/>
    <d v="2025-01-23T00:00:00"/>
    <d v="2025-02-22T00:00:00"/>
    <n v="30"/>
    <n v="57522.03"/>
    <n v="13872.78"/>
    <n v="43649.25"/>
    <d v="2025-03-09T00:00:00"/>
    <n v="129"/>
    <n v="99"/>
    <s v="Partial"/>
    <n v="0"/>
    <n v="0"/>
  </r>
  <r>
    <s v="VND-002"/>
    <s v="TechSupplies Inc"/>
    <x v="1"/>
    <s v="West"/>
    <s v="INV-0069"/>
    <d v="2025-04-23T00:00:00"/>
    <d v="2025-06-22T00:00:00"/>
    <n v="60"/>
    <n v="59314.02"/>
    <n v="0"/>
    <n v="59314.02"/>
    <m/>
    <n v="39"/>
    <n v="0"/>
    <s v="Pending"/>
    <n v="0.01"/>
    <n v="0"/>
  </r>
  <r>
    <s v="VND-002"/>
    <s v="TechSupplies Inc"/>
    <x v="1"/>
    <s v="West"/>
    <s v="INV-0070"/>
    <d v="2024-12-03T00:00:00"/>
    <d v="2025-01-17T00:00:00"/>
    <n v="45"/>
    <n v="14259.59"/>
    <n v="14259.59"/>
    <n v="0"/>
    <d v="2025-01-05T00:00:00"/>
    <n v="180"/>
    <n v="135"/>
    <s v="Paid"/>
    <n v="0"/>
    <n v="0"/>
  </r>
  <r>
    <s v="VND-002"/>
    <s v="TechSupplies Inc"/>
    <x v="1"/>
    <s v="West"/>
    <s v="INV-0071"/>
    <d v="2025-03-30T00:00:00"/>
    <d v="2025-05-29T00:00:00"/>
    <n v="60"/>
    <n v="32238.99"/>
    <n v="32238.99"/>
    <n v="0"/>
    <d v="2025-04-19T00:00:00"/>
    <n v="63"/>
    <n v="3"/>
    <s v="Paid"/>
    <n v="0"/>
    <n v="0"/>
  </r>
  <r>
    <s v="VND-002"/>
    <s v="TechSupplies Inc"/>
    <x v="1"/>
    <s v="West"/>
    <s v="INV-0072"/>
    <d v="2025-01-03T00:00:00"/>
    <d v="2025-02-17T00:00:00"/>
    <n v="45"/>
    <n v="40160"/>
    <n v="40160"/>
    <n v="0"/>
    <d v="2025-02-18T00:00:00"/>
    <n v="149"/>
    <n v="104"/>
    <s v="Paid"/>
    <n v="0"/>
    <n v="0"/>
  </r>
  <r>
    <s v="VND-002"/>
    <s v="TechSupplies Inc"/>
    <x v="1"/>
    <s v="West"/>
    <s v="INV-0073"/>
    <d v="2025-05-18T00:00:00"/>
    <d v="2025-07-17T00:00:00"/>
    <n v="60"/>
    <n v="5910.12"/>
    <n v="0"/>
    <n v="5910.12"/>
    <m/>
    <n v="14"/>
    <n v="0"/>
    <s v="Pending"/>
    <n v="0.01"/>
    <n v="0"/>
  </r>
  <r>
    <s v="VND-002"/>
    <s v="TechSupplies Inc"/>
    <x v="1"/>
    <s v="West"/>
    <s v="INV-0074"/>
    <d v="2024-12-09T00:00:00"/>
    <d v="2025-01-23T00:00:00"/>
    <n v="45"/>
    <n v="15624.27"/>
    <n v="15624.27"/>
    <n v="0"/>
    <d v="2025-01-11T00:00:00"/>
    <n v="174"/>
    <n v="129"/>
    <s v="Paid"/>
    <n v="0.02"/>
    <n v="312.49"/>
  </r>
  <r>
    <s v="VND-002"/>
    <s v="TechSupplies Inc"/>
    <x v="1"/>
    <s v="West"/>
    <s v="INV-0075"/>
    <d v="2025-03-13T00:00:00"/>
    <d v="2025-04-12T00:00:00"/>
    <n v="30"/>
    <n v="58329.599999999999"/>
    <n v="58329.599999999999"/>
    <n v="0"/>
    <d v="2025-03-25T00:00:00"/>
    <n v="80"/>
    <n v="50"/>
    <s v="Paid"/>
    <n v="0"/>
    <n v="0"/>
  </r>
  <r>
    <s v="VND-003"/>
    <s v="LogiExpress"/>
    <x v="2"/>
    <s v="East"/>
    <s v="INV-0076"/>
    <d v="2025-01-12T00:00:00"/>
    <d v="2025-02-26T00:00:00"/>
    <n v="45"/>
    <n v="16650.990000000002"/>
    <n v="16650.990000000002"/>
    <n v="0"/>
    <d v="2025-02-27T00:00:00"/>
    <n v="140"/>
    <n v="95"/>
    <s v="Paid"/>
    <n v="0"/>
    <n v="0"/>
  </r>
  <r>
    <s v="VND-003"/>
    <s v="LogiExpress"/>
    <x v="2"/>
    <s v="East"/>
    <s v="INV-0077"/>
    <d v="2025-02-26T00:00:00"/>
    <d v="2025-03-28T00:00:00"/>
    <n v="30"/>
    <n v="12149.77"/>
    <n v="12149.77"/>
    <n v="0"/>
    <d v="2025-04-10T00:00:00"/>
    <n v="95"/>
    <n v="65"/>
    <s v="Paid"/>
    <n v="0"/>
    <n v="0"/>
  </r>
  <r>
    <s v="VND-003"/>
    <s v="LogiExpress"/>
    <x v="2"/>
    <s v="East"/>
    <s v="INV-0078"/>
    <d v="2025-05-23T00:00:00"/>
    <d v="2025-07-07T00:00:00"/>
    <n v="45"/>
    <n v="75367.649999999994"/>
    <n v="0"/>
    <n v="75367.649999999994"/>
    <m/>
    <n v="9"/>
    <n v="0"/>
    <s v="Pending"/>
    <n v="2.5000000000000001E-2"/>
    <n v="0"/>
  </r>
  <r>
    <s v="VND-003"/>
    <s v="LogiExpress"/>
    <x v="2"/>
    <s v="East"/>
    <s v="INV-0079"/>
    <d v="2025-04-18T00:00:00"/>
    <d v="2025-05-03T00:00:00"/>
    <n v="15"/>
    <n v="2701.38"/>
    <n v="2701.38"/>
    <n v="0"/>
    <d v="2025-04-28T00:00:00"/>
    <n v="44"/>
    <n v="29"/>
    <s v="Paid"/>
    <n v="0.01"/>
    <n v="27.01"/>
  </r>
  <r>
    <s v="VND-003"/>
    <s v="LogiExpress"/>
    <x v="2"/>
    <s v="East"/>
    <s v="INV-0080"/>
    <d v="2024-12-20T00:00:00"/>
    <d v="2025-02-03T00:00:00"/>
    <n v="45"/>
    <n v="61082.55"/>
    <n v="0"/>
    <n v="61082.55"/>
    <m/>
    <n v="163"/>
    <n v="118"/>
    <s v="Overdue"/>
    <n v="0"/>
    <n v="0"/>
  </r>
  <r>
    <s v="VND-003"/>
    <s v="LogiExpress"/>
    <x v="2"/>
    <s v="East"/>
    <s v="INV-0081"/>
    <d v="2025-02-05T00:00:00"/>
    <d v="2025-02-20T00:00:00"/>
    <n v="15"/>
    <n v="52941.52"/>
    <n v="0"/>
    <n v="52941.52"/>
    <m/>
    <n v="116"/>
    <n v="101"/>
    <s v="Overdue"/>
    <n v="0"/>
    <n v="0"/>
  </r>
  <r>
    <s v="VND-003"/>
    <s v="LogiExpress"/>
    <x v="2"/>
    <s v="East"/>
    <s v="INV-0082"/>
    <d v="2025-02-22T00:00:00"/>
    <d v="2025-04-23T00:00:00"/>
    <n v="60"/>
    <n v="34476.199999999997"/>
    <n v="34476.199999999997"/>
    <n v="0"/>
    <d v="2025-05-22T00:00:00"/>
    <n v="99"/>
    <n v="39"/>
    <s v="Paid"/>
    <n v="2.5000000000000001E-2"/>
    <n v="0"/>
  </r>
  <r>
    <s v="VND-003"/>
    <s v="LogiExpress"/>
    <x v="2"/>
    <s v="East"/>
    <s v="INV-0083"/>
    <d v="2024-12-13T00:00:00"/>
    <d v="2025-01-27T00:00:00"/>
    <n v="45"/>
    <n v="26839.38"/>
    <n v="26839.38"/>
    <n v="0"/>
    <d v="2025-02-05T00:00:00"/>
    <n v="170"/>
    <n v="125"/>
    <s v="Paid"/>
    <n v="0.02"/>
    <n v="0"/>
  </r>
  <r>
    <s v="VND-003"/>
    <s v="LogiExpress"/>
    <x v="2"/>
    <s v="East"/>
    <s v="INV-0084"/>
    <d v="2025-01-12T00:00:00"/>
    <d v="2025-02-11T00:00:00"/>
    <n v="30"/>
    <n v="6089.48"/>
    <n v="6089.48"/>
    <n v="0"/>
    <d v="2025-01-22T00:00:00"/>
    <n v="140"/>
    <n v="110"/>
    <s v="Paid"/>
    <n v="0"/>
    <n v="0"/>
  </r>
  <r>
    <s v="VND-003"/>
    <s v="LogiExpress"/>
    <x v="2"/>
    <s v="East"/>
    <s v="INV-0085"/>
    <d v="2024-12-20T00:00:00"/>
    <d v="2025-01-04T00:00:00"/>
    <n v="15"/>
    <n v="22407.51"/>
    <n v="0"/>
    <n v="22407.51"/>
    <m/>
    <n v="163"/>
    <n v="148"/>
    <s v="Overdue"/>
    <n v="0.02"/>
    <n v="0"/>
  </r>
  <r>
    <s v="VND-003"/>
    <s v="LogiExpress"/>
    <x v="2"/>
    <s v="East"/>
    <s v="INV-0086"/>
    <d v="2025-03-26T00:00:00"/>
    <d v="2025-04-25T00:00:00"/>
    <n v="30"/>
    <n v="35938.93"/>
    <n v="18736.63"/>
    <n v="17202.3"/>
    <d v="2025-04-29T00:00:00"/>
    <n v="67"/>
    <n v="37"/>
    <s v="Partial"/>
    <n v="2.5000000000000001E-2"/>
    <n v="0"/>
  </r>
  <r>
    <s v="VND-003"/>
    <s v="LogiExpress"/>
    <x v="2"/>
    <s v="East"/>
    <s v="INV-0087"/>
    <d v="2025-05-08T00:00:00"/>
    <d v="2025-07-07T00:00:00"/>
    <n v="60"/>
    <n v="10634.03"/>
    <n v="0"/>
    <n v="10634.03"/>
    <m/>
    <n v="24"/>
    <n v="0"/>
    <s v="Pending"/>
    <n v="0"/>
    <n v="0"/>
  </r>
  <r>
    <s v="VND-003"/>
    <s v="LogiExpress"/>
    <x v="2"/>
    <s v="East"/>
    <s v="INV-0088"/>
    <d v="2025-02-03T00:00:00"/>
    <d v="2025-04-04T00:00:00"/>
    <n v="60"/>
    <n v="63727.5"/>
    <n v="16864"/>
    <n v="46863.5"/>
    <d v="2025-05-03T00:00:00"/>
    <n v="118"/>
    <n v="58"/>
    <s v="Partial"/>
    <n v="0.02"/>
    <n v="0"/>
  </r>
  <r>
    <s v="VND-003"/>
    <s v="LogiExpress"/>
    <x v="2"/>
    <s v="East"/>
    <s v="INV-0089"/>
    <d v="2025-01-11T00:00:00"/>
    <d v="2025-01-26T00:00:00"/>
    <n v="15"/>
    <n v="73374.740000000005"/>
    <n v="73374.740000000005"/>
    <n v="0"/>
    <d v="2025-01-29T00:00:00"/>
    <n v="141"/>
    <n v="126"/>
    <s v="Paid"/>
    <n v="2.5000000000000001E-2"/>
    <n v="0"/>
  </r>
  <r>
    <s v="VND-003"/>
    <s v="LogiExpress"/>
    <x v="2"/>
    <s v="East"/>
    <s v="INV-0090"/>
    <d v="2024-12-27T00:00:00"/>
    <d v="2025-02-10T00:00:00"/>
    <n v="45"/>
    <n v="36847.9"/>
    <n v="36847.9"/>
    <n v="0"/>
    <d v="2025-02-03T00:00:00"/>
    <n v="156"/>
    <n v="111"/>
    <s v="Paid"/>
    <n v="2.5000000000000001E-2"/>
    <n v="921.2"/>
  </r>
  <r>
    <s v="VND-003"/>
    <s v="LogiExpress"/>
    <x v="2"/>
    <s v="East"/>
    <s v="INV-0091"/>
    <d v="2025-05-06T00:00:00"/>
    <d v="2025-05-21T00:00:00"/>
    <n v="15"/>
    <n v="4756.79"/>
    <n v="0"/>
    <n v="4756.79"/>
    <m/>
    <n v="26"/>
    <n v="11"/>
    <s v="Overdue"/>
    <n v="0"/>
    <n v="0"/>
  </r>
  <r>
    <s v="VND-003"/>
    <s v="LogiExpress"/>
    <x v="2"/>
    <s v="East"/>
    <s v="INV-0092"/>
    <d v="2025-02-12T00:00:00"/>
    <d v="2025-03-14T00:00:00"/>
    <n v="30"/>
    <n v="34445.949999999997"/>
    <n v="34445.949999999997"/>
    <n v="0"/>
    <d v="2025-03-09T00:00:00"/>
    <n v="109"/>
    <n v="79"/>
    <s v="Paid"/>
    <n v="0"/>
    <n v="0"/>
  </r>
  <r>
    <s v="VND-003"/>
    <s v="LogiExpress"/>
    <x v="2"/>
    <s v="East"/>
    <s v="INV-0093"/>
    <d v="2025-03-06T00:00:00"/>
    <d v="2025-04-05T00:00:00"/>
    <n v="30"/>
    <n v="17090.54"/>
    <n v="17090.54"/>
    <n v="0"/>
    <d v="2025-03-19T00:00:00"/>
    <n v="87"/>
    <n v="57"/>
    <s v="Paid"/>
    <n v="0"/>
    <n v="0"/>
  </r>
  <r>
    <s v="VND-003"/>
    <s v="LogiExpress"/>
    <x v="2"/>
    <s v="East"/>
    <s v="INV-0094"/>
    <d v="2025-03-15T00:00:00"/>
    <d v="2025-04-14T00:00:00"/>
    <n v="30"/>
    <n v="67194.539999999994"/>
    <n v="67194.539999999994"/>
    <n v="0"/>
    <d v="2025-05-07T00:00:00"/>
    <n v="78"/>
    <n v="48"/>
    <s v="Paid"/>
    <n v="0.02"/>
    <n v="0"/>
  </r>
  <r>
    <s v="VND-003"/>
    <s v="LogiExpress"/>
    <x v="2"/>
    <s v="East"/>
    <s v="INV-0095"/>
    <d v="2025-02-10T00:00:00"/>
    <d v="2025-02-25T00:00:00"/>
    <n v="15"/>
    <n v="25471.360000000001"/>
    <n v="25471.360000000001"/>
    <n v="0"/>
    <d v="2025-03-10T00:00:00"/>
    <n v="111"/>
    <n v="96"/>
    <s v="Paid"/>
    <n v="0.01"/>
    <n v="0"/>
  </r>
  <r>
    <s v="VND-003"/>
    <s v="LogiExpress"/>
    <x v="2"/>
    <s v="East"/>
    <s v="INV-0096"/>
    <d v="2024-12-17T00:00:00"/>
    <d v="2025-01-01T00:00:00"/>
    <n v="15"/>
    <n v="7137.34"/>
    <n v="7137.34"/>
    <n v="0"/>
    <d v="2024-12-22T00:00:00"/>
    <n v="166"/>
    <n v="151"/>
    <s v="Paid"/>
    <n v="0.02"/>
    <n v="142.75"/>
  </r>
  <r>
    <s v="VND-003"/>
    <s v="LogiExpress"/>
    <x v="2"/>
    <s v="East"/>
    <s v="INV-0097"/>
    <d v="2025-03-18T00:00:00"/>
    <d v="2025-04-02T00:00:00"/>
    <n v="15"/>
    <n v="3774.98"/>
    <n v="3774.98"/>
    <n v="0"/>
    <d v="2025-03-30T00:00:00"/>
    <n v="75"/>
    <n v="60"/>
    <s v="Paid"/>
    <n v="0"/>
    <n v="0"/>
  </r>
  <r>
    <s v="VND-003"/>
    <s v="LogiExpress"/>
    <x v="2"/>
    <s v="East"/>
    <s v="INV-0098"/>
    <d v="2025-04-25T00:00:00"/>
    <d v="2025-06-09T00:00:00"/>
    <n v="45"/>
    <n v="48220.98"/>
    <n v="0"/>
    <n v="48220.98"/>
    <m/>
    <n v="37"/>
    <n v="0"/>
    <s v="Pending"/>
    <n v="0.01"/>
    <n v="0"/>
  </r>
  <r>
    <s v="VND-003"/>
    <s v="LogiExpress"/>
    <x v="2"/>
    <s v="East"/>
    <s v="INV-0099"/>
    <d v="2025-01-19T00:00:00"/>
    <d v="2025-03-05T00:00:00"/>
    <n v="45"/>
    <n v="66448.490000000005"/>
    <n v="36158.800000000003"/>
    <n v="30289.69"/>
    <d v="2025-05-17T00:00:00"/>
    <n v="133"/>
    <n v="88"/>
    <s v="Partial"/>
    <n v="0.02"/>
    <n v="0"/>
  </r>
  <r>
    <s v="VND-004"/>
    <s v="Grupo Servicios Pro"/>
    <x v="3"/>
    <s v="South"/>
    <s v="INV-0100"/>
    <d v="2025-04-09T00:00:00"/>
    <d v="2025-05-24T00:00:00"/>
    <n v="45"/>
    <n v="41321.129999999997"/>
    <n v="0"/>
    <n v="41321.129999999997"/>
    <m/>
    <n v="53"/>
    <n v="8"/>
    <s v="Overdue"/>
    <n v="0.01"/>
    <n v="0"/>
  </r>
  <r>
    <s v="VND-004"/>
    <s v="Grupo Servicios Pro"/>
    <x v="3"/>
    <s v="South"/>
    <s v="INV-0101"/>
    <d v="2024-12-24T00:00:00"/>
    <d v="2025-03-24T00:00:00"/>
    <n v="90"/>
    <n v="6575.19"/>
    <n v="6575.19"/>
    <n v="0"/>
    <d v="2025-04-12T00:00:00"/>
    <n v="159"/>
    <n v="69"/>
    <s v="Paid"/>
    <n v="2.5000000000000001E-2"/>
    <n v="0"/>
  </r>
  <r>
    <s v="VND-004"/>
    <s v="Grupo Servicios Pro"/>
    <x v="3"/>
    <s v="South"/>
    <s v="INV-0102"/>
    <d v="2025-05-27T00:00:00"/>
    <d v="2025-07-11T00:00:00"/>
    <n v="45"/>
    <n v="58268.53"/>
    <n v="0"/>
    <n v="58268.53"/>
    <m/>
    <n v="5"/>
    <n v="0"/>
    <s v="Pending"/>
    <n v="2.5000000000000001E-2"/>
    <n v="0"/>
  </r>
  <r>
    <s v="VND-004"/>
    <s v="Grupo Servicios Pro"/>
    <x v="3"/>
    <s v="South"/>
    <s v="INV-0103"/>
    <d v="2025-05-06T00:00:00"/>
    <d v="2025-05-21T00:00:00"/>
    <n v="15"/>
    <n v="34345.269999999997"/>
    <n v="5445.83"/>
    <n v="28899.439999999999"/>
    <d v="2025-05-13T00:00:00"/>
    <n v="26"/>
    <n v="11"/>
    <s v="Partial"/>
    <n v="2.5000000000000001E-2"/>
    <n v="0"/>
  </r>
  <r>
    <s v="VND-004"/>
    <s v="Grupo Servicios Pro"/>
    <x v="3"/>
    <s v="South"/>
    <s v="INV-0104"/>
    <d v="2025-05-05T00:00:00"/>
    <d v="2025-06-04T00:00:00"/>
    <n v="30"/>
    <n v="24598.79"/>
    <n v="0"/>
    <n v="24598.79"/>
    <m/>
    <n v="27"/>
    <n v="0"/>
    <s v="Pending"/>
    <n v="0"/>
    <n v="0"/>
  </r>
  <r>
    <s v="VND-004"/>
    <s v="Grupo Servicios Pro"/>
    <x v="3"/>
    <s v="South"/>
    <s v="INV-0105"/>
    <d v="2025-03-22T00:00:00"/>
    <d v="2025-05-06T00:00:00"/>
    <n v="45"/>
    <n v="14685.4"/>
    <n v="14685.4"/>
    <n v="0"/>
    <d v="2025-03-29T00:00:00"/>
    <n v="71"/>
    <n v="26"/>
    <s v="Paid"/>
    <n v="0.01"/>
    <n v="146.85"/>
  </r>
  <r>
    <s v="VND-004"/>
    <s v="Grupo Servicios Pro"/>
    <x v="3"/>
    <s v="South"/>
    <s v="INV-0106"/>
    <d v="2025-03-06T00:00:00"/>
    <d v="2025-03-21T00:00:00"/>
    <n v="15"/>
    <n v="77291.17"/>
    <n v="77291.17"/>
    <n v="0"/>
    <d v="2025-03-16T00:00:00"/>
    <n v="87"/>
    <n v="72"/>
    <s v="Paid"/>
    <n v="0.01"/>
    <n v="772.91"/>
  </r>
  <r>
    <s v="VND-004"/>
    <s v="Grupo Servicios Pro"/>
    <x v="3"/>
    <s v="South"/>
    <s v="INV-0107"/>
    <d v="2025-01-18T00:00:00"/>
    <d v="2025-02-02T00:00:00"/>
    <n v="15"/>
    <n v="35997.519999999997"/>
    <n v="19135.599999999999"/>
    <n v="16861.919999999998"/>
    <d v="2025-03-15T00:00:00"/>
    <n v="134"/>
    <n v="119"/>
    <s v="Partial"/>
    <n v="0.02"/>
    <n v="0"/>
  </r>
  <r>
    <s v="VND-004"/>
    <s v="Grupo Servicios Pro"/>
    <x v="3"/>
    <s v="South"/>
    <s v="INV-0108"/>
    <d v="2025-02-27T00:00:00"/>
    <d v="2025-03-29T00:00:00"/>
    <n v="30"/>
    <n v="4398.3100000000004"/>
    <n v="0"/>
    <n v="4398.3100000000004"/>
    <m/>
    <n v="94"/>
    <n v="64"/>
    <s v="Overdue"/>
    <n v="0.02"/>
    <n v="0"/>
  </r>
  <r>
    <s v="VND-004"/>
    <s v="Grupo Servicios Pro"/>
    <x v="3"/>
    <s v="South"/>
    <s v="INV-0109"/>
    <d v="2025-01-06T00:00:00"/>
    <d v="2025-02-05T00:00:00"/>
    <n v="30"/>
    <n v="68214.84"/>
    <n v="68214.84"/>
    <n v="0"/>
    <d v="2025-02-11T00:00:00"/>
    <n v="146"/>
    <n v="116"/>
    <s v="Paid"/>
    <n v="2.5000000000000001E-2"/>
    <n v="0"/>
  </r>
  <r>
    <s v="VND-004"/>
    <s v="Grupo Servicios Pro"/>
    <x v="3"/>
    <s v="South"/>
    <s v="INV-0110"/>
    <d v="2024-12-24T00:00:00"/>
    <d v="2025-02-07T00:00:00"/>
    <n v="45"/>
    <n v="45033.26"/>
    <n v="45033.26"/>
    <n v="0"/>
    <d v="2025-01-31T00:00:00"/>
    <n v="159"/>
    <n v="114"/>
    <s v="Paid"/>
    <n v="0.02"/>
    <n v="900.67"/>
  </r>
  <r>
    <s v="VND-004"/>
    <s v="Grupo Servicios Pro"/>
    <x v="3"/>
    <s v="South"/>
    <s v="INV-0111"/>
    <d v="2024-12-27T00:00:00"/>
    <d v="2025-02-10T00:00:00"/>
    <n v="45"/>
    <n v="13072.71"/>
    <n v="13072.71"/>
    <n v="0"/>
    <d v="2025-01-30T00:00:00"/>
    <n v="156"/>
    <n v="111"/>
    <s v="Paid"/>
    <n v="2.5000000000000001E-2"/>
    <n v="326.82"/>
  </r>
  <r>
    <s v="VND-004"/>
    <s v="Grupo Servicios Pro"/>
    <x v="3"/>
    <s v="South"/>
    <s v="INV-0112"/>
    <d v="2025-03-07T00:00:00"/>
    <d v="2025-06-05T00:00:00"/>
    <n v="90"/>
    <n v="24138.52"/>
    <n v="0"/>
    <n v="24138.52"/>
    <m/>
    <n v="86"/>
    <n v="0"/>
    <s v="Pending"/>
    <n v="0.02"/>
    <n v="0"/>
  </r>
  <r>
    <s v="VND-004"/>
    <s v="Grupo Servicios Pro"/>
    <x v="3"/>
    <s v="South"/>
    <s v="INV-0113"/>
    <d v="2025-03-04T00:00:00"/>
    <d v="2025-03-19T00:00:00"/>
    <n v="15"/>
    <n v="58409.64"/>
    <n v="58409.64"/>
    <n v="0"/>
    <d v="2025-03-14T00:00:00"/>
    <n v="89"/>
    <n v="74"/>
    <s v="Paid"/>
    <n v="0.02"/>
    <n v="1168.19"/>
  </r>
  <r>
    <s v="VND-004"/>
    <s v="Grupo Servicios Pro"/>
    <x v="3"/>
    <s v="South"/>
    <s v="INV-0114"/>
    <d v="2025-02-08T00:00:00"/>
    <d v="2025-03-10T00:00:00"/>
    <n v="30"/>
    <n v="51221.25"/>
    <n v="51221.25"/>
    <n v="0"/>
    <d v="2025-02-10T00:00:00"/>
    <n v="113"/>
    <n v="83"/>
    <s v="Paid"/>
    <n v="0"/>
    <n v="0"/>
  </r>
  <r>
    <s v="VND-004"/>
    <s v="Grupo Servicios Pro"/>
    <x v="3"/>
    <s v="South"/>
    <s v="INV-0115"/>
    <d v="2025-01-26T00:00:00"/>
    <d v="2025-03-27T00:00:00"/>
    <n v="60"/>
    <n v="34870.03"/>
    <n v="34870.03"/>
    <n v="0"/>
    <d v="2025-03-08T00:00:00"/>
    <n v="126"/>
    <n v="66"/>
    <s v="Paid"/>
    <n v="2.5000000000000001E-2"/>
    <n v="871.75"/>
  </r>
  <r>
    <s v="VND-004"/>
    <s v="Grupo Servicios Pro"/>
    <x v="3"/>
    <s v="South"/>
    <s v="INV-0116"/>
    <d v="2025-02-20T00:00:00"/>
    <d v="2025-04-06T00:00:00"/>
    <n v="45"/>
    <n v="9302.01"/>
    <n v="9302.01"/>
    <n v="0"/>
    <d v="2025-04-18T00:00:00"/>
    <n v="101"/>
    <n v="56"/>
    <s v="Paid"/>
    <n v="0.01"/>
    <n v="0"/>
  </r>
  <r>
    <s v="VND-004"/>
    <s v="Grupo Servicios Pro"/>
    <x v="3"/>
    <s v="South"/>
    <s v="INV-0117"/>
    <d v="2025-04-23T00:00:00"/>
    <d v="2025-05-08T00:00:00"/>
    <n v="15"/>
    <n v="21676.95"/>
    <n v="21676.95"/>
    <n v="0"/>
    <d v="2025-05-20T00:00:00"/>
    <n v="39"/>
    <n v="24"/>
    <s v="Paid"/>
    <n v="0"/>
    <n v="0"/>
  </r>
  <r>
    <s v="VND-004"/>
    <s v="Grupo Servicios Pro"/>
    <x v="3"/>
    <s v="South"/>
    <s v="INV-0118"/>
    <d v="2025-02-17T00:00:00"/>
    <d v="2025-04-03T00:00:00"/>
    <n v="45"/>
    <n v="47880.77"/>
    <n v="0"/>
    <n v="47880.77"/>
    <m/>
    <n v="104"/>
    <n v="59"/>
    <s v="Overdue"/>
    <n v="0"/>
    <n v="0"/>
  </r>
  <r>
    <s v="VND-004"/>
    <s v="Grupo Servicios Pro"/>
    <x v="3"/>
    <s v="South"/>
    <s v="INV-0119"/>
    <d v="2025-03-14T00:00:00"/>
    <d v="2025-04-28T00:00:00"/>
    <n v="45"/>
    <n v="33218.21"/>
    <n v="33218.21"/>
    <n v="0"/>
    <d v="2025-03-22T00:00:00"/>
    <n v="79"/>
    <n v="34"/>
    <s v="Paid"/>
    <n v="0.01"/>
    <n v="332.18"/>
  </r>
  <r>
    <s v="VND-004"/>
    <s v="Grupo Servicios Pro"/>
    <x v="3"/>
    <s v="South"/>
    <s v="INV-0120"/>
    <d v="2025-03-15T00:00:00"/>
    <d v="2025-03-30T00:00:00"/>
    <n v="15"/>
    <n v="44300.83"/>
    <n v="44300.83"/>
    <n v="0"/>
    <d v="2025-03-28T00:00:00"/>
    <n v="78"/>
    <n v="63"/>
    <s v="Paid"/>
    <n v="0.02"/>
    <n v="0"/>
  </r>
  <r>
    <s v="VND-004"/>
    <s v="Grupo Servicios Pro"/>
    <x v="3"/>
    <s v="South"/>
    <s v="INV-0121"/>
    <d v="2025-01-13T00:00:00"/>
    <d v="2025-04-13T00:00:00"/>
    <n v="90"/>
    <n v="11138.68"/>
    <n v="4107.1400000000003"/>
    <n v="7031.54"/>
    <d v="2025-04-12T00:00:00"/>
    <n v="139"/>
    <n v="49"/>
    <s v="Partial"/>
    <n v="0.02"/>
    <n v="0"/>
  </r>
  <r>
    <s v="VND-004"/>
    <s v="Grupo Servicios Pro"/>
    <x v="3"/>
    <s v="South"/>
    <s v="INV-0122"/>
    <d v="2025-05-20T00:00:00"/>
    <d v="2025-07-19T00:00:00"/>
    <n v="60"/>
    <n v="19049.310000000001"/>
    <n v="0"/>
    <n v="19049.310000000001"/>
    <m/>
    <n v="12"/>
    <n v="0"/>
    <s v="Pending"/>
    <n v="0"/>
    <n v="0"/>
  </r>
  <r>
    <s v="VND-004"/>
    <s v="Grupo Servicios Pro"/>
    <x v="3"/>
    <s v="South"/>
    <s v="INV-0123"/>
    <d v="2025-03-11T00:00:00"/>
    <d v="2025-04-10T00:00:00"/>
    <n v="30"/>
    <n v="62579.96"/>
    <n v="62579.96"/>
    <n v="0"/>
    <d v="2025-04-05T00:00:00"/>
    <n v="82"/>
    <n v="52"/>
    <s v="Paid"/>
    <n v="0"/>
    <n v="0"/>
  </r>
  <r>
    <s v="VND-004"/>
    <s v="Grupo Servicios Pro"/>
    <x v="3"/>
    <s v="South"/>
    <s v="INV-0124"/>
    <d v="2025-05-10T00:00:00"/>
    <d v="2025-06-24T00:00:00"/>
    <n v="45"/>
    <n v="45360.21"/>
    <n v="0"/>
    <n v="45360.21"/>
    <m/>
    <n v="22"/>
    <n v="0"/>
    <s v="Pending"/>
    <n v="0.01"/>
    <n v="0"/>
  </r>
  <r>
    <s v="VND-004"/>
    <s v="Grupo Servicios Pro"/>
    <x v="3"/>
    <s v="South"/>
    <s v="INV-0125"/>
    <d v="2025-02-26T00:00:00"/>
    <d v="2025-05-27T00:00:00"/>
    <n v="90"/>
    <n v="78195.5"/>
    <n v="78195.5"/>
    <n v="0"/>
    <d v="2025-03-25T00:00:00"/>
    <n v="95"/>
    <n v="5"/>
    <s v="Paid"/>
    <n v="0"/>
    <n v="0"/>
  </r>
  <r>
    <s v="VND-004"/>
    <s v="Grupo Servicios Pro"/>
    <x v="3"/>
    <s v="South"/>
    <s v="INV-0126"/>
    <d v="2025-05-24T00:00:00"/>
    <d v="2025-07-23T00:00:00"/>
    <n v="60"/>
    <n v="17000.07"/>
    <n v="0"/>
    <n v="17000.07"/>
    <m/>
    <n v="8"/>
    <n v="0"/>
    <s v="Pending"/>
    <n v="2.5000000000000001E-2"/>
    <n v="0"/>
  </r>
  <r>
    <s v="VND-004"/>
    <s v="Grupo Servicios Pro"/>
    <x v="3"/>
    <s v="South"/>
    <s v="INV-0127"/>
    <d v="2025-05-27T00:00:00"/>
    <d v="2025-06-26T00:00:00"/>
    <n v="30"/>
    <n v="58527.94"/>
    <n v="0"/>
    <n v="58527.94"/>
    <m/>
    <n v="5"/>
    <n v="0"/>
    <s v="Pending"/>
    <n v="0.01"/>
    <n v="0"/>
  </r>
  <r>
    <s v="VND-004"/>
    <s v="Grupo Servicios Pro"/>
    <x v="3"/>
    <s v="South"/>
    <s v="INV-0128"/>
    <d v="2024-12-15T00:00:00"/>
    <d v="2025-02-13T00:00:00"/>
    <n v="60"/>
    <n v="15571.96"/>
    <n v="15571.96"/>
    <n v="0"/>
    <d v="2025-03-15T00:00:00"/>
    <n v="168"/>
    <n v="108"/>
    <s v="Paid"/>
    <n v="0.01"/>
    <n v="0"/>
  </r>
  <r>
    <s v="VND-005"/>
    <s v="EnergyPlus Corp"/>
    <x v="4"/>
    <s v="Central"/>
    <s v="INV-0129"/>
    <d v="2025-01-30T00:00:00"/>
    <d v="2025-03-16T00:00:00"/>
    <n v="45"/>
    <n v="66911.91"/>
    <n v="66911.91"/>
    <n v="0"/>
    <d v="2025-04-09T00:00:00"/>
    <n v="122"/>
    <n v="77"/>
    <s v="Paid"/>
    <n v="0"/>
    <n v="0"/>
  </r>
  <r>
    <s v="VND-005"/>
    <s v="EnergyPlus Corp"/>
    <x v="4"/>
    <s v="Central"/>
    <s v="INV-0130"/>
    <d v="2025-05-19T00:00:00"/>
    <d v="2025-07-03T00:00:00"/>
    <n v="45"/>
    <n v="5466.43"/>
    <n v="0"/>
    <n v="5466.43"/>
    <m/>
    <n v="13"/>
    <n v="0"/>
    <s v="Pending"/>
    <n v="0"/>
    <n v="0"/>
  </r>
  <r>
    <s v="VND-005"/>
    <s v="EnergyPlus Corp"/>
    <x v="4"/>
    <s v="Central"/>
    <s v="INV-0131"/>
    <d v="2025-01-02T00:00:00"/>
    <d v="2025-03-03T00:00:00"/>
    <n v="60"/>
    <n v="68028.149999999994"/>
    <n v="68028.149999999994"/>
    <n v="0"/>
    <d v="2025-03-13T00:00:00"/>
    <n v="150"/>
    <n v="90"/>
    <s v="Paid"/>
    <n v="2.5000000000000001E-2"/>
    <n v="0"/>
  </r>
  <r>
    <s v="VND-005"/>
    <s v="EnergyPlus Corp"/>
    <x v="4"/>
    <s v="Central"/>
    <s v="INV-0132"/>
    <d v="2025-01-01T00:00:00"/>
    <d v="2025-02-15T00:00:00"/>
    <n v="45"/>
    <n v="56104.83"/>
    <n v="0"/>
    <n v="56104.83"/>
    <m/>
    <n v="151"/>
    <n v="106"/>
    <s v="Overdue"/>
    <n v="0.01"/>
    <n v="0"/>
  </r>
  <r>
    <s v="VND-005"/>
    <s v="EnergyPlus Corp"/>
    <x v="4"/>
    <s v="Central"/>
    <s v="INV-0133"/>
    <d v="2025-05-19T00:00:00"/>
    <d v="2025-07-03T00:00:00"/>
    <n v="45"/>
    <n v="46505.94"/>
    <n v="0"/>
    <n v="46505.94"/>
    <m/>
    <n v="13"/>
    <n v="0"/>
    <s v="Pending"/>
    <n v="0.02"/>
    <n v="0"/>
  </r>
  <r>
    <s v="VND-005"/>
    <s v="EnergyPlus Corp"/>
    <x v="4"/>
    <s v="Central"/>
    <s v="INV-0134"/>
    <d v="2025-04-06T00:00:00"/>
    <d v="2025-06-05T00:00:00"/>
    <n v="60"/>
    <n v="76533.929999999993"/>
    <n v="0"/>
    <n v="76533.929999999993"/>
    <m/>
    <n v="56"/>
    <n v="0"/>
    <s v="Pending"/>
    <n v="0.02"/>
    <n v="0"/>
  </r>
  <r>
    <s v="VND-005"/>
    <s v="EnergyPlus Corp"/>
    <x v="4"/>
    <s v="Central"/>
    <s v="INV-0135"/>
    <d v="2025-03-23T00:00:00"/>
    <d v="2025-05-22T00:00:00"/>
    <n v="60"/>
    <n v="67425.899999999994"/>
    <n v="67425.899999999994"/>
    <n v="0"/>
    <d v="2025-06-15T00:00:00"/>
    <n v="70"/>
    <n v="10"/>
    <s v="Paid"/>
    <n v="2.5000000000000001E-2"/>
    <n v="0"/>
  </r>
  <r>
    <s v="VND-005"/>
    <s v="EnergyPlus Corp"/>
    <x v="4"/>
    <s v="Central"/>
    <s v="INV-0136"/>
    <d v="2025-03-22T00:00:00"/>
    <d v="2025-06-20T00:00:00"/>
    <n v="90"/>
    <n v="24962.400000000001"/>
    <n v="0"/>
    <n v="24962.400000000001"/>
    <m/>
    <n v="71"/>
    <n v="0"/>
    <s v="Pending"/>
    <n v="0"/>
    <n v="0"/>
  </r>
  <r>
    <s v="VND-005"/>
    <s v="EnergyPlus Corp"/>
    <x v="4"/>
    <s v="Central"/>
    <s v="INV-0137"/>
    <d v="2025-05-20T00:00:00"/>
    <d v="2025-07-04T00:00:00"/>
    <n v="45"/>
    <n v="19311.419999999998"/>
    <n v="0"/>
    <n v="19311.419999999998"/>
    <m/>
    <n v="12"/>
    <n v="0"/>
    <s v="Pending"/>
    <n v="0"/>
    <n v="0"/>
  </r>
  <r>
    <s v="VND-005"/>
    <s v="EnergyPlus Corp"/>
    <x v="4"/>
    <s v="Central"/>
    <s v="INV-0138"/>
    <d v="2025-04-01T00:00:00"/>
    <d v="2025-05-16T00:00:00"/>
    <n v="45"/>
    <n v="21208.68"/>
    <n v="21208.68"/>
    <n v="0"/>
    <d v="2025-04-11T00:00:00"/>
    <n v="61"/>
    <n v="16"/>
    <s v="Paid"/>
    <n v="2.5000000000000001E-2"/>
    <n v="530.22"/>
  </r>
  <r>
    <s v="VND-005"/>
    <s v="EnergyPlus Corp"/>
    <x v="4"/>
    <s v="Central"/>
    <s v="INV-0139"/>
    <d v="2025-03-21T00:00:00"/>
    <d v="2025-05-05T00:00:00"/>
    <n v="45"/>
    <n v="62825.17"/>
    <n v="62825.17"/>
    <n v="0"/>
    <d v="2025-04-19T00:00:00"/>
    <n v="72"/>
    <n v="27"/>
    <s v="Paid"/>
    <n v="0"/>
    <n v="0"/>
  </r>
  <r>
    <s v="VND-005"/>
    <s v="EnergyPlus Corp"/>
    <x v="4"/>
    <s v="Central"/>
    <s v="INV-0140"/>
    <d v="2025-01-29T00:00:00"/>
    <d v="2025-03-15T00:00:00"/>
    <n v="45"/>
    <n v="59131.61"/>
    <n v="0"/>
    <n v="59131.61"/>
    <m/>
    <n v="123"/>
    <n v="78"/>
    <s v="Overdue"/>
    <n v="2.5000000000000001E-2"/>
    <n v="0"/>
  </r>
  <r>
    <s v="VND-005"/>
    <s v="EnergyPlus Corp"/>
    <x v="4"/>
    <s v="Central"/>
    <s v="INV-0141"/>
    <d v="2024-12-17T00:00:00"/>
    <d v="2025-01-16T00:00:00"/>
    <n v="30"/>
    <n v="26891.15"/>
    <n v="0"/>
    <n v="26891.15"/>
    <m/>
    <n v="166"/>
    <n v="136"/>
    <s v="Overdue"/>
    <n v="0.01"/>
    <n v="0"/>
  </r>
  <r>
    <s v="VND-005"/>
    <s v="EnergyPlus Corp"/>
    <x v="4"/>
    <s v="Central"/>
    <s v="INV-0142"/>
    <d v="2025-05-15T00:00:00"/>
    <d v="2025-08-13T00:00:00"/>
    <n v="90"/>
    <n v="32516.400000000001"/>
    <n v="0"/>
    <n v="32516.400000000001"/>
    <m/>
    <n v="17"/>
    <n v="0"/>
    <s v="Pending"/>
    <n v="0.01"/>
    <n v="0"/>
  </r>
  <r>
    <s v="VND-005"/>
    <s v="EnergyPlus Corp"/>
    <x v="4"/>
    <s v="Central"/>
    <s v="INV-0143"/>
    <d v="2025-01-28T00:00:00"/>
    <d v="2025-02-27T00:00:00"/>
    <n v="30"/>
    <n v="40510.85"/>
    <n v="40510.85"/>
    <n v="0"/>
    <d v="2025-03-24T00:00:00"/>
    <n v="124"/>
    <n v="94"/>
    <s v="Paid"/>
    <n v="2.5000000000000001E-2"/>
    <n v="0"/>
  </r>
  <r>
    <s v="VND-005"/>
    <s v="EnergyPlus Corp"/>
    <x v="4"/>
    <s v="Central"/>
    <s v="INV-0144"/>
    <d v="2025-02-08T00:00:00"/>
    <d v="2025-05-09T00:00:00"/>
    <n v="90"/>
    <n v="25981.8"/>
    <n v="25981.8"/>
    <n v="0"/>
    <d v="2025-05-12T00:00:00"/>
    <n v="113"/>
    <n v="23"/>
    <s v="Paid"/>
    <n v="0.01"/>
    <n v="0"/>
  </r>
  <r>
    <s v="VND-005"/>
    <s v="EnergyPlus Corp"/>
    <x v="4"/>
    <s v="Central"/>
    <s v="INV-0145"/>
    <d v="2025-03-31T00:00:00"/>
    <d v="2025-04-30T00:00:00"/>
    <n v="30"/>
    <n v="63784.11"/>
    <n v="63784.11"/>
    <n v="0"/>
    <d v="2025-04-07T00:00:00"/>
    <n v="62"/>
    <n v="32"/>
    <s v="Paid"/>
    <n v="2.5000000000000001E-2"/>
    <n v="1594.6"/>
  </r>
  <r>
    <s v="VND-005"/>
    <s v="EnergyPlus Corp"/>
    <x v="4"/>
    <s v="Central"/>
    <s v="INV-0146"/>
    <d v="2025-02-12T00:00:00"/>
    <d v="2025-03-14T00:00:00"/>
    <n v="30"/>
    <n v="27949.1"/>
    <n v="27949.1"/>
    <n v="0"/>
    <d v="2025-02-13T00:00:00"/>
    <n v="109"/>
    <n v="79"/>
    <s v="Paid"/>
    <n v="0.01"/>
    <n v="279.49"/>
  </r>
  <r>
    <s v="VND-005"/>
    <s v="EnergyPlus Corp"/>
    <x v="4"/>
    <s v="Central"/>
    <s v="INV-0147"/>
    <d v="2025-05-05T00:00:00"/>
    <d v="2025-07-04T00:00:00"/>
    <n v="60"/>
    <n v="31000.82"/>
    <n v="0"/>
    <n v="31000.82"/>
    <m/>
    <n v="27"/>
    <n v="0"/>
    <s v="Pending"/>
    <n v="0.02"/>
    <n v="0"/>
  </r>
  <r>
    <s v="VND-005"/>
    <s v="EnergyPlus Corp"/>
    <x v="4"/>
    <s v="Central"/>
    <s v="INV-0148"/>
    <d v="2025-01-18T00:00:00"/>
    <d v="2025-02-02T00:00:00"/>
    <n v="15"/>
    <n v="76531.14"/>
    <n v="0"/>
    <n v="76531.14"/>
    <m/>
    <n v="134"/>
    <n v="119"/>
    <s v="Overdue"/>
    <n v="2.5000000000000001E-2"/>
    <n v="0"/>
  </r>
  <r>
    <s v="VND-005"/>
    <s v="EnergyPlus Corp"/>
    <x v="4"/>
    <s v="Central"/>
    <s v="INV-0149"/>
    <d v="2024-12-14T00:00:00"/>
    <d v="2025-02-12T00:00:00"/>
    <n v="60"/>
    <n v="26205.4"/>
    <n v="0"/>
    <n v="26205.4"/>
    <m/>
    <n v="169"/>
    <n v="109"/>
    <s v="Overdue"/>
    <n v="0.01"/>
    <n v="0"/>
  </r>
  <r>
    <s v="VND-005"/>
    <s v="EnergyPlus Corp"/>
    <x v="4"/>
    <s v="Central"/>
    <s v="INV-0150"/>
    <d v="2025-04-21T00:00:00"/>
    <d v="2025-06-20T00:00:00"/>
    <n v="60"/>
    <n v="45928.09"/>
    <n v="0"/>
    <n v="45928.09"/>
    <m/>
    <n v="41"/>
    <n v="0"/>
    <s v="Pending"/>
    <n v="0.01"/>
    <n v="0"/>
  </r>
  <r>
    <s v="VND-005"/>
    <s v="EnergyPlus Corp"/>
    <x v="4"/>
    <s v="Central"/>
    <s v="INV-0151"/>
    <d v="2025-02-03T00:00:00"/>
    <d v="2025-04-04T00:00:00"/>
    <n v="60"/>
    <n v="15479.78"/>
    <n v="0"/>
    <n v="15479.78"/>
    <m/>
    <n v="118"/>
    <n v="58"/>
    <s v="Overdue"/>
    <n v="2.5000000000000001E-2"/>
    <n v="0"/>
  </r>
  <r>
    <s v="VND-005"/>
    <s v="EnergyPlus Corp"/>
    <x v="4"/>
    <s v="Central"/>
    <s v="INV-0152"/>
    <d v="2025-03-12T00:00:00"/>
    <d v="2025-06-10T00:00:00"/>
    <n v="90"/>
    <n v="36288.28"/>
    <n v="0"/>
    <n v="36288.28"/>
    <m/>
    <n v="81"/>
    <n v="0"/>
    <s v="Pending"/>
    <n v="2.5000000000000001E-2"/>
    <n v="0"/>
  </r>
  <r>
    <s v="VND-005"/>
    <s v="EnergyPlus Corp"/>
    <x v="4"/>
    <s v="Central"/>
    <s v="INV-0153"/>
    <d v="2025-01-24T00:00:00"/>
    <d v="2025-02-08T00:00:00"/>
    <n v="15"/>
    <n v="77232.39"/>
    <n v="77232.39"/>
    <n v="0"/>
    <d v="2025-02-04T00:00:00"/>
    <n v="128"/>
    <n v="113"/>
    <s v="Paid"/>
    <n v="2.5000000000000001E-2"/>
    <n v="0"/>
  </r>
  <r>
    <s v="VND-005"/>
    <s v="EnergyPlus Corp"/>
    <x v="4"/>
    <s v="Central"/>
    <s v="INV-0154"/>
    <d v="2025-01-22T00:00:00"/>
    <d v="2025-02-06T00:00:00"/>
    <n v="15"/>
    <n v="31098.720000000001"/>
    <n v="31098.720000000001"/>
    <n v="0"/>
    <d v="2025-03-02T00:00:00"/>
    <n v="130"/>
    <n v="115"/>
    <s v="Paid"/>
    <n v="0.02"/>
    <n v="0"/>
  </r>
  <r>
    <s v="VND-005"/>
    <s v="EnergyPlus Corp"/>
    <x v="4"/>
    <s v="Central"/>
    <s v="INV-0155"/>
    <d v="2025-04-07T00:00:00"/>
    <d v="2025-05-07T00:00:00"/>
    <n v="30"/>
    <n v="70350.31"/>
    <n v="70350.31"/>
    <n v="0"/>
    <d v="2025-05-25T00:00:00"/>
    <n v="55"/>
    <n v="25"/>
    <s v="Paid"/>
    <n v="0"/>
    <n v="0"/>
  </r>
  <r>
    <s v="VND-005"/>
    <s v="EnergyPlus Corp"/>
    <x v="4"/>
    <s v="Central"/>
    <s v="INV-0156"/>
    <d v="2025-02-07T00:00:00"/>
    <d v="2025-05-08T00:00:00"/>
    <n v="90"/>
    <n v="74493.820000000007"/>
    <n v="74493.820000000007"/>
    <n v="0"/>
    <d v="2025-04-23T00:00:00"/>
    <n v="114"/>
    <n v="24"/>
    <s v="Paid"/>
    <n v="0"/>
    <n v="0"/>
  </r>
  <r>
    <s v="VND-005"/>
    <s v="EnergyPlus Corp"/>
    <x v="4"/>
    <s v="Central"/>
    <s v="INV-0157"/>
    <d v="2025-04-09T00:00:00"/>
    <d v="2025-05-09T00:00:00"/>
    <n v="30"/>
    <n v="76418.7"/>
    <n v="76418.7"/>
    <n v="0"/>
    <d v="2025-05-01T00:00:00"/>
    <n v="53"/>
    <n v="23"/>
    <s v="Paid"/>
    <n v="0.02"/>
    <n v="1528.37"/>
  </r>
  <r>
    <s v="VND-005"/>
    <s v="EnergyPlus Corp"/>
    <x v="4"/>
    <s v="Central"/>
    <s v="INV-0158"/>
    <d v="2025-05-12T00:00:00"/>
    <d v="2025-05-27T00:00:00"/>
    <n v="15"/>
    <n v="61592.84"/>
    <n v="61592.84"/>
    <n v="0"/>
    <d v="2025-05-18T00:00:00"/>
    <n v="20"/>
    <n v="5"/>
    <s v="Paid"/>
    <n v="0"/>
    <n v="0"/>
  </r>
  <r>
    <s v="VND-005"/>
    <s v="EnergyPlus Corp"/>
    <x v="4"/>
    <s v="Central"/>
    <s v="INV-0159"/>
    <d v="2025-04-03T00:00:00"/>
    <d v="2025-07-02T00:00:00"/>
    <n v="90"/>
    <n v="60514.93"/>
    <n v="0"/>
    <n v="60514.93"/>
    <m/>
    <n v="59"/>
    <n v="0"/>
    <s v="Pending"/>
    <n v="0.01"/>
    <n v="0"/>
  </r>
  <r>
    <s v="VND-005"/>
    <s v="EnergyPlus Corp"/>
    <x v="4"/>
    <s v="Central"/>
    <s v="INV-0160"/>
    <d v="2025-01-26T00:00:00"/>
    <d v="2025-03-12T00:00:00"/>
    <n v="45"/>
    <n v="66464.7"/>
    <n v="66464.7"/>
    <n v="0"/>
    <d v="2025-03-23T00:00:00"/>
    <n v="126"/>
    <n v="81"/>
    <s v="Paid"/>
    <n v="0.02"/>
    <n v="0"/>
  </r>
  <r>
    <s v="VND-005"/>
    <s v="EnergyPlus Corp"/>
    <x v="4"/>
    <s v="Central"/>
    <s v="INV-0161"/>
    <d v="2025-03-26T00:00:00"/>
    <d v="2025-05-10T00:00:00"/>
    <n v="45"/>
    <n v="2373.9"/>
    <n v="2373.9"/>
    <n v="0"/>
    <d v="2025-05-02T00:00:00"/>
    <n v="67"/>
    <n v="22"/>
    <s v="Paid"/>
    <n v="2.5000000000000001E-2"/>
    <n v="59.35"/>
  </r>
  <r>
    <s v="VND-005"/>
    <s v="EnergyPlus Corp"/>
    <x v="4"/>
    <s v="Central"/>
    <s v="INV-0162"/>
    <d v="2025-05-17T00:00:00"/>
    <d v="2025-06-16T00:00:00"/>
    <n v="30"/>
    <n v="64075.53"/>
    <n v="0"/>
    <n v="64075.53"/>
    <m/>
    <n v="15"/>
    <n v="0"/>
    <s v="Pending"/>
    <n v="2.5000000000000001E-2"/>
    <n v="0"/>
  </r>
  <r>
    <s v="VND-005"/>
    <s v="EnergyPlus Corp"/>
    <x v="4"/>
    <s v="Central"/>
    <s v="INV-0163"/>
    <d v="2025-03-16T00:00:00"/>
    <d v="2025-04-30T00:00:00"/>
    <n v="45"/>
    <n v="27871.59"/>
    <n v="27871.59"/>
    <n v="0"/>
    <d v="2025-04-04T00:00:00"/>
    <n v="77"/>
    <n v="32"/>
    <s v="Paid"/>
    <n v="2.5000000000000001E-2"/>
    <n v="696.79"/>
  </r>
  <r>
    <s v="VND-005"/>
    <s v="EnergyPlus Corp"/>
    <x v="4"/>
    <s v="Central"/>
    <s v="INV-0164"/>
    <d v="2024-12-13T00:00:00"/>
    <d v="2025-02-11T00:00:00"/>
    <n v="60"/>
    <n v="52218.17"/>
    <n v="14542.39"/>
    <n v="37675.78"/>
    <d v="2025-05-17T00:00:00"/>
    <n v="170"/>
    <n v="110"/>
    <s v="Partial"/>
    <n v="0"/>
    <n v="0"/>
  </r>
  <r>
    <s v="VND-005"/>
    <s v="EnergyPlus Corp"/>
    <x v="4"/>
    <s v="Central"/>
    <s v="INV-0165"/>
    <d v="2025-05-04T00:00:00"/>
    <d v="2025-06-18T00:00:00"/>
    <n v="45"/>
    <n v="9538.9500000000007"/>
    <n v="0"/>
    <n v="9538.9500000000007"/>
    <m/>
    <n v="28"/>
    <n v="0"/>
    <s v="Pending"/>
    <n v="0"/>
    <n v="0"/>
  </r>
  <r>
    <s v="VND-005"/>
    <s v="EnergyPlus Corp"/>
    <x v="4"/>
    <s v="Central"/>
    <s v="INV-0166"/>
    <d v="2025-02-21T00:00:00"/>
    <d v="2025-03-08T00:00:00"/>
    <n v="15"/>
    <n v="14818.2"/>
    <n v="14818.2"/>
    <n v="0"/>
    <d v="2025-03-03T00:00:00"/>
    <n v="100"/>
    <n v="85"/>
    <s v="Paid"/>
    <n v="0.02"/>
    <n v="296.36"/>
  </r>
  <r>
    <s v="VND-005"/>
    <s v="EnergyPlus Corp"/>
    <x v="4"/>
    <s v="Central"/>
    <s v="INV-0167"/>
    <d v="2024-12-06T00:00:00"/>
    <d v="2025-01-20T00:00:00"/>
    <n v="45"/>
    <n v="76804.42"/>
    <n v="76804.42"/>
    <n v="0"/>
    <d v="2025-01-13T00:00:00"/>
    <n v="177"/>
    <n v="132"/>
    <s v="Paid"/>
    <n v="0.02"/>
    <n v="1536.09"/>
  </r>
  <r>
    <s v="VND-005"/>
    <s v="EnergyPlus Corp"/>
    <x v="4"/>
    <s v="Central"/>
    <s v="INV-0168"/>
    <d v="2025-03-29T00:00:00"/>
    <d v="2025-05-13T00:00:00"/>
    <n v="45"/>
    <n v="66979.100000000006"/>
    <n v="66979.100000000006"/>
    <n v="0"/>
    <d v="2025-04-28T00:00:00"/>
    <n v="64"/>
    <n v="19"/>
    <s v="Paid"/>
    <n v="0"/>
    <n v="0"/>
  </r>
  <r>
    <s v="VND-005"/>
    <s v="EnergyPlus Corp"/>
    <x v="4"/>
    <s v="Central"/>
    <s v="INV-0169"/>
    <d v="2025-05-09T00:00:00"/>
    <d v="2025-05-24T00:00:00"/>
    <n v="15"/>
    <n v="54787.38"/>
    <n v="54787.38"/>
    <n v="0"/>
    <d v="2025-05-19T00:00:00"/>
    <n v="23"/>
    <n v="8"/>
    <s v="Paid"/>
    <n v="0"/>
    <n v="0"/>
  </r>
  <r>
    <s v="VND-005"/>
    <s v="EnergyPlus Corp"/>
    <x v="4"/>
    <s v="Central"/>
    <s v="INV-0170"/>
    <d v="2025-04-01T00:00:00"/>
    <d v="2025-05-01T00:00:00"/>
    <n v="30"/>
    <n v="5243.19"/>
    <n v="0"/>
    <n v="5243.19"/>
    <m/>
    <n v="61"/>
    <n v="31"/>
    <s v="Overdue"/>
    <n v="0.01"/>
    <n v="0"/>
  </r>
  <r>
    <s v="VND-005"/>
    <s v="EnergyPlus Corp"/>
    <x v="4"/>
    <s v="Central"/>
    <s v="INV-0171"/>
    <d v="2025-01-04T00:00:00"/>
    <d v="2025-03-05T00:00:00"/>
    <n v="60"/>
    <n v="14262.78"/>
    <n v="14262.78"/>
    <n v="0"/>
    <d v="2025-03-16T00:00:00"/>
    <n v="148"/>
    <n v="88"/>
    <s v="Paid"/>
    <n v="0"/>
    <n v="0"/>
  </r>
  <r>
    <s v="VND-005"/>
    <s v="EnergyPlus Corp"/>
    <x v="4"/>
    <s v="Central"/>
    <s v="INV-0172"/>
    <d v="2025-04-09T00:00:00"/>
    <d v="2025-06-08T00:00:00"/>
    <n v="60"/>
    <n v="22217.08"/>
    <n v="0"/>
    <n v="22217.08"/>
    <m/>
    <n v="53"/>
    <n v="0"/>
    <s v="Pending"/>
    <n v="0.01"/>
    <n v="0"/>
  </r>
  <r>
    <s v="VND-005"/>
    <s v="EnergyPlus Corp"/>
    <x v="4"/>
    <s v="Central"/>
    <s v="INV-0173"/>
    <d v="2024-12-30T00:00:00"/>
    <d v="2025-01-14T00:00:00"/>
    <n v="15"/>
    <n v="52855.25"/>
    <n v="52855.25"/>
    <n v="0"/>
    <d v="2025-01-10T00:00:00"/>
    <n v="153"/>
    <n v="138"/>
    <s v="Paid"/>
    <n v="0.01"/>
    <n v="0"/>
  </r>
  <r>
    <s v="VND-006"/>
    <s v="MegaParts Ltd"/>
    <x v="0"/>
    <s v="South"/>
    <s v="INV-0174"/>
    <d v="2025-05-12T00:00:00"/>
    <d v="2025-06-11T00:00:00"/>
    <n v="30"/>
    <n v="23721.06"/>
    <n v="0"/>
    <n v="23721.06"/>
    <m/>
    <n v="20"/>
    <n v="0"/>
    <s v="Pending"/>
    <n v="0.02"/>
    <n v="0"/>
  </r>
  <r>
    <s v="VND-006"/>
    <s v="MegaParts Ltd"/>
    <x v="0"/>
    <s v="South"/>
    <s v="INV-0175"/>
    <d v="2025-03-25T00:00:00"/>
    <d v="2025-05-09T00:00:00"/>
    <n v="45"/>
    <n v="74136.73"/>
    <n v="74136.73"/>
    <n v="0"/>
    <d v="2025-04-21T00:00:00"/>
    <n v="68"/>
    <n v="23"/>
    <s v="Paid"/>
    <n v="0"/>
    <n v="0"/>
  </r>
  <r>
    <s v="VND-006"/>
    <s v="MegaParts Ltd"/>
    <x v="0"/>
    <s v="South"/>
    <s v="INV-0176"/>
    <d v="2025-04-29T00:00:00"/>
    <d v="2025-07-28T00:00:00"/>
    <n v="90"/>
    <n v="7629.33"/>
    <n v="0"/>
    <n v="7629.33"/>
    <m/>
    <n v="33"/>
    <n v="0"/>
    <s v="Pending"/>
    <n v="0.01"/>
    <n v="0"/>
  </r>
  <r>
    <s v="VND-006"/>
    <s v="MegaParts Ltd"/>
    <x v="0"/>
    <s v="South"/>
    <s v="INV-0177"/>
    <d v="2024-12-27T00:00:00"/>
    <d v="2025-01-26T00:00:00"/>
    <n v="30"/>
    <n v="26020.959999999999"/>
    <n v="26020.959999999999"/>
    <n v="0"/>
    <d v="2025-01-15T00:00:00"/>
    <n v="156"/>
    <n v="126"/>
    <s v="Paid"/>
    <n v="2.5000000000000001E-2"/>
    <n v="650.52"/>
  </r>
  <r>
    <s v="VND-006"/>
    <s v="MegaParts Ltd"/>
    <x v="0"/>
    <s v="South"/>
    <s v="INV-0178"/>
    <d v="2025-03-29T00:00:00"/>
    <d v="2025-04-28T00:00:00"/>
    <n v="30"/>
    <n v="74447.259999999995"/>
    <n v="74447.259999999995"/>
    <n v="0"/>
    <d v="2025-04-28T00:00:00"/>
    <n v="64"/>
    <n v="34"/>
    <s v="Paid"/>
    <n v="2.5000000000000001E-2"/>
    <n v="0"/>
  </r>
  <r>
    <s v="VND-006"/>
    <s v="MegaParts Ltd"/>
    <x v="0"/>
    <s v="South"/>
    <s v="INV-0179"/>
    <d v="2025-04-07T00:00:00"/>
    <d v="2025-06-06T00:00:00"/>
    <n v="60"/>
    <n v="75392.25"/>
    <n v="0"/>
    <n v="75392.25"/>
    <m/>
    <n v="55"/>
    <n v="0"/>
    <s v="Pending"/>
    <n v="0.02"/>
    <n v="0"/>
  </r>
  <r>
    <s v="VND-006"/>
    <s v="MegaParts Ltd"/>
    <x v="0"/>
    <s v="South"/>
    <s v="INV-0180"/>
    <d v="2025-04-02T00:00:00"/>
    <d v="2025-05-17T00:00:00"/>
    <n v="45"/>
    <n v="77755.08"/>
    <n v="77755.08"/>
    <n v="0"/>
    <d v="2025-05-17T00:00:00"/>
    <n v="60"/>
    <n v="15"/>
    <s v="Paid"/>
    <n v="0.01"/>
    <n v="0"/>
  </r>
  <r>
    <s v="VND-006"/>
    <s v="MegaParts Ltd"/>
    <x v="0"/>
    <s v="South"/>
    <s v="INV-0181"/>
    <d v="2025-05-18T00:00:00"/>
    <d v="2025-06-17T00:00:00"/>
    <n v="30"/>
    <n v="3473.44"/>
    <n v="0"/>
    <n v="3473.44"/>
    <m/>
    <n v="14"/>
    <n v="0"/>
    <s v="Pending"/>
    <n v="0.01"/>
    <n v="0"/>
  </r>
  <r>
    <s v="VND-006"/>
    <s v="MegaParts Ltd"/>
    <x v="0"/>
    <s v="South"/>
    <s v="INV-0182"/>
    <d v="2025-02-05T00:00:00"/>
    <d v="2025-02-20T00:00:00"/>
    <n v="15"/>
    <n v="6583.85"/>
    <n v="6583.85"/>
    <n v="0"/>
    <d v="2025-02-07T00:00:00"/>
    <n v="116"/>
    <n v="101"/>
    <s v="Paid"/>
    <n v="0.01"/>
    <n v="65.84"/>
  </r>
  <r>
    <s v="VND-006"/>
    <s v="MegaParts Ltd"/>
    <x v="0"/>
    <s v="South"/>
    <s v="INV-0183"/>
    <d v="2025-04-26T00:00:00"/>
    <d v="2025-05-11T00:00:00"/>
    <n v="15"/>
    <n v="6440"/>
    <n v="6440"/>
    <n v="0"/>
    <d v="2025-06-10T00:00:00"/>
    <n v="36"/>
    <n v="21"/>
    <s v="Paid"/>
    <n v="0"/>
    <n v="0"/>
  </r>
  <r>
    <s v="VND-006"/>
    <s v="MegaParts Ltd"/>
    <x v="0"/>
    <s v="South"/>
    <s v="INV-0184"/>
    <d v="2025-03-20T00:00:00"/>
    <d v="2025-05-04T00:00:00"/>
    <n v="45"/>
    <n v="62560.35"/>
    <n v="32510.66"/>
    <n v="30049.69"/>
    <d v="2025-05-14T00:00:00"/>
    <n v="73"/>
    <n v="28"/>
    <s v="Partial"/>
    <n v="0.01"/>
    <n v="0"/>
  </r>
  <r>
    <s v="VND-006"/>
    <s v="MegaParts Ltd"/>
    <x v="0"/>
    <s v="South"/>
    <s v="INV-0185"/>
    <d v="2025-04-11T00:00:00"/>
    <d v="2025-06-10T00:00:00"/>
    <n v="60"/>
    <n v="16479.36"/>
    <n v="0"/>
    <n v="16479.36"/>
    <m/>
    <n v="51"/>
    <n v="0"/>
    <s v="Pending"/>
    <n v="2.5000000000000001E-2"/>
    <n v="0"/>
  </r>
  <r>
    <s v="VND-006"/>
    <s v="MegaParts Ltd"/>
    <x v="0"/>
    <s v="South"/>
    <s v="INV-0186"/>
    <d v="2025-05-08T00:00:00"/>
    <d v="2025-06-22T00:00:00"/>
    <n v="45"/>
    <n v="14752.22"/>
    <n v="0"/>
    <n v="14752.22"/>
    <m/>
    <n v="24"/>
    <n v="0"/>
    <s v="Pending"/>
    <n v="0.02"/>
    <n v="0"/>
  </r>
  <r>
    <s v="VND-006"/>
    <s v="MegaParts Ltd"/>
    <x v="0"/>
    <s v="South"/>
    <s v="INV-0187"/>
    <d v="2025-03-10T00:00:00"/>
    <d v="2025-06-08T00:00:00"/>
    <n v="90"/>
    <n v="4374.08"/>
    <n v="0"/>
    <n v="4374.08"/>
    <m/>
    <n v="83"/>
    <n v="0"/>
    <s v="Pending"/>
    <n v="0.01"/>
    <n v="0"/>
  </r>
  <r>
    <s v="VND-006"/>
    <s v="MegaParts Ltd"/>
    <x v="0"/>
    <s v="South"/>
    <s v="INV-0188"/>
    <d v="2025-05-16T00:00:00"/>
    <d v="2025-08-14T00:00:00"/>
    <n v="90"/>
    <n v="44565.19"/>
    <n v="0"/>
    <n v="44565.19"/>
    <m/>
    <n v="16"/>
    <n v="0"/>
    <s v="Pending"/>
    <n v="0.01"/>
    <n v="0"/>
  </r>
  <r>
    <s v="VND-006"/>
    <s v="MegaParts Ltd"/>
    <x v="0"/>
    <s v="South"/>
    <s v="INV-0189"/>
    <d v="2025-04-29T00:00:00"/>
    <d v="2025-06-13T00:00:00"/>
    <n v="45"/>
    <n v="68937.3"/>
    <n v="0"/>
    <n v="68937.3"/>
    <m/>
    <n v="33"/>
    <n v="0"/>
    <s v="Pending"/>
    <n v="2.5000000000000001E-2"/>
    <n v="0"/>
  </r>
  <r>
    <s v="VND-006"/>
    <s v="MegaParts Ltd"/>
    <x v="0"/>
    <s v="South"/>
    <s v="INV-0190"/>
    <d v="2025-04-26T00:00:00"/>
    <d v="2025-05-11T00:00:00"/>
    <n v="15"/>
    <n v="13911.6"/>
    <n v="13911.6"/>
    <n v="0"/>
    <d v="2025-05-17T00:00:00"/>
    <n v="36"/>
    <n v="21"/>
    <s v="Paid"/>
    <n v="0"/>
    <n v="0"/>
  </r>
  <r>
    <s v="VND-006"/>
    <s v="MegaParts Ltd"/>
    <x v="0"/>
    <s v="South"/>
    <s v="INV-0191"/>
    <d v="2025-04-06T00:00:00"/>
    <d v="2025-05-06T00:00:00"/>
    <n v="30"/>
    <n v="14528.95"/>
    <n v="14528.95"/>
    <n v="0"/>
    <d v="2025-05-25T00:00:00"/>
    <n v="56"/>
    <n v="26"/>
    <s v="Paid"/>
    <n v="2.5000000000000001E-2"/>
    <n v="0"/>
  </r>
  <r>
    <s v="VND-006"/>
    <s v="MegaParts Ltd"/>
    <x v="0"/>
    <s v="South"/>
    <s v="INV-0192"/>
    <d v="2025-03-21T00:00:00"/>
    <d v="2025-04-05T00:00:00"/>
    <n v="15"/>
    <n v="62882.59"/>
    <n v="62882.59"/>
    <n v="0"/>
    <d v="2025-04-30T00:00:00"/>
    <n v="72"/>
    <n v="57"/>
    <s v="Paid"/>
    <n v="0.01"/>
    <n v="0"/>
  </r>
  <r>
    <s v="VND-006"/>
    <s v="MegaParts Ltd"/>
    <x v="0"/>
    <s v="South"/>
    <s v="INV-0193"/>
    <d v="2025-01-10T00:00:00"/>
    <d v="2025-01-25T00:00:00"/>
    <n v="15"/>
    <n v="54479.72"/>
    <n v="0"/>
    <n v="54479.72"/>
    <m/>
    <n v="142"/>
    <n v="127"/>
    <s v="Overdue"/>
    <n v="2.5000000000000001E-2"/>
    <n v="0"/>
  </r>
  <r>
    <s v="VND-006"/>
    <s v="MegaParts Ltd"/>
    <x v="0"/>
    <s v="South"/>
    <s v="INV-0194"/>
    <d v="2025-01-31T00:00:00"/>
    <d v="2025-05-01T00:00:00"/>
    <n v="90"/>
    <n v="22399.65"/>
    <n v="4276.91"/>
    <n v="18122.740000000002"/>
    <d v="2025-05-10T00:00:00"/>
    <n v="121"/>
    <n v="31"/>
    <s v="Partial"/>
    <n v="0.02"/>
    <n v="0"/>
  </r>
  <r>
    <s v="VND-006"/>
    <s v="MegaParts Ltd"/>
    <x v="0"/>
    <s v="South"/>
    <s v="INV-0195"/>
    <d v="2025-01-29T00:00:00"/>
    <d v="2025-04-29T00:00:00"/>
    <n v="90"/>
    <n v="28197.42"/>
    <n v="28197.42"/>
    <n v="0"/>
    <d v="2025-05-25T00:00:00"/>
    <n v="123"/>
    <n v="33"/>
    <s v="Paid"/>
    <n v="2.5000000000000001E-2"/>
    <n v="0"/>
  </r>
  <r>
    <s v="VND-006"/>
    <s v="MegaParts Ltd"/>
    <x v="0"/>
    <s v="South"/>
    <s v="INV-0196"/>
    <d v="2025-01-16T00:00:00"/>
    <d v="2025-04-16T00:00:00"/>
    <n v="90"/>
    <n v="69570.600000000006"/>
    <n v="69570.600000000006"/>
    <n v="0"/>
    <d v="2025-04-08T00:00:00"/>
    <n v="136"/>
    <n v="46"/>
    <s v="Paid"/>
    <n v="0.01"/>
    <n v="695.71"/>
  </r>
  <r>
    <s v="VND-006"/>
    <s v="MegaParts Ltd"/>
    <x v="0"/>
    <s v="South"/>
    <s v="INV-0197"/>
    <d v="2025-05-10T00:00:00"/>
    <d v="2025-06-09T00:00:00"/>
    <n v="30"/>
    <n v="48580.07"/>
    <n v="0"/>
    <n v="48580.07"/>
    <m/>
    <n v="22"/>
    <n v="0"/>
    <s v="Pending"/>
    <n v="0.01"/>
    <n v="0"/>
  </r>
  <r>
    <s v="VND-006"/>
    <s v="MegaParts Ltd"/>
    <x v="0"/>
    <s v="South"/>
    <s v="INV-0198"/>
    <d v="2025-02-09T00:00:00"/>
    <d v="2025-03-26T00:00:00"/>
    <n v="45"/>
    <n v="64123.39"/>
    <n v="64123.39"/>
    <n v="0"/>
    <d v="2025-03-23T00:00:00"/>
    <n v="112"/>
    <n v="67"/>
    <s v="Paid"/>
    <n v="0.02"/>
    <n v="0"/>
  </r>
  <r>
    <s v="VND-006"/>
    <s v="MegaParts Ltd"/>
    <x v="0"/>
    <s v="South"/>
    <s v="INV-0199"/>
    <d v="2025-02-24T00:00:00"/>
    <d v="2025-05-25T00:00:00"/>
    <n v="90"/>
    <n v="5127.84"/>
    <n v="5127.84"/>
    <n v="0"/>
    <d v="2025-06-18T00:00:00"/>
    <n v="97"/>
    <n v="7"/>
    <s v="Paid"/>
    <n v="0.01"/>
    <n v="0"/>
  </r>
  <r>
    <s v="VND-006"/>
    <s v="MegaParts Ltd"/>
    <x v="0"/>
    <s v="South"/>
    <s v="INV-0200"/>
    <d v="2025-03-24T00:00:00"/>
    <d v="2025-05-08T00:00:00"/>
    <n v="45"/>
    <n v="11482.27"/>
    <n v="0"/>
    <n v="11482.27"/>
    <m/>
    <n v="69"/>
    <n v="24"/>
    <s v="Overdue"/>
    <n v="0.01"/>
    <n v="0"/>
  </r>
  <r>
    <s v="VND-006"/>
    <s v="MegaParts Ltd"/>
    <x v="0"/>
    <s v="South"/>
    <s v="INV-0201"/>
    <d v="2025-01-24T00:00:00"/>
    <d v="2025-03-10T00:00:00"/>
    <n v="45"/>
    <n v="45933.29"/>
    <n v="45933.29"/>
    <n v="0"/>
    <d v="2025-03-21T00:00:00"/>
    <n v="128"/>
    <n v="83"/>
    <s v="Paid"/>
    <n v="2.5000000000000001E-2"/>
    <n v="0"/>
  </r>
  <r>
    <s v="VND-006"/>
    <s v="MegaParts Ltd"/>
    <x v="0"/>
    <s v="South"/>
    <s v="INV-0202"/>
    <d v="2025-02-21T00:00:00"/>
    <d v="2025-03-23T00:00:00"/>
    <n v="30"/>
    <n v="17569.509999999998"/>
    <n v="17569.509999999998"/>
    <n v="0"/>
    <d v="2025-03-12T00:00:00"/>
    <n v="100"/>
    <n v="70"/>
    <s v="Paid"/>
    <n v="0.02"/>
    <n v="351.39"/>
  </r>
  <r>
    <s v="VND-006"/>
    <s v="MegaParts Ltd"/>
    <x v="0"/>
    <s v="South"/>
    <s v="INV-0203"/>
    <d v="2025-01-18T00:00:00"/>
    <d v="2025-04-18T00:00:00"/>
    <n v="90"/>
    <n v="9027.98"/>
    <n v="0"/>
    <n v="9027.98"/>
    <m/>
    <n v="134"/>
    <n v="44"/>
    <s v="Overdue"/>
    <n v="2.5000000000000001E-2"/>
    <n v="0"/>
  </r>
  <r>
    <s v="VND-006"/>
    <s v="MegaParts Ltd"/>
    <x v="0"/>
    <s v="South"/>
    <s v="INV-0204"/>
    <d v="2025-04-25T00:00:00"/>
    <d v="2025-06-24T00:00:00"/>
    <n v="60"/>
    <n v="22979.48"/>
    <n v="0"/>
    <n v="22979.48"/>
    <m/>
    <n v="37"/>
    <n v="0"/>
    <s v="Pending"/>
    <n v="0.02"/>
    <n v="0"/>
  </r>
  <r>
    <s v="VND-006"/>
    <s v="MegaParts Ltd"/>
    <x v="0"/>
    <s v="South"/>
    <s v="INV-0205"/>
    <d v="2025-04-13T00:00:00"/>
    <d v="2025-05-13T00:00:00"/>
    <n v="30"/>
    <n v="74091.78"/>
    <n v="74091.78"/>
    <n v="0"/>
    <d v="2025-05-30T00:00:00"/>
    <n v="49"/>
    <n v="19"/>
    <s v="Paid"/>
    <n v="0.02"/>
    <n v="0"/>
  </r>
  <r>
    <s v="VND-006"/>
    <s v="MegaParts Ltd"/>
    <x v="0"/>
    <s v="South"/>
    <s v="INV-0206"/>
    <d v="2025-01-30T00:00:00"/>
    <d v="2025-03-16T00:00:00"/>
    <n v="45"/>
    <n v="2390.66"/>
    <n v="2390.66"/>
    <n v="0"/>
    <d v="2025-02-23T00:00:00"/>
    <n v="122"/>
    <n v="77"/>
    <s v="Paid"/>
    <n v="0.02"/>
    <n v="47.81"/>
  </r>
  <r>
    <s v="VND-006"/>
    <s v="MegaParts Ltd"/>
    <x v="0"/>
    <s v="South"/>
    <s v="INV-0207"/>
    <d v="2025-04-25T00:00:00"/>
    <d v="2025-07-24T00:00:00"/>
    <n v="90"/>
    <n v="43397.57"/>
    <n v="0"/>
    <n v="43397.57"/>
    <m/>
    <n v="37"/>
    <n v="0"/>
    <s v="Pending"/>
    <n v="0"/>
    <n v="0"/>
  </r>
  <r>
    <s v="VND-006"/>
    <s v="MegaParts Ltd"/>
    <x v="0"/>
    <s v="South"/>
    <s v="INV-0208"/>
    <d v="2025-01-16T00:00:00"/>
    <d v="2025-04-16T00:00:00"/>
    <n v="90"/>
    <n v="48850.7"/>
    <n v="48850.7"/>
    <n v="0"/>
    <d v="2025-01-19T00:00:00"/>
    <n v="136"/>
    <n v="46"/>
    <s v="Paid"/>
    <n v="0.02"/>
    <n v="977.01"/>
  </r>
  <r>
    <s v="VND-007"/>
    <s v="CloudSoft Solutions"/>
    <x v="1"/>
    <s v="Central"/>
    <s v="INV-0209"/>
    <d v="2025-05-01T00:00:00"/>
    <d v="2025-06-30T00:00:00"/>
    <n v="60"/>
    <n v="9265.61"/>
    <n v="0"/>
    <n v="9265.61"/>
    <m/>
    <n v="31"/>
    <n v="0"/>
    <s v="Pending"/>
    <n v="2.5000000000000001E-2"/>
    <n v="0"/>
  </r>
  <r>
    <s v="VND-007"/>
    <s v="CloudSoft Solutions"/>
    <x v="1"/>
    <s v="Central"/>
    <s v="INV-0210"/>
    <d v="2025-01-18T00:00:00"/>
    <d v="2025-03-19T00:00:00"/>
    <n v="60"/>
    <n v="62370.09"/>
    <n v="62370.09"/>
    <n v="0"/>
    <d v="2025-04-08T00:00:00"/>
    <n v="134"/>
    <n v="74"/>
    <s v="Paid"/>
    <n v="2.5000000000000001E-2"/>
    <n v="0"/>
  </r>
  <r>
    <s v="VND-007"/>
    <s v="CloudSoft Solutions"/>
    <x v="1"/>
    <s v="Central"/>
    <s v="INV-0211"/>
    <d v="2025-05-06T00:00:00"/>
    <d v="2025-07-05T00:00:00"/>
    <n v="60"/>
    <n v="46689.87"/>
    <n v="0"/>
    <n v="46689.87"/>
    <m/>
    <n v="26"/>
    <n v="0"/>
    <s v="Pending"/>
    <n v="0.02"/>
    <n v="0"/>
  </r>
  <r>
    <s v="VND-007"/>
    <s v="CloudSoft Solutions"/>
    <x v="1"/>
    <s v="Central"/>
    <s v="INV-0212"/>
    <d v="2025-03-06T00:00:00"/>
    <d v="2025-03-21T00:00:00"/>
    <n v="15"/>
    <n v="55490.99"/>
    <n v="0"/>
    <n v="55490.99"/>
    <m/>
    <n v="87"/>
    <n v="72"/>
    <s v="Overdue"/>
    <n v="0"/>
    <n v="0"/>
  </r>
  <r>
    <s v="VND-007"/>
    <s v="CloudSoft Solutions"/>
    <x v="1"/>
    <s v="Central"/>
    <s v="INV-0213"/>
    <d v="2025-04-27T00:00:00"/>
    <d v="2025-05-27T00:00:00"/>
    <n v="30"/>
    <n v="59980.37"/>
    <n v="59980.37"/>
    <n v="0"/>
    <d v="2025-06-03T00:00:00"/>
    <n v="35"/>
    <n v="5"/>
    <s v="Paid"/>
    <n v="0.02"/>
    <n v="0"/>
  </r>
  <r>
    <s v="VND-007"/>
    <s v="CloudSoft Solutions"/>
    <x v="1"/>
    <s v="Central"/>
    <s v="INV-0214"/>
    <d v="2025-03-30T00:00:00"/>
    <d v="2025-06-28T00:00:00"/>
    <n v="90"/>
    <n v="38690.86"/>
    <n v="0"/>
    <n v="38690.86"/>
    <m/>
    <n v="63"/>
    <n v="0"/>
    <s v="Pending"/>
    <n v="0"/>
    <n v="0"/>
  </r>
  <r>
    <s v="VND-007"/>
    <s v="CloudSoft Solutions"/>
    <x v="1"/>
    <s v="Central"/>
    <s v="INV-0215"/>
    <d v="2025-02-19T00:00:00"/>
    <d v="2025-04-20T00:00:00"/>
    <n v="60"/>
    <n v="67269.429999999993"/>
    <n v="67269.429999999993"/>
    <n v="0"/>
    <d v="2025-03-28T00:00:00"/>
    <n v="102"/>
    <n v="42"/>
    <s v="Paid"/>
    <n v="0"/>
    <n v="0"/>
  </r>
  <r>
    <s v="VND-007"/>
    <s v="CloudSoft Solutions"/>
    <x v="1"/>
    <s v="Central"/>
    <s v="INV-0216"/>
    <d v="2025-05-05T00:00:00"/>
    <d v="2025-05-20T00:00:00"/>
    <n v="15"/>
    <n v="31142.35"/>
    <n v="0"/>
    <n v="31142.35"/>
    <m/>
    <n v="27"/>
    <n v="12"/>
    <s v="Overdue"/>
    <n v="2.5000000000000001E-2"/>
    <n v="0"/>
  </r>
  <r>
    <s v="VND-007"/>
    <s v="CloudSoft Solutions"/>
    <x v="1"/>
    <s v="Central"/>
    <s v="INV-0217"/>
    <d v="2025-04-20T00:00:00"/>
    <d v="2025-05-20T00:00:00"/>
    <n v="30"/>
    <n v="45955.07"/>
    <n v="45955.07"/>
    <n v="0"/>
    <d v="2025-05-23T00:00:00"/>
    <n v="42"/>
    <n v="12"/>
    <s v="Paid"/>
    <n v="0.02"/>
    <n v="0"/>
  </r>
  <r>
    <s v="VND-007"/>
    <s v="CloudSoft Solutions"/>
    <x v="1"/>
    <s v="Central"/>
    <s v="INV-0218"/>
    <d v="2025-05-10T00:00:00"/>
    <d v="2025-06-24T00:00:00"/>
    <n v="45"/>
    <n v="63004.71"/>
    <n v="0"/>
    <n v="63004.71"/>
    <m/>
    <n v="22"/>
    <n v="0"/>
    <s v="Pending"/>
    <n v="0.01"/>
    <n v="0"/>
  </r>
  <r>
    <s v="VND-007"/>
    <s v="CloudSoft Solutions"/>
    <x v="1"/>
    <s v="Central"/>
    <s v="INV-0219"/>
    <d v="2025-01-18T00:00:00"/>
    <d v="2025-02-02T00:00:00"/>
    <n v="15"/>
    <n v="6454.49"/>
    <n v="2783.45"/>
    <n v="3671.04"/>
    <d v="2025-04-13T00:00:00"/>
    <n v="134"/>
    <n v="119"/>
    <s v="Partial"/>
    <n v="0.01"/>
    <n v="0"/>
  </r>
  <r>
    <s v="VND-007"/>
    <s v="CloudSoft Solutions"/>
    <x v="1"/>
    <s v="Central"/>
    <s v="INV-0220"/>
    <d v="2024-12-28T00:00:00"/>
    <d v="2025-02-26T00:00:00"/>
    <n v="60"/>
    <n v="71878.720000000001"/>
    <n v="71878.720000000001"/>
    <n v="0"/>
    <d v="2025-03-13T00:00:00"/>
    <n v="155"/>
    <n v="95"/>
    <s v="Paid"/>
    <n v="0.02"/>
    <n v="0"/>
  </r>
  <r>
    <s v="VND-007"/>
    <s v="CloudSoft Solutions"/>
    <x v="1"/>
    <s v="Central"/>
    <s v="INV-0221"/>
    <d v="2025-04-23T00:00:00"/>
    <d v="2025-05-23T00:00:00"/>
    <n v="30"/>
    <n v="12197.68"/>
    <n v="8752.36"/>
    <n v="3445.32"/>
    <d v="2025-05-18T00:00:00"/>
    <n v="39"/>
    <n v="9"/>
    <s v="Partial"/>
    <n v="2.5000000000000001E-2"/>
    <n v="0"/>
  </r>
  <r>
    <s v="VND-007"/>
    <s v="CloudSoft Solutions"/>
    <x v="1"/>
    <s v="Central"/>
    <s v="INV-0222"/>
    <d v="2025-02-27T00:00:00"/>
    <d v="2025-03-14T00:00:00"/>
    <n v="15"/>
    <n v="50046.84"/>
    <n v="50046.84"/>
    <n v="0"/>
    <d v="2025-02-27T00:00:00"/>
    <n v="94"/>
    <n v="79"/>
    <s v="Paid"/>
    <n v="0"/>
    <n v="0"/>
  </r>
  <r>
    <s v="VND-007"/>
    <s v="CloudSoft Solutions"/>
    <x v="1"/>
    <s v="Central"/>
    <s v="INV-0223"/>
    <d v="2025-02-03T00:00:00"/>
    <d v="2025-04-04T00:00:00"/>
    <n v="60"/>
    <n v="42986.26"/>
    <n v="42986.26"/>
    <n v="0"/>
    <d v="2025-04-19T00:00:00"/>
    <n v="118"/>
    <n v="58"/>
    <s v="Paid"/>
    <n v="0.01"/>
    <n v="0"/>
  </r>
  <r>
    <s v="VND-007"/>
    <s v="CloudSoft Solutions"/>
    <x v="1"/>
    <s v="Central"/>
    <s v="INV-0224"/>
    <d v="2024-12-27T00:00:00"/>
    <d v="2025-02-25T00:00:00"/>
    <n v="60"/>
    <n v="38910.44"/>
    <n v="38910.44"/>
    <n v="0"/>
    <d v="2025-01-11T00:00:00"/>
    <n v="156"/>
    <n v="96"/>
    <s v="Paid"/>
    <n v="0.01"/>
    <n v="389.1"/>
  </r>
  <r>
    <s v="VND-007"/>
    <s v="CloudSoft Solutions"/>
    <x v="1"/>
    <s v="Central"/>
    <s v="INV-0225"/>
    <d v="2025-01-11T00:00:00"/>
    <d v="2025-03-12T00:00:00"/>
    <n v="60"/>
    <n v="14540.75"/>
    <n v="14540.75"/>
    <n v="0"/>
    <d v="2025-02-21T00:00:00"/>
    <n v="141"/>
    <n v="81"/>
    <s v="Paid"/>
    <n v="0.01"/>
    <n v="145.41"/>
  </r>
  <r>
    <s v="VND-007"/>
    <s v="CloudSoft Solutions"/>
    <x v="1"/>
    <s v="Central"/>
    <s v="INV-0226"/>
    <d v="2024-12-10T00:00:00"/>
    <d v="2025-01-24T00:00:00"/>
    <n v="45"/>
    <n v="56048.62"/>
    <n v="56048.62"/>
    <n v="0"/>
    <d v="2024-12-22T00:00:00"/>
    <n v="173"/>
    <n v="128"/>
    <s v="Paid"/>
    <n v="2.5000000000000001E-2"/>
    <n v="1401.22"/>
  </r>
  <r>
    <s v="VND-007"/>
    <s v="CloudSoft Solutions"/>
    <x v="1"/>
    <s v="Central"/>
    <s v="INV-0227"/>
    <d v="2025-02-11T00:00:00"/>
    <d v="2025-05-12T00:00:00"/>
    <n v="90"/>
    <n v="32904.199999999997"/>
    <n v="32904.199999999997"/>
    <n v="0"/>
    <d v="2025-03-23T00:00:00"/>
    <n v="110"/>
    <n v="20"/>
    <s v="Paid"/>
    <n v="0.01"/>
    <n v="329.04"/>
  </r>
  <r>
    <s v="VND-007"/>
    <s v="CloudSoft Solutions"/>
    <x v="1"/>
    <s v="Central"/>
    <s v="INV-0228"/>
    <d v="2025-01-10T00:00:00"/>
    <d v="2025-02-24T00:00:00"/>
    <n v="45"/>
    <n v="16400.72"/>
    <n v="16400.72"/>
    <n v="0"/>
    <d v="2025-02-09T00:00:00"/>
    <n v="142"/>
    <n v="97"/>
    <s v="Paid"/>
    <n v="0.02"/>
    <n v="328.01"/>
  </r>
  <r>
    <s v="VND-007"/>
    <s v="CloudSoft Solutions"/>
    <x v="1"/>
    <s v="Central"/>
    <s v="INV-0229"/>
    <d v="2025-03-13T00:00:00"/>
    <d v="2025-05-12T00:00:00"/>
    <n v="60"/>
    <n v="30178.39"/>
    <n v="30178.39"/>
    <n v="0"/>
    <d v="2025-06-03T00:00:00"/>
    <n v="80"/>
    <n v="20"/>
    <s v="Paid"/>
    <n v="2.5000000000000001E-2"/>
    <n v="0"/>
  </r>
  <r>
    <s v="VND-007"/>
    <s v="CloudSoft Solutions"/>
    <x v="1"/>
    <s v="Central"/>
    <s v="INV-0230"/>
    <d v="2025-04-17T00:00:00"/>
    <d v="2025-05-02T00:00:00"/>
    <n v="15"/>
    <n v="6827.21"/>
    <n v="5017.72"/>
    <n v="1809.49"/>
    <d v="2025-05-08T00:00:00"/>
    <n v="45"/>
    <n v="30"/>
    <s v="Partial"/>
    <n v="0"/>
    <n v="0"/>
  </r>
  <r>
    <s v="VND-007"/>
    <s v="CloudSoft Solutions"/>
    <x v="1"/>
    <s v="Central"/>
    <s v="INV-0231"/>
    <d v="2025-01-19T00:00:00"/>
    <d v="2025-03-05T00:00:00"/>
    <n v="45"/>
    <n v="37591.06"/>
    <n v="7882.01"/>
    <n v="29709.05"/>
    <d v="2025-04-03T00:00:00"/>
    <n v="133"/>
    <n v="88"/>
    <s v="Partial"/>
    <n v="0"/>
    <n v="0"/>
  </r>
  <r>
    <s v="VND-007"/>
    <s v="CloudSoft Solutions"/>
    <x v="1"/>
    <s v="Central"/>
    <s v="INV-0232"/>
    <d v="2024-12-16T00:00:00"/>
    <d v="2025-02-14T00:00:00"/>
    <n v="60"/>
    <n v="26955.599999999999"/>
    <n v="0"/>
    <n v="26955.599999999999"/>
    <m/>
    <n v="167"/>
    <n v="107"/>
    <s v="Overdue"/>
    <n v="0.01"/>
    <n v="0"/>
  </r>
  <r>
    <s v="VND-007"/>
    <s v="CloudSoft Solutions"/>
    <x v="1"/>
    <s v="Central"/>
    <s v="INV-0233"/>
    <d v="2025-01-01T00:00:00"/>
    <d v="2025-03-02T00:00:00"/>
    <n v="60"/>
    <n v="45974.65"/>
    <n v="45974.65"/>
    <n v="0"/>
    <d v="2025-02-08T00:00:00"/>
    <n v="151"/>
    <n v="91"/>
    <s v="Paid"/>
    <n v="2.5000000000000001E-2"/>
    <n v="1149.3699999999999"/>
  </r>
  <r>
    <s v="VND-007"/>
    <s v="CloudSoft Solutions"/>
    <x v="1"/>
    <s v="Central"/>
    <s v="INV-0234"/>
    <d v="2025-05-05T00:00:00"/>
    <d v="2025-07-04T00:00:00"/>
    <n v="60"/>
    <n v="42876.18"/>
    <n v="0"/>
    <n v="42876.18"/>
    <m/>
    <n v="27"/>
    <n v="0"/>
    <s v="Pending"/>
    <n v="0.01"/>
    <n v="0"/>
  </r>
  <r>
    <s v="VND-007"/>
    <s v="CloudSoft Solutions"/>
    <x v="1"/>
    <s v="Central"/>
    <s v="INV-0235"/>
    <d v="2025-01-26T00:00:00"/>
    <d v="2025-03-12T00:00:00"/>
    <n v="45"/>
    <n v="10264.870000000001"/>
    <n v="6143.25"/>
    <n v="4121.62"/>
    <d v="2025-05-22T00:00:00"/>
    <n v="126"/>
    <n v="81"/>
    <s v="Partial"/>
    <n v="0"/>
    <n v="0"/>
  </r>
  <r>
    <s v="VND-007"/>
    <s v="CloudSoft Solutions"/>
    <x v="1"/>
    <s v="Central"/>
    <s v="INV-0236"/>
    <d v="2024-12-19T00:00:00"/>
    <d v="2025-01-18T00:00:00"/>
    <n v="30"/>
    <n v="5618.83"/>
    <n v="5618.83"/>
    <n v="0"/>
    <d v="2025-01-14T00:00:00"/>
    <n v="164"/>
    <n v="134"/>
    <s v="Paid"/>
    <n v="0.01"/>
    <n v="0"/>
  </r>
  <r>
    <s v="VND-007"/>
    <s v="CloudSoft Solutions"/>
    <x v="1"/>
    <s v="Central"/>
    <s v="INV-0237"/>
    <d v="2025-03-31T00:00:00"/>
    <d v="2025-05-15T00:00:00"/>
    <n v="45"/>
    <n v="71841.61"/>
    <n v="0"/>
    <n v="71841.61"/>
    <m/>
    <n v="62"/>
    <n v="17"/>
    <s v="Overdue"/>
    <n v="0.01"/>
    <n v="0"/>
  </r>
  <r>
    <s v="VND-007"/>
    <s v="CloudSoft Solutions"/>
    <x v="1"/>
    <s v="Central"/>
    <s v="INV-0238"/>
    <d v="2025-05-22T00:00:00"/>
    <d v="2025-07-06T00:00:00"/>
    <n v="45"/>
    <n v="23057.22"/>
    <n v="0"/>
    <n v="23057.22"/>
    <m/>
    <n v="10"/>
    <n v="0"/>
    <s v="Pending"/>
    <n v="2.5000000000000001E-2"/>
    <n v="0"/>
  </r>
  <r>
    <s v="VND-007"/>
    <s v="CloudSoft Solutions"/>
    <x v="1"/>
    <s v="Central"/>
    <s v="INV-0239"/>
    <d v="2025-02-19T00:00:00"/>
    <d v="2025-04-20T00:00:00"/>
    <n v="60"/>
    <n v="45746.63"/>
    <n v="45746.63"/>
    <n v="0"/>
    <d v="2025-03-22T00:00:00"/>
    <n v="102"/>
    <n v="42"/>
    <s v="Paid"/>
    <n v="0.02"/>
    <n v="914.93"/>
  </r>
  <r>
    <s v="VND-007"/>
    <s v="CloudSoft Solutions"/>
    <x v="1"/>
    <s v="Central"/>
    <s v="INV-0240"/>
    <d v="2024-12-15T00:00:00"/>
    <d v="2024-12-30T00:00:00"/>
    <n v="15"/>
    <n v="54233.48"/>
    <n v="0"/>
    <n v="54233.48"/>
    <m/>
    <n v="168"/>
    <n v="153"/>
    <s v="Overdue"/>
    <n v="0.01"/>
    <n v="0"/>
  </r>
  <r>
    <s v="VND-007"/>
    <s v="CloudSoft Solutions"/>
    <x v="1"/>
    <s v="Central"/>
    <s v="INV-0241"/>
    <d v="2025-04-25T00:00:00"/>
    <d v="2025-06-09T00:00:00"/>
    <n v="45"/>
    <n v="1869.74"/>
    <n v="0"/>
    <n v="1869.74"/>
    <m/>
    <n v="37"/>
    <n v="0"/>
    <s v="Pending"/>
    <n v="0.01"/>
    <n v="0"/>
  </r>
  <r>
    <s v="VND-007"/>
    <s v="CloudSoft Solutions"/>
    <x v="1"/>
    <s v="Central"/>
    <s v="INV-0242"/>
    <d v="2025-05-25T00:00:00"/>
    <d v="2025-07-09T00:00:00"/>
    <n v="45"/>
    <n v="42190.95"/>
    <n v="0"/>
    <n v="42190.95"/>
    <m/>
    <n v="7"/>
    <n v="0"/>
    <s v="Pending"/>
    <n v="2.5000000000000001E-2"/>
    <n v="0"/>
  </r>
  <r>
    <s v="VND-007"/>
    <s v="CloudSoft Solutions"/>
    <x v="1"/>
    <s v="Central"/>
    <s v="INV-0243"/>
    <d v="2025-02-21T00:00:00"/>
    <d v="2025-03-23T00:00:00"/>
    <n v="30"/>
    <n v="61649.09"/>
    <n v="61649.09"/>
    <n v="0"/>
    <d v="2025-03-15T00:00:00"/>
    <n v="100"/>
    <n v="70"/>
    <s v="Paid"/>
    <n v="0"/>
    <n v="0"/>
  </r>
  <r>
    <s v="VND-007"/>
    <s v="CloudSoft Solutions"/>
    <x v="1"/>
    <s v="Central"/>
    <s v="INV-0244"/>
    <d v="2025-04-15T00:00:00"/>
    <d v="2025-07-14T00:00:00"/>
    <n v="90"/>
    <n v="72218.33"/>
    <n v="0"/>
    <n v="72218.33"/>
    <m/>
    <n v="47"/>
    <n v="0"/>
    <s v="Pending"/>
    <n v="0"/>
    <n v="0"/>
  </r>
  <r>
    <s v="VND-007"/>
    <s v="CloudSoft Solutions"/>
    <x v="1"/>
    <s v="Central"/>
    <s v="INV-0245"/>
    <d v="2025-01-08T00:00:00"/>
    <d v="2025-02-22T00:00:00"/>
    <n v="45"/>
    <n v="32674.62"/>
    <n v="0"/>
    <n v="32674.62"/>
    <m/>
    <n v="144"/>
    <n v="99"/>
    <s v="Overdue"/>
    <n v="0.02"/>
    <n v="0"/>
  </r>
  <r>
    <s v="VND-007"/>
    <s v="CloudSoft Solutions"/>
    <x v="1"/>
    <s v="Central"/>
    <s v="INV-0246"/>
    <d v="2025-03-14T00:00:00"/>
    <d v="2025-04-28T00:00:00"/>
    <n v="45"/>
    <n v="12709.02"/>
    <n v="12709.02"/>
    <n v="0"/>
    <d v="2025-03-17T00:00:00"/>
    <n v="79"/>
    <n v="34"/>
    <s v="Paid"/>
    <n v="0"/>
    <n v="0"/>
  </r>
  <r>
    <s v="VND-007"/>
    <s v="CloudSoft Solutions"/>
    <x v="1"/>
    <s v="Central"/>
    <s v="INV-0247"/>
    <d v="2025-03-15T00:00:00"/>
    <d v="2025-03-30T00:00:00"/>
    <n v="15"/>
    <n v="43024.94"/>
    <n v="13374.49"/>
    <n v="29650.45"/>
    <d v="2025-03-28T00:00:00"/>
    <n v="78"/>
    <n v="63"/>
    <s v="Partial"/>
    <n v="2.5000000000000001E-2"/>
    <n v="0"/>
  </r>
  <r>
    <s v="VND-007"/>
    <s v="CloudSoft Solutions"/>
    <x v="1"/>
    <s v="Central"/>
    <s v="INV-0248"/>
    <d v="2025-01-29T00:00:00"/>
    <d v="2025-02-28T00:00:00"/>
    <n v="30"/>
    <n v="13245.81"/>
    <n v="13245.81"/>
    <n v="0"/>
    <d v="2025-03-12T00:00:00"/>
    <n v="123"/>
    <n v="93"/>
    <s v="Paid"/>
    <n v="0.01"/>
    <n v="0"/>
  </r>
  <r>
    <s v="VND-007"/>
    <s v="CloudSoft Solutions"/>
    <x v="1"/>
    <s v="Central"/>
    <s v="INV-0249"/>
    <d v="2024-12-03T00:00:00"/>
    <d v="2024-12-18T00:00:00"/>
    <n v="15"/>
    <n v="26738.81"/>
    <n v="26738.81"/>
    <n v="0"/>
    <d v="2025-01-01T00:00:00"/>
    <n v="180"/>
    <n v="165"/>
    <s v="Paid"/>
    <n v="0.02"/>
    <n v="0"/>
  </r>
  <r>
    <s v="VND-007"/>
    <s v="CloudSoft Solutions"/>
    <x v="1"/>
    <s v="Central"/>
    <s v="INV-0250"/>
    <d v="2025-05-09T00:00:00"/>
    <d v="2025-06-08T00:00:00"/>
    <n v="30"/>
    <n v="70480.070000000007"/>
    <n v="0"/>
    <n v="70480.070000000007"/>
    <m/>
    <n v="23"/>
    <n v="0"/>
    <s v="Pending"/>
    <n v="2.5000000000000001E-2"/>
    <n v="0"/>
  </r>
  <r>
    <s v="VND-007"/>
    <s v="CloudSoft Solutions"/>
    <x v="1"/>
    <s v="Central"/>
    <s v="INV-0251"/>
    <d v="2025-02-28T00:00:00"/>
    <d v="2025-05-29T00:00:00"/>
    <n v="90"/>
    <n v="47268.51"/>
    <n v="47268.51"/>
    <n v="0"/>
    <d v="2025-06-02T00:00:00"/>
    <n v="93"/>
    <n v="3"/>
    <s v="Paid"/>
    <n v="2.5000000000000001E-2"/>
    <n v="0"/>
  </r>
  <r>
    <s v="VND-007"/>
    <s v="CloudSoft Solutions"/>
    <x v="1"/>
    <s v="Central"/>
    <s v="INV-0252"/>
    <d v="2024-12-25T00:00:00"/>
    <d v="2025-01-09T00:00:00"/>
    <n v="15"/>
    <n v="13762.57"/>
    <n v="13762.57"/>
    <n v="0"/>
    <d v="2025-01-01T00:00:00"/>
    <n v="158"/>
    <n v="143"/>
    <s v="Paid"/>
    <n v="0"/>
    <n v="0"/>
  </r>
  <r>
    <s v="VND-007"/>
    <s v="CloudSoft Solutions"/>
    <x v="1"/>
    <s v="Central"/>
    <s v="INV-0253"/>
    <d v="2025-02-28T00:00:00"/>
    <d v="2025-05-29T00:00:00"/>
    <n v="90"/>
    <n v="36360.58"/>
    <n v="36360.58"/>
    <n v="0"/>
    <d v="2025-06-19T00:00:00"/>
    <n v="93"/>
    <n v="3"/>
    <s v="Paid"/>
    <n v="0.01"/>
    <n v="0"/>
  </r>
  <r>
    <s v="VND-008"/>
    <s v="Rapi Cargo SA"/>
    <x v="2"/>
    <s v="West"/>
    <s v="INV-0254"/>
    <d v="2025-02-02T00:00:00"/>
    <d v="2025-03-04T00:00:00"/>
    <n v="30"/>
    <n v="16617.5"/>
    <n v="16617.5"/>
    <n v="0"/>
    <d v="2025-02-27T00:00:00"/>
    <n v="119"/>
    <n v="89"/>
    <s v="Paid"/>
    <n v="0.02"/>
    <n v="332.35"/>
  </r>
  <r>
    <s v="VND-008"/>
    <s v="Rapi Cargo SA"/>
    <x v="2"/>
    <s v="West"/>
    <s v="INV-0255"/>
    <d v="2025-02-02T00:00:00"/>
    <d v="2025-02-17T00:00:00"/>
    <n v="15"/>
    <n v="1068.49"/>
    <n v="1068.49"/>
    <n v="0"/>
    <d v="2025-02-10T00:00:00"/>
    <n v="119"/>
    <n v="104"/>
    <s v="Paid"/>
    <n v="0"/>
    <n v="0"/>
  </r>
  <r>
    <s v="VND-008"/>
    <s v="Rapi Cargo SA"/>
    <x v="2"/>
    <s v="West"/>
    <s v="INV-0256"/>
    <d v="2025-03-27T00:00:00"/>
    <d v="2025-05-11T00:00:00"/>
    <n v="45"/>
    <n v="25041.55"/>
    <n v="25041.55"/>
    <n v="0"/>
    <d v="2025-05-30T00:00:00"/>
    <n v="66"/>
    <n v="21"/>
    <s v="Paid"/>
    <n v="0"/>
    <n v="0"/>
  </r>
  <r>
    <s v="VND-008"/>
    <s v="Rapi Cargo SA"/>
    <x v="2"/>
    <s v="West"/>
    <s v="INV-0257"/>
    <d v="2025-05-14T00:00:00"/>
    <d v="2025-05-29T00:00:00"/>
    <n v="15"/>
    <n v="26804.16"/>
    <n v="0"/>
    <n v="26804.16"/>
    <m/>
    <n v="18"/>
    <n v="3"/>
    <s v="Overdue"/>
    <n v="0.02"/>
    <n v="0"/>
  </r>
  <r>
    <s v="VND-008"/>
    <s v="Rapi Cargo SA"/>
    <x v="2"/>
    <s v="West"/>
    <s v="INV-0258"/>
    <d v="2025-04-08T00:00:00"/>
    <d v="2025-05-08T00:00:00"/>
    <n v="30"/>
    <n v="18969.71"/>
    <n v="18969.71"/>
    <n v="0"/>
    <d v="2025-05-15T00:00:00"/>
    <n v="54"/>
    <n v="24"/>
    <s v="Paid"/>
    <n v="2.5000000000000001E-2"/>
    <n v="0"/>
  </r>
  <r>
    <s v="VND-008"/>
    <s v="Rapi Cargo SA"/>
    <x v="2"/>
    <s v="West"/>
    <s v="INV-0259"/>
    <d v="2025-05-15T00:00:00"/>
    <d v="2025-08-13T00:00:00"/>
    <n v="90"/>
    <n v="4649.6000000000004"/>
    <n v="0"/>
    <n v="4649.6000000000004"/>
    <m/>
    <n v="17"/>
    <n v="0"/>
    <s v="Pending"/>
    <n v="0"/>
    <n v="0"/>
  </r>
  <r>
    <s v="VND-008"/>
    <s v="Rapi Cargo SA"/>
    <x v="2"/>
    <s v="West"/>
    <s v="INV-0260"/>
    <d v="2025-02-06T00:00:00"/>
    <d v="2025-04-07T00:00:00"/>
    <n v="60"/>
    <n v="21442.06"/>
    <n v="21442.06"/>
    <n v="0"/>
    <d v="2025-02-20T00:00:00"/>
    <n v="115"/>
    <n v="55"/>
    <s v="Paid"/>
    <n v="0.02"/>
    <n v="428.84"/>
  </r>
  <r>
    <s v="VND-008"/>
    <s v="Rapi Cargo SA"/>
    <x v="2"/>
    <s v="West"/>
    <s v="INV-0261"/>
    <d v="2025-02-09T00:00:00"/>
    <d v="2025-03-11T00:00:00"/>
    <n v="30"/>
    <n v="59613.75"/>
    <n v="59613.75"/>
    <n v="0"/>
    <d v="2025-03-19T00:00:00"/>
    <n v="112"/>
    <n v="82"/>
    <s v="Paid"/>
    <n v="0.02"/>
    <n v="0"/>
  </r>
  <r>
    <s v="VND-008"/>
    <s v="Rapi Cargo SA"/>
    <x v="2"/>
    <s v="West"/>
    <s v="INV-0262"/>
    <d v="2025-04-30T00:00:00"/>
    <d v="2025-06-14T00:00:00"/>
    <n v="45"/>
    <n v="76000.39"/>
    <n v="0"/>
    <n v="76000.39"/>
    <m/>
    <n v="32"/>
    <n v="0"/>
    <s v="Pending"/>
    <n v="0"/>
    <n v="0"/>
  </r>
  <r>
    <s v="VND-008"/>
    <s v="Rapi Cargo SA"/>
    <x v="2"/>
    <s v="West"/>
    <s v="INV-0263"/>
    <d v="2025-05-08T00:00:00"/>
    <d v="2025-08-06T00:00:00"/>
    <n v="90"/>
    <n v="54595.37"/>
    <n v="0"/>
    <n v="54595.37"/>
    <m/>
    <n v="24"/>
    <n v="0"/>
    <s v="Pending"/>
    <n v="0"/>
    <n v="0"/>
  </r>
  <r>
    <s v="VND-008"/>
    <s v="Rapi Cargo SA"/>
    <x v="2"/>
    <s v="West"/>
    <s v="INV-0264"/>
    <d v="2024-12-09T00:00:00"/>
    <d v="2025-02-07T00:00:00"/>
    <n v="60"/>
    <n v="15398.52"/>
    <n v="15398.52"/>
    <n v="0"/>
    <d v="2025-03-02T00:00:00"/>
    <n v="174"/>
    <n v="114"/>
    <s v="Paid"/>
    <n v="0"/>
    <n v="0"/>
  </r>
  <r>
    <s v="VND-008"/>
    <s v="Rapi Cargo SA"/>
    <x v="2"/>
    <s v="West"/>
    <s v="INV-0265"/>
    <d v="2025-03-25T00:00:00"/>
    <d v="2025-05-09T00:00:00"/>
    <n v="45"/>
    <n v="35884.89"/>
    <n v="35884.89"/>
    <n v="0"/>
    <d v="2025-04-19T00:00:00"/>
    <n v="68"/>
    <n v="23"/>
    <s v="Paid"/>
    <n v="2.5000000000000001E-2"/>
    <n v="897.12"/>
  </r>
  <r>
    <s v="VND-008"/>
    <s v="Rapi Cargo SA"/>
    <x v="2"/>
    <s v="West"/>
    <s v="INV-0266"/>
    <d v="2025-04-06T00:00:00"/>
    <d v="2025-06-05T00:00:00"/>
    <n v="60"/>
    <n v="25365.48"/>
    <n v="0"/>
    <n v="25365.48"/>
    <m/>
    <n v="56"/>
    <n v="0"/>
    <s v="Pending"/>
    <n v="2.5000000000000001E-2"/>
    <n v="0"/>
  </r>
  <r>
    <s v="VND-008"/>
    <s v="Rapi Cargo SA"/>
    <x v="2"/>
    <s v="West"/>
    <s v="INV-0267"/>
    <d v="2025-03-22T00:00:00"/>
    <d v="2025-05-06T00:00:00"/>
    <n v="45"/>
    <n v="39766.44"/>
    <n v="39766.44"/>
    <n v="0"/>
    <d v="2025-05-29T00:00:00"/>
    <n v="71"/>
    <n v="26"/>
    <s v="Paid"/>
    <n v="0.01"/>
    <n v="0"/>
  </r>
  <r>
    <s v="VND-008"/>
    <s v="Rapi Cargo SA"/>
    <x v="2"/>
    <s v="West"/>
    <s v="INV-0268"/>
    <d v="2024-12-15T00:00:00"/>
    <d v="2025-03-15T00:00:00"/>
    <n v="90"/>
    <n v="11989.86"/>
    <n v="0"/>
    <n v="11989.86"/>
    <m/>
    <n v="168"/>
    <n v="78"/>
    <s v="Overdue"/>
    <n v="0.01"/>
    <n v="0"/>
  </r>
  <r>
    <s v="VND-008"/>
    <s v="Rapi Cargo SA"/>
    <x v="2"/>
    <s v="West"/>
    <s v="INV-0269"/>
    <d v="2025-01-04T00:00:00"/>
    <d v="2025-03-05T00:00:00"/>
    <n v="60"/>
    <n v="69554.2"/>
    <n v="21288.31"/>
    <n v="48265.89"/>
    <d v="2025-03-24T00:00:00"/>
    <n v="148"/>
    <n v="88"/>
    <s v="Partial"/>
    <n v="0.02"/>
    <n v="0"/>
  </r>
  <r>
    <s v="VND-008"/>
    <s v="Rapi Cargo SA"/>
    <x v="2"/>
    <s v="West"/>
    <s v="INV-0270"/>
    <d v="2025-02-25T00:00:00"/>
    <d v="2025-03-27T00:00:00"/>
    <n v="30"/>
    <n v="21552.35"/>
    <n v="21552.35"/>
    <n v="0"/>
    <d v="2025-02-26T00:00:00"/>
    <n v="96"/>
    <n v="66"/>
    <s v="Paid"/>
    <n v="0.02"/>
    <n v="431.05"/>
  </r>
  <r>
    <s v="VND-008"/>
    <s v="Rapi Cargo SA"/>
    <x v="2"/>
    <s v="West"/>
    <s v="INV-0271"/>
    <d v="2025-03-13T00:00:00"/>
    <d v="2025-05-12T00:00:00"/>
    <n v="60"/>
    <n v="54177.93"/>
    <n v="54177.93"/>
    <n v="0"/>
    <d v="2025-06-09T00:00:00"/>
    <n v="80"/>
    <n v="20"/>
    <s v="Paid"/>
    <n v="0.01"/>
    <n v="0"/>
  </r>
  <r>
    <s v="VND-008"/>
    <s v="Rapi Cargo SA"/>
    <x v="2"/>
    <s v="West"/>
    <s v="INV-0272"/>
    <d v="2025-04-26T00:00:00"/>
    <d v="2025-06-25T00:00:00"/>
    <n v="60"/>
    <n v="14913.24"/>
    <n v="0"/>
    <n v="14913.24"/>
    <m/>
    <n v="36"/>
    <n v="0"/>
    <s v="Pending"/>
    <n v="0"/>
    <n v="0"/>
  </r>
  <r>
    <s v="VND-008"/>
    <s v="Rapi Cargo SA"/>
    <x v="2"/>
    <s v="West"/>
    <s v="INV-0273"/>
    <d v="2024-12-26T00:00:00"/>
    <d v="2025-02-24T00:00:00"/>
    <n v="60"/>
    <n v="19291.68"/>
    <n v="0"/>
    <n v="19291.68"/>
    <m/>
    <n v="157"/>
    <n v="97"/>
    <s v="Overdue"/>
    <n v="0"/>
    <n v="0"/>
  </r>
  <r>
    <s v="VND-008"/>
    <s v="Rapi Cargo SA"/>
    <x v="2"/>
    <s v="West"/>
    <s v="INV-0274"/>
    <d v="2024-12-29T00:00:00"/>
    <d v="2025-03-29T00:00:00"/>
    <n v="90"/>
    <n v="55084.05"/>
    <n v="55084.05"/>
    <n v="0"/>
    <d v="2025-01-05T00:00:00"/>
    <n v="154"/>
    <n v="64"/>
    <s v="Paid"/>
    <n v="0.01"/>
    <n v="550.84"/>
  </r>
  <r>
    <s v="VND-008"/>
    <s v="Rapi Cargo SA"/>
    <x v="2"/>
    <s v="West"/>
    <s v="INV-0275"/>
    <d v="2025-03-08T00:00:00"/>
    <d v="2025-05-07T00:00:00"/>
    <n v="60"/>
    <n v="42274.06"/>
    <n v="42274.06"/>
    <n v="0"/>
    <d v="2025-03-24T00:00:00"/>
    <n v="85"/>
    <n v="25"/>
    <s v="Paid"/>
    <n v="0.02"/>
    <n v="845.48"/>
  </r>
  <r>
    <s v="VND-008"/>
    <s v="Rapi Cargo SA"/>
    <x v="2"/>
    <s v="West"/>
    <s v="INV-0276"/>
    <d v="2025-03-04T00:00:00"/>
    <d v="2025-06-02T00:00:00"/>
    <n v="90"/>
    <n v="66113.98"/>
    <n v="0"/>
    <n v="66113.98"/>
    <m/>
    <n v="89"/>
    <n v="0"/>
    <s v="Pending"/>
    <n v="0"/>
    <n v="0"/>
  </r>
  <r>
    <s v="VND-008"/>
    <s v="Rapi Cargo SA"/>
    <x v="2"/>
    <s v="West"/>
    <s v="INV-0277"/>
    <d v="2025-01-30T00:00:00"/>
    <d v="2025-03-01T00:00:00"/>
    <n v="30"/>
    <n v="70852.89"/>
    <n v="0"/>
    <n v="70852.89"/>
    <m/>
    <n v="122"/>
    <n v="92"/>
    <s v="Overdue"/>
    <n v="0.01"/>
    <n v="0"/>
  </r>
  <r>
    <s v="VND-008"/>
    <s v="Rapi Cargo SA"/>
    <x v="2"/>
    <s v="West"/>
    <s v="INV-0278"/>
    <d v="2024-12-10T00:00:00"/>
    <d v="2024-12-25T00:00:00"/>
    <n v="15"/>
    <n v="12504.64"/>
    <n v="12504.64"/>
    <n v="0"/>
    <d v="2025-01-06T00:00:00"/>
    <n v="173"/>
    <n v="158"/>
    <s v="Paid"/>
    <n v="0.01"/>
    <n v="0"/>
  </r>
  <r>
    <s v="VND-008"/>
    <s v="Rapi Cargo SA"/>
    <x v="2"/>
    <s v="West"/>
    <s v="INV-0279"/>
    <d v="2025-04-19T00:00:00"/>
    <d v="2025-06-03T00:00:00"/>
    <n v="45"/>
    <n v="15656.8"/>
    <n v="0"/>
    <n v="15656.8"/>
    <m/>
    <n v="43"/>
    <n v="0"/>
    <s v="Pending"/>
    <n v="0"/>
    <n v="0"/>
  </r>
  <r>
    <s v="VND-008"/>
    <s v="Rapi Cargo SA"/>
    <x v="2"/>
    <s v="West"/>
    <s v="INV-0280"/>
    <d v="2025-03-21T00:00:00"/>
    <d v="2025-04-05T00:00:00"/>
    <n v="15"/>
    <n v="6117.05"/>
    <n v="0"/>
    <n v="6117.05"/>
    <m/>
    <n v="72"/>
    <n v="57"/>
    <s v="Overdue"/>
    <n v="0.02"/>
    <n v="0"/>
  </r>
  <r>
    <s v="VND-008"/>
    <s v="Rapi Cargo SA"/>
    <x v="2"/>
    <s v="West"/>
    <s v="INV-0281"/>
    <d v="2025-02-13T00:00:00"/>
    <d v="2025-03-15T00:00:00"/>
    <n v="30"/>
    <n v="26612.79"/>
    <n v="26612.79"/>
    <n v="0"/>
    <d v="2025-03-02T00:00:00"/>
    <n v="108"/>
    <n v="78"/>
    <s v="Paid"/>
    <n v="2.5000000000000001E-2"/>
    <n v="665.32"/>
  </r>
  <r>
    <s v="VND-008"/>
    <s v="Rapi Cargo SA"/>
    <x v="2"/>
    <s v="West"/>
    <s v="INV-0282"/>
    <d v="2025-05-05T00:00:00"/>
    <d v="2025-08-03T00:00:00"/>
    <n v="90"/>
    <n v="32863.870000000003"/>
    <n v="0"/>
    <n v="32863.870000000003"/>
    <m/>
    <n v="27"/>
    <n v="0"/>
    <s v="Pending"/>
    <n v="0"/>
    <n v="0"/>
  </r>
  <r>
    <s v="VND-008"/>
    <s v="Rapi Cargo SA"/>
    <x v="2"/>
    <s v="West"/>
    <s v="INV-0283"/>
    <d v="2025-05-27T00:00:00"/>
    <d v="2025-07-26T00:00:00"/>
    <n v="60"/>
    <n v="67871.17"/>
    <n v="0"/>
    <n v="67871.17"/>
    <m/>
    <n v="5"/>
    <n v="0"/>
    <s v="Pending"/>
    <n v="0"/>
    <n v="0"/>
  </r>
  <r>
    <s v="VND-008"/>
    <s v="Rapi Cargo SA"/>
    <x v="2"/>
    <s v="West"/>
    <s v="INV-0284"/>
    <d v="2025-04-22T00:00:00"/>
    <d v="2025-05-22T00:00:00"/>
    <n v="30"/>
    <n v="66784.460000000006"/>
    <n v="9752.7800000000007"/>
    <n v="57031.68"/>
    <d v="2025-05-04T00:00:00"/>
    <n v="40"/>
    <n v="10"/>
    <s v="Partial"/>
    <n v="2.5000000000000001E-2"/>
    <n v="0"/>
  </r>
  <r>
    <s v="VND-008"/>
    <s v="Rapi Cargo SA"/>
    <x v="2"/>
    <s v="West"/>
    <s v="INV-0285"/>
    <d v="2025-01-24T00:00:00"/>
    <d v="2025-03-25T00:00:00"/>
    <n v="60"/>
    <n v="31246.97"/>
    <n v="0"/>
    <n v="31246.97"/>
    <m/>
    <n v="128"/>
    <n v="68"/>
    <s v="Overdue"/>
    <n v="2.5000000000000001E-2"/>
    <n v="0"/>
  </r>
  <r>
    <s v="VND-008"/>
    <s v="Rapi Cargo SA"/>
    <x v="2"/>
    <s v="West"/>
    <s v="INV-0286"/>
    <d v="2025-02-05T00:00:00"/>
    <d v="2025-03-07T00:00:00"/>
    <n v="30"/>
    <n v="47385.85"/>
    <n v="47385.85"/>
    <n v="0"/>
    <d v="2025-02-08T00:00:00"/>
    <n v="116"/>
    <n v="86"/>
    <s v="Paid"/>
    <n v="0.02"/>
    <n v="947.72"/>
  </r>
  <r>
    <s v="VND-008"/>
    <s v="Rapi Cargo SA"/>
    <x v="2"/>
    <s v="West"/>
    <s v="INV-0287"/>
    <d v="2024-12-29T00:00:00"/>
    <d v="2025-01-28T00:00:00"/>
    <n v="30"/>
    <n v="39954.699999999997"/>
    <n v="39954.699999999997"/>
    <n v="0"/>
    <d v="2025-01-26T00:00:00"/>
    <n v="154"/>
    <n v="124"/>
    <s v="Paid"/>
    <n v="0.02"/>
    <n v="0"/>
  </r>
  <r>
    <s v="VND-008"/>
    <s v="Rapi Cargo SA"/>
    <x v="2"/>
    <s v="West"/>
    <s v="INV-0288"/>
    <d v="2025-02-03T00:00:00"/>
    <d v="2025-05-04T00:00:00"/>
    <n v="90"/>
    <n v="31560.68"/>
    <n v="0"/>
    <n v="31560.68"/>
    <m/>
    <n v="118"/>
    <n v="28"/>
    <s v="Overdue"/>
    <n v="0"/>
    <n v="0"/>
  </r>
  <r>
    <s v="VND-008"/>
    <s v="Rapi Cargo SA"/>
    <x v="2"/>
    <s v="West"/>
    <s v="INV-0289"/>
    <d v="2025-03-09T00:00:00"/>
    <d v="2025-03-24T00:00:00"/>
    <n v="15"/>
    <n v="1009.81"/>
    <n v="0"/>
    <n v="1009.81"/>
    <m/>
    <n v="84"/>
    <n v="69"/>
    <s v="Overdue"/>
    <n v="0"/>
    <n v="0"/>
  </r>
  <r>
    <s v="VND-008"/>
    <s v="Rapi Cargo SA"/>
    <x v="2"/>
    <s v="West"/>
    <s v="INV-0290"/>
    <d v="2025-05-14T00:00:00"/>
    <d v="2025-07-13T00:00:00"/>
    <n v="60"/>
    <n v="30771.57"/>
    <n v="0"/>
    <n v="30771.57"/>
    <m/>
    <n v="18"/>
    <n v="0"/>
    <s v="Pending"/>
    <n v="0.02"/>
    <n v="0"/>
  </r>
  <r>
    <s v="VND-008"/>
    <s v="Rapi Cargo SA"/>
    <x v="2"/>
    <s v="West"/>
    <s v="INV-0291"/>
    <d v="2024-12-10T00:00:00"/>
    <d v="2025-02-08T00:00:00"/>
    <n v="60"/>
    <n v="10756.16"/>
    <n v="2015.08"/>
    <n v="8741.08"/>
    <d v="2025-04-05T00:00:00"/>
    <n v="173"/>
    <n v="113"/>
    <s v="Partial"/>
    <n v="0.01"/>
    <n v="0"/>
  </r>
  <r>
    <s v="VND-008"/>
    <s v="Rapi Cargo SA"/>
    <x v="2"/>
    <s v="West"/>
    <s v="INV-0292"/>
    <d v="2025-04-03T00:00:00"/>
    <d v="2025-05-03T00:00:00"/>
    <n v="30"/>
    <n v="53942.65"/>
    <n v="53942.65"/>
    <n v="0"/>
    <d v="2025-04-11T00:00:00"/>
    <n v="59"/>
    <n v="29"/>
    <s v="Paid"/>
    <n v="2.5000000000000001E-2"/>
    <n v="1348.57"/>
  </r>
  <r>
    <s v="VND-008"/>
    <s v="Rapi Cargo SA"/>
    <x v="2"/>
    <s v="West"/>
    <s v="INV-0293"/>
    <d v="2025-05-18T00:00:00"/>
    <d v="2025-06-02T00:00:00"/>
    <n v="15"/>
    <n v="4842.09"/>
    <n v="0"/>
    <n v="4842.09"/>
    <m/>
    <n v="14"/>
    <n v="0"/>
    <s v="Pending"/>
    <n v="0.01"/>
    <n v="0"/>
  </r>
  <r>
    <s v="VND-008"/>
    <s v="Rapi Cargo SA"/>
    <x v="2"/>
    <s v="West"/>
    <s v="INV-0294"/>
    <d v="2025-01-01T00:00:00"/>
    <d v="2025-01-16T00:00:00"/>
    <n v="15"/>
    <n v="26499.99"/>
    <n v="0"/>
    <n v="26499.99"/>
    <m/>
    <n v="151"/>
    <n v="136"/>
    <s v="Overdue"/>
    <n v="0.01"/>
    <n v="0"/>
  </r>
  <r>
    <s v="VND-008"/>
    <s v="Rapi Cargo SA"/>
    <x v="2"/>
    <s v="West"/>
    <s v="INV-0295"/>
    <d v="2024-12-09T00:00:00"/>
    <d v="2025-03-09T00:00:00"/>
    <n v="90"/>
    <n v="60063.9"/>
    <n v="35876.269999999997"/>
    <n v="24187.63"/>
    <d v="2024-12-25T00:00:00"/>
    <n v="174"/>
    <n v="84"/>
    <s v="Partial"/>
    <n v="0"/>
    <n v="0"/>
  </r>
  <r>
    <s v="VND-008"/>
    <s v="Rapi Cargo SA"/>
    <x v="2"/>
    <s v="West"/>
    <s v="INV-0296"/>
    <d v="2025-03-03T00:00:00"/>
    <d v="2025-04-02T00:00:00"/>
    <n v="30"/>
    <n v="29312.37"/>
    <n v="14985.24"/>
    <n v="14327.13"/>
    <d v="2025-05-12T00:00:00"/>
    <n v="90"/>
    <n v="60"/>
    <s v="Partial"/>
    <n v="0"/>
    <n v="0"/>
  </r>
  <r>
    <s v="VND-009"/>
    <s v="Consulting Masters"/>
    <x v="3"/>
    <s v="West"/>
    <s v="INV-0297"/>
    <d v="2025-05-03T00:00:00"/>
    <d v="2025-05-18T00:00:00"/>
    <n v="15"/>
    <n v="5257.34"/>
    <n v="5257.34"/>
    <n v="0"/>
    <d v="2025-06-11T00:00:00"/>
    <n v="29"/>
    <n v="14"/>
    <s v="Paid"/>
    <n v="0.02"/>
    <n v="0"/>
  </r>
  <r>
    <s v="VND-009"/>
    <s v="Consulting Masters"/>
    <x v="3"/>
    <s v="West"/>
    <s v="INV-0298"/>
    <d v="2025-05-08T00:00:00"/>
    <d v="2025-07-07T00:00:00"/>
    <n v="60"/>
    <n v="31946.41"/>
    <n v="0"/>
    <n v="31946.41"/>
    <m/>
    <n v="24"/>
    <n v="0"/>
    <s v="Pending"/>
    <n v="0.02"/>
    <n v="0"/>
  </r>
  <r>
    <s v="VND-009"/>
    <s v="Consulting Masters"/>
    <x v="3"/>
    <s v="West"/>
    <s v="INV-0299"/>
    <d v="2025-05-21T00:00:00"/>
    <d v="2025-06-20T00:00:00"/>
    <n v="30"/>
    <n v="24868.959999999999"/>
    <n v="0"/>
    <n v="24868.959999999999"/>
    <m/>
    <n v="11"/>
    <n v="0"/>
    <s v="Pending"/>
    <n v="2.5000000000000001E-2"/>
    <n v="0"/>
  </r>
  <r>
    <s v="VND-009"/>
    <s v="Consulting Masters"/>
    <x v="3"/>
    <s v="West"/>
    <s v="INV-0300"/>
    <d v="2025-05-13T00:00:00"/>
    <d v="2025-08-11T00:00:00"/>
    <n v="90"/>
    <n v="74429.78"/>
    <n v="0"/>
    <n v="74429.78"/>
    <m/>
    <n v="19"/>
    <n v="0"/>
    <s v="Pending"/>
    <n v="0"/>
    <n v="0"/>
  </r>
  <r>
    <s v="VND-009"/>
    <s v="Consulting Masters"/>
    <x v="3"/>
    <s v="West"/>
    <s v="INV-0301"/>
    <d v="2024-12-19T00:00:00"/>
    <d v="2025-02-02T00:00:00"/>
    <n v="45"/>
    <n v="51228.77"/>
    <n v="51228.77"/>
    <n v="0"/>
    <d v="2025-02-07T00:00:00"/>
    <n v="164"/>
    <n v="119"/>
    <s v="Paid"/>
    <n v="0"/>
    <n v="0"/>
  </r>
  <r>
    <s v="VND-009"/>
    <s v="Consulting Masters"/>
    <x v="3"/>
    <s v="West"/>
    <s v="INV-0302"/>
    <d v="2025-02-21T00:00:00"/>
    <d v="2025-04-07T00:00:00"/>
    <n v="45"/>
    <n v="23594.240000000002"/>
    <n v="23594.240000000002"/>
    <n v="0"/>
    <d v="2025-03-01T00:00:00"/>
    <n v="100"/>
    <n v="55"/>
    <s v="Paid"/>
    <n v="0.02"/>
    <n v="471.88"/>
  </r>
  <r>
    <s v="VND-009"/>
    <s v="Consulting Masters"/>
    <x v="3"/>
    <s v="West"/>
    <s v="INV-0303"/>
    <d v="2024-12-10T00:00:00"/>
    <d v="2025-02-08T00:00:00"/>
    <n v="60"/>
    <n v="56814.47"/>
    <n v="0"/>
    <n v="56814.47"/>
    <m/>
    <n v="173"/>
    <n v="113"/>
    <s v="Overdue"/>
    <n v="0.01"/>
    <n v="0"/>
  </r>
  <r>
    <s v="VND-009"/>
    <s v="Consulting Masters"/>
    <x v="3"/>
    <s v="West"/>
    <s v="INV-0304"/>
    <d v="2025-04-07T00:00:00"/>
    <d v="2025-05-22T00:00:00"/>
    <n v="45"/>
    <n v="39289.72"/>
    <n v="39289.72"/>
    <n v="0"/>
    <d v="2025-04-16T00:00:00"/>
    <n v="55"/>
    <n v="10"/>
    <s v="Paid"/>
    <n v="0"/>
    <n v="0"/>
  </r>
  <r>
    <s v="VND-009"/>
    <s v="Consulting Masters"/>
    <x v="3"/>
    <s v="West"/>
    <s v="INV-0305"/>
    <d v="2025-02-10T00:00:00"/>
    <d v="2025-03-27T00:00:00"/>
    <n v="45"/>
    <n v="56792.76"/>
    <n v="56792.76"/>
    <n v="0"/>
    <d v="2025-03-25T00:00:00"/>
    <n v="111"/>
    <n v="66"/>
    <s v="Paid"/>
    <n v="0"/>
    <n v="0"/>
  </r>
  <r>
    <s v="VND-009"/>
    <s v="Consulting Masters"/>
    <x v="3"/>
    <s v="West"/>
    <s v="INV-0306"/>
    <d v="2025-04-13T00:00:00"/>
    <d v="2025-07-12T00:00:00"/>
    <n v="90"/>
    <n v="30756.11"/>
    <n v="0"/>
    <n v="30756.11"/>
    <m/>
    <n v="49"/>
    <n v="0"/>
    <s v="Pending"/>
    <n v="2.5000000000000001E-2"/>
    <n v="0"/>
  </r>
  <r>
    <s v="VND-009"/>
    <s v="Consulting Masters"/>
    <x v="3"/>
    <s v="West"/>
    <s v="INV-0307"/>
    <d v="2025-04-23T00:00:00"/>
    <d v="2025-06-07T00:00:00"/>
    <n v="45"/>
    <n v="35327.97"/>
    <n v="0"/>
    <n v="35327.97"/>
    <m/>
    <n v="39"/>
    <n v="0"/>
    <s v="Pending"/>
    <n v="2.5000000000000001E-2"/>
    <n v="0"/>
  </r>
  <r>
    <s v="VND-009"/>
    <s v="Consulting Masters"/>
    <x v="3"/>
    <s v="West"/>
    <s v="INV-0308"/>
    <d v="2024-12-03T00:00:00"/>
    <d v="2024-12-18T00:00:00"/>
    <n v="15"/>
    <n v="20253.71"/>
    <n v="20253.71"/>
    <n v="0"/>
    <d v="2024-12-22T00:00:00"/>
    <n v="180"/>
    <n v="165"/>
    <s v="Paid"/>
    <n v="2.5000000000000001E-2"/>
    <n v="0"/>
  </r>
  <r>
    <s v="VND-009"/>
    <s v="Consulting Masters"/>
    <x v="3"/>
    <s v="West"/>
    <s v="INV-0309"/>
    <d v="2025-03-14T00:00:00"/>
    <d v="2025-04-13T00:00:00"/>
    <n v="30"/>
    <n v="59868.2"/>
    <n v="0"/>
    <n v="59868.2"/>
    <m/>
    <n v="79"/>
    <n v="49"/>
    <s v="Overdue"/>
    <n v="0.01"/>
    <n v="0"/>
  </r>
  <r>
    <s v="VND-009"/>
    <s v="Consulting Masters"/>
    <x v="3"/>
    <s v="West"/>
    <s v="INV-0310"/>
    <d v="2024-12-24T00:00:00"/>
    <d v="2025-03-24T00:00:00"/>
    <n v="90"/>
    <n v="38858.160000000003"/>
    <n v="38858.160000000003"/>
    <n v="0"/>
    <d v="2025-03-01T00:00:00"/>
    <n v="159"/>
    <n v="69"/>
    <s v="Paid"/>
    <n v="2.5000000000000001E-2"/>
    <n v="971.45"/>
  </r>
  <r>
    <s v="VND-009"/>
    <s v="Consulting Masters"/>
    <x v="3"/>
    <s v="West"/>
    <s v="INV-0311"/>
    <d v="2025-03-10T00:00:00"/>
    <d v="2025-04-09T00:00:00"/>
    <n v="30"/>
    <n v="56497.23"/>
    <n v="56497.23"/>
    <n v="0"/>
    <d v="2025-03-15T00:00:00"/>
    <n v="83"/>
    <n v="53"/>
    <s v="Paid"/>
    <n v="0"/>
    <n v="0"/>
  </r>
  <r>
    <s v="VND-009"/>
    <s v="Consulting Masters"/>
    <x v="3"/>
    <s v="West"/>
    <s v="INV-0312"/>
    <d v="2025-05-19T00:00:00"/>
    <d v="2025-08-17T00:00:00"/>
    <n v="90"/>
    <n v="26131.84"/>
    <n v="0"/>
    <n v="26131.84"/>
    <m/>
    <n v="13"/>
    <n v="0"/>
    <s v="Pending"/>
    <n v="0.02"/>
    <n v="0"/>
  </r>
  <r>
    <s v="VND-009"/>
    <s v="Consulting Masters"/>
    <x v="3"/>
    <s v="West"/>
    <s v="INV-0313"/>
    <d v="2025-04-05T00:00:00"/>
    <d v="2025-05-20T00:00:00"/>
    <n v="45"/>
    <n v="33241.82"/>
    <n v="33241.82"/>
    <n v="0"/>
    <d v="2025-05-16T00:00:00"/>
    <n v="57"/>
    <n v="12"/>
    <s v="Paid"/>
    <n v="2.5000000000000001E-2"/>
    <n v="0"/>
  </r>
  <r>
    <s v="VND-009"/>
    <s v="Consulting Masters"/>
    <x v="3"/>
    <s v="West"/>
    <s v="INV-0314"/>
    <d v="2025-04-11T00:00:00"/>
    <d v="2025-06-10T00:00:00"/>
    <n v="60"/>
    <n v="8444.86"/>
    <n v="0"/>
    <n v="8444.86"/>
    <m/>
    <n v="51"/>
    <n v="0"/>
    <s v="Pending"/>
    <n v="0.01"/>
    <n v="0"/>
  </r>
  <r>
    <s v="VND-009"/>
    <s v="Consulting Masters"/>
    <x v="3"/>
    <s v="West"/>
    <s v="INV-0315"/>
    <d v="2025-03-26T00:00:00"/>
    <d v="2025-05-25T00:00:00"/>
    <n v="60"/>
    <n v="29841.59"/>
    <n v="29841.59"/>
    <n v="0"/>
    <d v="2025-06-02T00:00:00"/>
    <n v="67"/>
    <n v="7"/>
    <s v="Paid"/>
    <n v="2.5000000000000001E-2"/>
    <n v="0"/>
  </r>
  <r>
    <s v="VND-009"/>
    <s v="Consulting Masters"/>
    <x v="3"/>
    <s v="West"/>
    <s v="INV-0316"/>
    <d v="2025-04-19T00:00:00"/>
    <d v="2025-05-19T00:00:00"/>
    <n v="30"/>
    <n v="63490.96"/>
    <n v="41075.919999999998"/>
    <n v="22415.040000000001"/>
    <d v="2025-05-06T00:00:00"/>
    <n v="43"/>
    <n v="13"/>
    <s v="Partial"/>
    <n v="0.02"/>
    <n v="0"/>
  </r>
  <r>
    <s v="VND-009"/>
    <s v="Consulting Masters"/>
    <x v="3"/>
    <s v="West"/>
    <s v="INV-0317"/>
    <d v="2025-05-03T00:00:00"/>
    <d v="2025-08-01T00:00:00"/>
    <n v="90"/>
    <n v="20056.62"/>
    <n v="0"/>
    <n v="20056.62"/>
    <m/>
    <n v="29"/>
    <n v="0"/>
    <s v="Pending"/>
    <n v="0.02"/>
    <n v="0"/>
  </r>
  <r>
    <s v="VND-009"/>
    <s v="Consulting Masters"/>
    <x v="3"/>
    <s v="West"/>
    <s v="INV-0318"/>
    <d v="2025-05-22T00:00:00"/>
    <d v="2025-08-20T00:00:00"/>
    <n v="90"/>
    <n v="65875.19"/>
    <n v="0"/>
    <n v="65875.19"/>
    <m/>
    <n v="10"/>
    <n v="0"/>
    <s v="Pending"/>
    <n v="0.01"/>
    <n v="0"/>
  </r>
  <r>
    <s v="VND-009"/>
    <s v="Consulting Masters"/>
    <x v="3"/>
    <s v="West"/>
    <s v="INV-0319"/>
    <d v="2025-05-06T00:00:00"/>
    <d v="2025-07-05T00:00:00"/>
    <n v="60"/>
    <n v="68017.72"/>
    <n v="0"/>
    <n v="68017.72"/>
    <m/>
    <n v="26"/>
    <n v="0"/>
    <s v="Pending"/>
    <n v="2.5000000000000001E-2"/>
    <n v="0"/>
  </r>
  <r>
    <s v="VND-009"/>
    <s v="Consulting Masters"/>
    <x v="3"/>
    <s v="West"/>
    <s v="INV-0320"/>
    <d v="2025-03-30T00:00:00"/>
    <d v="2025-06-28T00:00:00"/>
    <n v="90"/>
    <n v="65516.5"/>
    <n v="0"/>
    <n v="65516.5"/>
    <m/>
    <n v="63"/>
    <n v="0"/>
    <s v="Pending"/>
    <n v="0"/>
    <n v="0"/>
  </r>
  <r>
    <s v="VND-009"/>
    <s v="Consulting Masters"/>
    <x v="3"/>
    <s v="West"/>
    <s v="INV-0321"/>
    <d v="2025-04-05T00:00:00"/>
    <d v="2025-07-04T00:00:00"/>
    <n v="90"/>
    <n v="30387.599999999999"/>
    <n v="0"/>
    <n v="30387.599999999999"/>
    <m/>
    <n v="57"/>
    <n v="0"/>
    <s v="Pending"/>
    <n v="2.5000000000000001E-2"/>
    <n v="0"/>
  </r>
  <r>
    <s v="VND-010"/>
    <s v="AquaServ"/>
    <x v="4"/>
    <s v="East"/>
    <s v="INV-0322"/>
    <d v="2025-03-06T00:00:00"/>
    <d v="2025-03-21T00:00:00"/>
    <n v="15"/>
    <n v="59872.639999999999"/>
    <n v="59872.639999999999"/>
    <n v="0"/>
    <d v="2025-03-19T00:00:00"/>
    <n v="87"/>
    <n v="72"/>
    <s v="Paid"/>
    <n v="2.5000000000000001E-2"/>
    <n v="0"/>
  </r>
  <r>
    <s v="VND-010"/>
    <s v="AquaServ"/>
    <x v="4"/>
    <s v="East"/>
    <s v="INV-0323"/>
    <d v="2025-03-25T00:00:00"/>
    <d v="2025-05-24T00:00:00"/>
    <n v="60"/>
    <n v="34116.39"/>
    <n v="34116.39"/>
    <n v="0"/>
    <d v="2025-04-28T00:00:00"/>
    <n v="68"/>
    <n v="8"/>
    <s v="Paid"/>
    <n v="0"/>
    <n v="0"/>
  </r>
  <r>
    <s v="VND-010"/>
    <s v="AquaServ"/>
    <x v="4"/>
    <s v="East"/>
    <s v="INV-0324"/>
    <d v="2025-05-10T00:00:00"/>
    <d v="2025-06-09T00:00:00"/>
    <n v="30"/>
    <n v="6817.94"/>
    <n v="0"/>
    <n v="6817.94"/>
    <m/>
    <n v="22"/>
    <n v="0"/>
    <s v="Pending"/>
    <n v="0.01"/>
    <n v="0"/>
  </r>
  <r>
    <s v="VND-010"/>
    <s v="AquaServ"/>
    <x v="4"/>
    <s v="East"/>
    <s v="INV-0325"/>
    <d v="2025-03-07T00:00:00"/>
    <d v="2025-06-05T00:00:00"/>
    <n v="90"/>
    <n v="77335.539999999994"/>
    <n v="0"/>
    <n v="77335.539999999994"/>
    <m/>
    <n v="86"/>
    <n v="0"/>
    <s v="Pending"/>
    <n v="0.02"/>
    <n v="0"/>
  </r>
  <r>
    <s v="VND-010"/>
    <s v="AquaServ"/>
    <x v="4"/>
    <s v="East"/>
    <s v="INV-0326"/>
    <d v="2025-05-12T00:00:00"/>
    <d v="2025-06-26T00:00:00"/>
    <n v="45"/>
    <n v="7028.26"/>
    <n v="0"/>
    <n v="7028.26"/>
    <m/>
    <n v="20"/>
    <n v="0"/>
    <s v="Pending"/>
    <n v="0.01"/>
    <n v="0"/>
  </r>
  <r>
    <s v="VND-010"/>
    <s v="AquaServ"/>
    <x v="4"/>
    <s v="East"/>
    <s v="INV-0327"/>
    <d v="2025-05-17T00:00:00"/>
    <d v="2025-07-01T00:00:00"/>
    <n v="45"/>
    <n v="38955.64"/>
    <n v="0"/>
    <n v="38955.64"/>
    <m/>
    <n v="15"/>
    <n v="0"/>
    <s v="Pending"/>
    <n v="2.5000000000000001E-2"/>
    <n v="0"/>
  </r>
  <r>
    <s v="VND-010"/>
    <s v="AquaServ"/>
    <x v="4"/>
    <s v="East"/>
    <s v="INV-0328"/>
    <d v="2024-12-11T00:00:00"/>
    <d v="2025-02-09T00:00:00"/>
    <n v="60"/>
    <n v="69228.740000000005"/>
    <n v="69228.740000000005"/>
    <n v="0"/>
    <d v="2025-01-21T00:00:00"/>
    <n v="172"/>
    <n v="112"/>
    <s v="Paid"/>
    <n v="0.01"/>
    <n v="692.29"/>
  </r>
  <r>
    <s v="VND-010"/>
    <s v="AquaServ"/>
    <x v="4"/>
    <s v="East"/>
    <s v="INV-0329"/>
    <d v="2024-12-09T00:00:00"/>
    <d v="2025-01-23T00:00:00"/>
    <n v="45"/>
    <n v="61434.61"/>
    <n v="61434.61"/>
    <n v="0"/>
    <d v="2025-01-30T00:00:00"/>
    <n v="174"/>
    <n v="129"/>
    <s v="Paid"/>
    <n v="0"/>
    <n v="0"/>
  </r>
  <r>
    <s v="VND-010"/>
    <s v="AquaServ"/>
    <x v="4"/>
    <s v="East"/>
    <s v="INV-0330"/>
    <d v="2025-02-03T00:00:00"/>
    <d v="2025-04-04T00:00:00"/>
    <n v="60"/>
    <n v="69678.86"/>
    <n v="69678.86"/>
    <n v="0"/>
    <d v="2025-03-21T00:00:00"/>
    <n v="118"/>
    <n v="58"/>
    <s v="Paid"/>
    <n v="0.02"/>
    <n v="1393.58"/>
  </r>
  <r>
    <s v="VND-010"/>
    <s v="AquaServ"/>
    <x v="4"/>
    <s v="East"/>
    <s v="INV-0331"/>
    <d v="2025-02-18T00:00:00"/>
    <d v="2025-04-19T00:00:00"/>
    <n v="60"/>
    <n v="2987.29"/>
    <n v="2987.29"/>
    <n v="0"/>
    <d v="2025-05-14T00:00:00"/>
    <n v="103"/>
    <n v="43"/>
    <s v="Paid"/>
    <n v="0.02"/>
    <n v="0"/>
  </r>
  <r>
    <s v="VND-010"/>
    <s v="AquaServ"/>
    <x v="4"/>
    <s v="East"/>
    <s v="INV-0332"/>
    <d v="2025-02-07T00:00:00"/>
    <d v="2025-04-08T00:00:00"/>
    <n v="60"/>
    <n v="17575.03"/>
    <n v="17575.03"/>
    <n v="0"/>
    <d v="2025-02-18T00:00:00"/>
    <n v="114"/>
    <n v="54"/>
    <s v="Paid"/>
    <n v="2.5000000000000001E-2"/>
    <n v="439.38"/>
  </r>
  <r>
    <s v="VND-010"/>
    <s v="AquaServ"/>
    <x v="4"/>
    <s v="East"/>
    <s v="INV-0333"/>
    <d v="2025-03-09T00:00:00"/>
    <d v="2025-04-23T00:00:00"/>
    <n v="45"/>
    <n v="49959.54"/>
    <n v="49959.54"/>
    <n v="0"/>
    <d v="2025-03-21T00:00:00"/>
    <n v="84"/>
    <n v="39"/>
    <s v="Paid"/>
    <n v="2.5000000000000001E-2"/>
    <n v="1248.99"/>
  </r>
  <r>
    <s v="VND-010"/>
    <s v="AquaServ"/>
    <x v="4"/>
    <s v="East"/>
    <s v="INV-0334"/>
    <d v="2025-02-11T00:00:00"/>
    <d v="2025-04-12T00:00:00"/>
    <n v="60"/>
    <n v="6038.53"/>
    <n v="0"/>
    <n v="6038.53"/>
    <m/>
    <n v="110"/>
    <n v="50"/>
    <s v="Overdue"/>
    <n v="2.5000000000000001E-2"/>
    <n v="0"/>
  </r>
  <r>
    <s v="VND-010"/>
    <s v="AquaServ"/>
    <x v="4"/>
    <s v="East"/>
    <s v="INV-0335"/>
    <d v="2025-02-04T00:00:00"/>
    <d v="2025-03-06T00:00:00"/>
    <n v="30"/>
    <n v="43529"/>
    <n v="43529"/>
    <n v="0"/>
    <d v="2025-02-09T00:00:00"/>
    <n v="117"/>
    <n v="87"/>
    <s v="Paid"/>
    <n v="0.02"/>
    <n v="870.58"/>
  </r>
  <r>
    <s v="VND-010"/>
    <s v="AquaServ"/>
    <x v="4"/>
    <s v="East"/>
    <s v="INV-0336"/>
    <d v="2025-05-18T00:00:00"/>
    <d v="2025-06-17T00:00:00"/>
    <n v="30"/>
    <n v="3652.05"/>
    <n v="0"/>
    <n v="3652.05"/>
    <m/>
    <n v="14"/>
    <n v="0"/>
    <s v="Pending"/>
    <n v="0.02"/>
    <n v="0"/>
  </r>
  <r>
    <s v="VND-010"/>
    <s v="AquaServ"/>
    <x v="4"/>
    <s v="East"/>
    <s v="INV-0337"/>
    <d v="2025-03-27T00:00:00"/>
    <d v="2025-05-26T00:00:00"/>
    <n v="60"/>
    <n v="9721.98"/>
    <n v="9721.98"/>
    <n v="0"/>
    <d v="2025-04-12T00:00:00"/>
    <n v="66"/>
    <n v="6"/>
    <s v="Paid"/>
    <n v="0.02"/>
    <n v="194.44"/>
  </r>
  <r>
    <s v="VND-010"/>
    <s v="AquaServ"/>
    <x v="4"/>
    <s v="East"/>
    <s v="INV-0338"/>
    <d v="2025-05-10T00:00:00"/>
    <d v="2025-05-25T00:00:00"/>
    <n v="15"/>
    <n v="67298.14"/>
    <n v="67298.14"/>
    <n v="0"/>
    <d v="2025-06-03T00:00:00"/>
    <n v="22"/>
    <n v="7"/>
    <s v="Paid"/>
    <n v="0.01"/>
    <n v="0"/>
  </r>
  <r>
    <s v="VND-010"/>
    <s v="AquaServ"/>
    <x v="4"/>
    <s v="East"/>
    <s v="INV-0339"/>
    <d v="2024-12-19T00:00:00"/>
    <d v="2025-02-02T00:00:00"/>
    <n v="45"/>
    <n v="36912.92"/>
    <n v="0"/>
    <n v="36912.92"/>
    <m/>
    <n v="164"/>
    <n v="119"/>
    <s v="Overdue"/>
    <n v="2.5000000000000001E-2"/>
    <n v="0"/>
  </r>
  <r>
    <s v="VND-010"/>
    <s v="AquaServ"/>
    <x v="4"/>
    <s v="East"/>
    <s v="INV-0340"/>
    <d v="2025-03-12T00:00:00"/>
    <d v="2025-04-11T00:00:00"/>
    <n v="30"/>
    <n v="32226.34"/>
    <n v="32226.34"/>
    <n v="0"/>
    <d v="2025-05-04T00:00:00"/>
    <n v="81"/>
    <n v="51"/>
    <s v="Paid"/>
    <n v="0"/>
    <n v="0"/>
  </r>
  <r>
    <s v="VND-010"/>
    <s v="AquaServ"/>
    <x v="4"/>
    <s v="East"/>
    <s v="INV-0341"/>
    <d v="2024-12-09T00:00:00"/>
    <d v="2024-12-24T00:00:00"/>
    <n v="15"/>
    <n v="68512.37"/>
    <n v="68512.37"/>
    <n v="0"/>
    <d v="2024-12-16T00:00:00"/>
    <n v="174"/>
    <n v="159"/>
    <s v="Paid"/>
    <n v="2.5000000000000001E-2"/>
    <n v="1712.81"/>
  </r>
  <r>
    <s v="VND-010"/>
    <s v="AquaServ"/>
    <x v="4"/>
    <s v="East"/>
    <s v="INV-0342"/>
    <d v="2025-05-14T00:00:00"/>
    <d v="2025-07-13T00:00:00"/>
    <n v="60"/>
    <n v="1685.41"/>
    <n v="0"/>
    <n v="1685.41"/>
    <m/>
    <n v="18"/>
    <n v="0"/>
    <s v="Pending"/>
    <n v="0.01"/>
    <n v="0"/>
  </r>
  <r>
    <s v="VND-010"/>
    <s v="AquaServ"/>
    <x v="4"/>
    <s v="East"/>
    <s v="INV-0343"/>
    <d v="2025-03-17T00:00:00"/>
    <d v="2025-06-15T00:00:00"/>
    <n v="90"/>
    <n v="8375.85"/>
    <n v="0"/>
    <n v="8375.85"/>
    <m/>
    <n v="76"/>
    <n v="0"/>
    <s v="Pending"/>
    <n v="0"/>
    <n v="0"/>
  </r>
  <r>
    <s v="VND-010"/>
    <s v="AquaServ"/>
    <x v="4"/>
    <s v="East"/>
    <s v="INV-0344"/>
    <d v="2025-03-08T00:00:00"/>
    <d v="2025-06-06T00:00:00"/>
    <n v="90"/>
    <n v="79380.179999999993"/>
    <n v="0"/>
    <n v="79380.179999999993"/>
    <m/>
    <n v="85"/>
    <n v="0"/>
    <s v="Pending"/>
    <n v="0.01"/>
    <n v="0"/>
  </r>
  <r>
    <s v="VND-010"/>
    <s v="AquaServ"/>
    <x v="4"/>
    <s v="East"/>
    <s v="INV-0345"/>
    <d v="2025-04-13T00:00:00"/>
    <d v="2025-07-12T00:00:00"/>
    <n v="90"/>
    <n v="8591.83"/>
    <n v="0"/>
    <n v="8591.83"/>
    <m/>
    <n v="49"/>
    <n v="0"/>
    <s v="Pending"/>
    <n v="2.5000000000000001E-2"/>
    <n v="0"/>
  </r>
  <r>
    <s v="VND-010"/>
    <s v="AquaServ"/>
    <x v="4"/>
    <s v="East"/>
    <s v="INV-0346"/>
    <d v="2025-05-20T00:00:00"/>
    <d v="2025-06-19T00:00:00"/>
    <n v="30"/>
    <n v="64602.38"/>
    <n v="0"/>
    <n v="64602.38"/>
    <m/>
    <n v="12"/>
    <n v="0"/>
    <s v="Pending"/>
    <n v="0"/>
    <n v="0"/>
  </r>
  <r>
    <s v="VND-011"/>
    <s v="SteelBuild Co"/>
    <x v="0"/>
    <s v="South"/>
    <s v="INV-0347"/>
    <d v="2025-05-06T00:00:00"/>
    <d v="2025-06-20T00:00:00"/>
    <n v="45"/>
    <n v="66420.59"/>
    <n v="0"/>
    <n v="66420.59"/>
    <m/>
    <n v="26"/>
    <n v="0"/>
    <s v="Pending"/>
    <n v="0"/>
    <n v="0"/>
  </r>
  <r>
    <s v="VND-011"/>
    <s v="SteelBuild Co"/>
    <x v="0"/>
    <s v="South"/>
    <s v="INV-0348"/>
    <d v="2025-05-04T00:00:00"/>
    <d v="2025-07-03T00:00:00"/>
    <n v="60"/>
    <n v="3291.62"/>
    <n v="0"/>
    <n v="3291.62"/>
    <m/>
    <n v="28"/>
    <n v="0"/>
    <s v="Pending"/>
    <n v="0"/>
    <n v="0"/>
  </r>
  <r>
    <s v="VND-011"/>
    <s v="SteelBuild Co"/>
    <x v="0"/>
    <s v="South"/>
    <s v="INV-0349"/>
    <d v="2025-02-17T00:00:00"/>
    <d v="2025-03-04T00:00:00"/>
    <n v="15"/>
    <n v="38911.89"/>
    <n v="38911.89"/>
    <n v="0"/>
    <d v="2025-02-18T00:00:00"/>
    <n v="104"/>
    <n v="89"/>
    <s v="Paid"/>
    <n v="0.02"/>
    <n v="778.24"/>
  </r>
  <r>
    <s v="VND-011"/>
    <s v="SteelBuild Co"/>
    <x v="0"/>
    <s v="South"/>
    <s v="INV-0350"/>
    <d v="2025-01-29T00:00:00"/>
    <d v="2025-02-13T00:00:00"/>
    <n v="15"/>
    <n v="65630.31"/>
    <n v="65630.31"/>
    <n v="0"/>
    <d v="2025-03-12T00:00:00"/>
    <n v="123"/>
    <n v="108"/>
    <s v="Paid"/>
    <n v="2.5000000000000001E-2"/>
    <n v="0"/>
  </r>
  <r>
    <s v="VND-011"/>
    <s v="SteelBuild Co"/>
    <x v="0"/>
    <s v="South"/>
    <s v="INV-0351"/>
    <d v="2024-12-06T00:00:00"/>
    <d v="2025-01-05T00:00:00"/>
    <n v="30"/>
    <n v="67352.88"/>
    <n v="67352.88"/>
    <n v="0"/>
    <d v="2025-01-03T00:00:00"/>
    <n v="177"/>
    <n v="147"/>
    <s v="Paid"/>
    <n v="0.01"/>
    <n v="0"/>
  </r>
  <r>
    <s v="VND-011"/>
    <s v="SteelBuild Co"/>
    <x v="0"/>
    <s v="South"/>
    <s v="INV-0352"/>
    <d v="2025-05-25T00:00:00"/>
    <d v="2025-07-09T00:00:00"/>
    <n v="45"/>
    <n v="42114.2"/>
    <n v="0"/>
    <n v="42114.2"/>
    <m/>
    <n v="7"/>
    <n v="0"/>
    <s v="Pending"/>
    <n v="0.01"/>
    <n v="0"/>
  </r>
  <r>
    <s v="VND-011"/>
    <s v="SteelBuild Co"/>
    <x v="0"/>
    <s v="South"/>
    <s v="INV-0353"/>
    <d v="2024-12-16T00:00:00"/>
    <d v="2025-02-14T00:00:00"/>
    <n v="60"/>
    <n v="77399.399999999994"/>
    <n v="57581.87"/>
    <n v="19817.53"/>
    <d v="2025-05-31T00:00:00"/>
    <n v="167"/>
    <n v="107"/>
    <s v="Partial"/>
    <n v="2.5000000000000001E-2"/>
    <n v="0"/>
  </r>
  <r>
    <s v="VND-011"/>
    <s v="SteelBuild Co"/>
    <x v="0"/>
    <s v="South"/>
    <s v="INV-0354"/>
    <d v="2024-12-14T00:00:00"/>
    <d v="2024-12-29T00:00:00"/>
    <n v="15"/>
    <n v="45865.279999999999"/>
    <n v="0"/>
    <n v="45865.279999999999"/>
    <m/>
    <n v="169"/>
    <n v="154"/>
    <s v="Overdue"/>
    <n v="0.02"/>
    <n v="0"/>
  </r>
  <r>
    <s v="VND-011"/>
    <s v="SteelBuild Co"/>
    <x v="0"/>
    <s v="South"/>
    <s v="INV-0355"/>
    <d v="2025-04-07T00:00:00"/>
    <d v="2025-05-22T00:00:00"/>
    <n v="45"/>
    <n v="33793.81"/>
    <n v="33793.81"/>
    <n v="0"/>
    <d v="2025-05-09T00:00:00"/>
    <n v="55"/>
    <n v="10"/>
    <s v="Paid"/>
    <n v="0.01"/>
    <n v="337.94"/>
  </r>
  <r>
    <s v="VND-011"/>
    <s v="SteelBuild Co"/>
    <x v="0"/>
    <s v="South"/>
    <s v="INV-0356"/>
    <d v="2025-02-22T00:00:00"/>
    <d v="2025-03-09T00:00:00"/>
    <n v="15"/>
    <n v="27425.95"/>
    <n v="27425.95"/>
    <n v="0"/>
    <d v="2025-03-21T00:00:00"/>
    <n v="99"/>
    <n v="84"/>
    <s v="Paid"/>
    <n v="0.01"/>
    <n v="0"/>
  </r>
  <r>
    <s v="VND-011"/>
    <s v="SteelBuild Co"/>
    <x v="0"/>
    <s v="South"/>
    <s v="INV-0357"/>
    <d v="2024-12-09T00:00:00"/>
    <d v="2025-03-09T00:00:00"/>
    <n v="90"/>
    <n v="29988.01"/>
    <n v="0"/>
    <n v="29988.01"/>
    <m/>
    <n v="174"/>
    <n v="84"/>
    <s v="Overdue"/>
    <n v="0.02"/>
    <n v="0"/>
  </r>
  <r>
    <s v="VND-011"/>
    <s v="SteelBuild Co"/>
    <x v="0"/>
    <s v="South"/>
    <s v="INV-0358"/>
    <d v="2024-12-26T00:00:00"/>
    <d v="2025-01-10T00:00:00"/>
    <n v="15"/>
    <n v="13367.9"/>
    <n v="0"/>
    <n v="13367.9"/>
    <m/>
    <n v="157"/>
    <n v="142"/>
    <s v="Overdue"/>
    <n v="0"/>
    <n v="0"/>
  </r>
  <r>
    <s v="VND-011"/>
    <s v="SteelBuild Co"/>
    <x v="0"/>
    <s v="South"/>
    <s v="INV-0359"/>
    <d v="2024-12-27T00:00:00"/>
    <d v="2025-02-10T00:00:00"/>
    <n v="45"/>
    <n v="19553.96"/>
    <n v="0"/>
    <n v="19553.96"/>
    <m/>
    <n v="156"/>
    <n v="111"/>
    <s v="Overdue"/>
    <n v="0"/>
    <n v="0"/>
  </r>
  <r>
    <s v="VND-011"/>
    <s v="SteelBuild Co"/>
    <x v="0"/>
    <s v="South"/>
    <s v="INV-0360"/>
    <d v="2025-02-15T00:00:00"/>
    <d v="2025-04-16T00:00:00"/>
    <n v="60"/>
    <n v="23792.79"/>
    <n v="23792.79"/>
    <n v="0"/>
    <d v="2025-04-10T00:00:00"/>
    <n v="106"/>
    <n v="46"/>
    <s v="Paid"/>
    <n v="0.02"/>
    <n v="475.86"/>
  </r>
  <r>
    <s v="VND-011"/>
    <s v="SteelBuild Co"/>
    <x v="0"/>
    <s v="South"/>
    <s v="INV-0361"/>
    <d v="2025-03-22T00:00:00"/>
    <d v="2025-05-21T00:00:00"/>
    <n v="60"/>
    <n v="79167.02"/>
    <n v="0"/>
    <n v="79167.02"/>
    <m/>
    <n v="71"/>
    <n v="11"/>
    <s v="Overdue"/>
    <n v="0.02"/>
    <n v="0"/>
  </r>
  <r>
    <s v="VND-011"/>
    <s v="SteelBuild Co"/>
    <x v="0"/>
    <s v="South"/>
    <s v="INV-0362"/>
    <d v="2025-03-23T00:00:00"/>
    <d v="2025-06-21T00:00:00"/>
    <n v="90"/>
    <n v="17875.62"/>
    <n v="0"/>
    <n v="17875.62"/>
    <m/>
    <n v="70"/>
    <n v="0"/>
    <s v="Pending"/>
    <n v="0.01"/>
    <n v="0"/>
  </r>
  <r>
    <s v="VND-011"/>
    <s v="SteelBuild Co"/>
    <x v="0"/>
    <s v="South"/>
    <s v="INV-0363"/>
    <d v="2024-12-22T00:00:00"/>
    <d v="2025-02-20T00:00:00"/>
    <n v="60"/>
    <n v="4820.4799999999996"/>
    <n v="3745.11"/>
    <n v="1075.3699999999999"/>
    <d v="2024-12-25T00:00:00"/>
    <n v="161"/>
    <n v="101"/>
    <s v="Partial"/>
    <n v="0.02"/>
    <n v="0"/>
  </r>
  <r>
    <s v="VND-011"/>
    <s v="SteelBuild Co"/>
    <x v="0"/>
    <s v="South"/>
    <s v="INV-0364"/>
    <d v="2025-04-25T00:00:00"/>
    <d v="2025-06-24T00:00:00"/>
    <n v="60"/>
    <n v="19223.61"/>
    <n v="0"/>
    <n v="19223.61"/>
    <m/>
    <n v="37"/>
    <n v="0"/>
    <s v="Pending"/>
    <n v="0.01"/>
    <n v="0"/>
  </r>
  <r>
    <s v="VND-011"/>
    <s v="SteelBuild Co"/>
    <x v="0"/>
    <s v="South"/>
    <s v="INV-0365"/>
    <d v="2025-01-17T00:00:00"/>
    <d v="2025-03-03T00:00:00"/>
    <n v="45"/>
    <n v="30005.66"/>
    <n v="30005.66"/>
    <n v="0"/>
    <d v="2025-04-02T00:00:00"/>
    <n v="135"/>
    <n v="90"/>
    <s v="Paid"/>
    <n v="2.5000000000000001E-2"/>
    <n v="0"/>
  </r>
  <r>
    <s v="VND-011"/>
    <s v="SteelBuild Co"/>
    <x v="0"/>
    <s v="South"/>
    <s v="INV-0366"/>
    <d v="2025-03-23T00:00:00"/>
    <d v="2025-05-07T00:00:00"/>
    <n v="45"/>
    <n v="75963.13"/>
    <n v="75963.13"/>
    <n v="0"/>
    <d v="2025-06-03T00:00:00"/>
    <n v="70"/>
    <n v="25"/>
    <s v="Paid"/>
    <n v="0.01"/>
    <n v="0"/>
  </r>
  <r>
    <s v="VND-011"/>
    <s v="SteelBuild Co"/>
    <x v="0"/>
    <s v="South"/>
    <s v="INV-0367"/>
    <d v="2025-01-10T00:00:00"/>
    <d v="2025-03-11T00:00:00"/>
    <n v="60"/>
    <n v="44271.25"/>
    <n v="8056.16"/>
    <n v="36215.089999999997"/>
    <d v="2025-02-24T00:00:00"/>
    <n v="142"/>
    <n v="82"/>
    <s v="Partial"/>
    <n v="0.01"/>
    <n v="0"/>
  </r>
  <r>
    <s v="VND-011"/>
    <s v="SteelBuild Co"/>
    <x v="0"/>
    <s v="South"/>
    <s v="INV-0368"/>
    <d v="2025-01-05T00:00:00"/>
    <d v="2025-03-06T00:00:00"/>
    <n v="60"/>
    <n v="24453.03"/>
    <n v="18895.38"/>
    <n v="5557.65"/>
    <d v="2025-04-19T00:00:00"/>
    <n v="147"/>
    <n v="87"/>
    <s v="Partial"/>
    <n v="0"/>
    <n v="0"/>
  </r>
  <r>
    <s v="VND-011"/>
    <s v="SteelBuild Co"/>
    <x v="0"/>
    <s v="South"/>
    <s v="INV-0369"/>
    <d v="2024-12-13T00:00:00"/>
    <d v="2025-03-13T00:00:00"/>
    <n v="90"/>
    <n v="57002.9"/>
    <n v="57002.9"/>
    <n v="0"/>
    <d v="2025-02-23T00:00:00"/>
    <n v="170"/>
    <n v="80"/>
    <s v="Paid"/>
    <n v="2.5000000000000001E-2"/>
    <n v="1425.07"/>
  </r>
  <r>
    <s v="VND-011"/>
    <s v="SteelBuild Co"/>
    <x v="0"/>
    <s v="South"/>
    <s v="INV-0370"/>
    <d v="2025-04-13T00:00:00"/>
    <d v="2025-05-28T00:00:00"/>
    <n v="45"/>
    <n v="6520.16"/>
    <n v="6520.16"/>
    <n v="0"/>
    <d v="2025-04-29T00:00:00"/>
    <n v="49"/>
    <n v="4"/>
    <s v="Paid"/>
    <n v="0.01"/>
    <n v="65.2"/>
  </r>
  <r>
    <s v="VND-011"/>
    <s v="SteelBuild Co"/>
    <x v="0"/>
    <s v="South"/>
    <s v="INV-0371"/>
    <d v="2025-02-27T00:00:00"/>
    <d v="2025-03-29T00:00:00"/>
    <n v="30"/>
    <n v="2780.36"/>
    <n v="2780.36"/>
    <n v="0"/>
    <d v="2025-04-12T00:00:00"/>
    <n v="94"/>
    <n v="64"/>
    <s v="Paid"/>
    <n v="0.01"/>
    <n v="0"/>
  </r>
  <r>
    <s v="VND-011"/>
    <s v="SteelBuild Co"/>
    <x v="0"/>
    <s v="South"/>
    <s v="INV-0372"/>
    <d v="2025-03-25T00:00:00"/>
    <d v="2025-06-23T00:00:00"/>
    <n v="90"/>
    <n v="69699.899999999994"/>
    <n v="0"/>
    <n v="69699.899999999994"/>
    <m/>
    <n v="68"/>
    <n v="0"/>
    <s v="Pending"/>
    <n v="0.02"/>
    <n v="0"/>
  </r>
  <r>
    <s v="VND-011"/>
    <s v="SteelBuild Co"/>
    <x v="0"/>
    <s v="South"/>
    <s v="INV-0373"/>
    <d v="2025-02-03T00:00:00"/>
    <d v="2025-05-04T00:00:00"/>
    <n v="90"/>
    <n v="71114.2"/>
    <n v="0"/>
    <n v="71114.2"/>
    <m/>
    <n v="118"/>
    <n v="28"/>
    <s v="Overdue"/>
    <n v="0.01"/>
    <n v="0"/>
  </r>
  <r>
    <s v="VND-011"/>
    <s v="SteelBuild Co"/>
    <x v="0"/>
    <s v="South"/>
    <s v="INV-0374"/>
    <d v="2025-05-09T00:00:00"/>
    <d v="2025-07-08T00:00:00"/>
    <n v="60"/>
    <n v="62901.34"/>
    <n v="0"/>
    <n v="62901.34"/>
    <m/>
    <n v="23"/>
    <n v="0"/>
    <s v="Pending"/>
    <n v="2.5000000000000001E-2"/>
    <n v="0"/>
  </r>
  <r>
    <s v="VND-011"/>
    <s v="SteelBuild Co"/>
    <x v="0"/>
    <s v="South"/>
    <s v="INV-0375"/>
    <d v="2025-04-23T00:00:00"/>
    <d v="2025-05-08T00:00:00"/>
    <n v="15"/>
    <n v="34575.79"/>
    <n v="34575.79"/>
    <n v="0"/>
    <d v="2025-05-03T00:00:00"/>
    <n v="39"/>
    <n v="24"/>
    <s v="Paid"/>
    <n v="0.01"/>
    <n v="345.76"/>
  </r>
  <r>
    <s v="VND-011"/>
    <s v="SteelBuild Co"/>
    <x v="0"/>
    <s v="South"/>
    <s v="INV-0376"/>
    <d v="2025-04-07T00:00:00"/>
    <d v="2025-04-22T00:00:00"/>
    <n v="15"/>
    <n v="24294.81"/>
    <n v="0"/>
    <n v="24294.81"/>
    <m/>
    <n v="55"/>
    <n v="40"/>
    <s v="Overdue"/>
    <n v="2.5000000000000001E-2"/>
    <n v="0"/>
  </r>
  <r>
    <s v="VND-011"/>
    <s v="SteelBuild Co"/>
    <x v="0"/>
    <s v="South"/>
    <s v="INV-0377"/>
    <d v="2025-04-12T00:00:00"/>
    <d v="2025-04-27T00:00:00"/>
    <n v="15"/>
    <n v="40381.949999999997"/>
    <n v="0"/>
    <n v="40381.949999999997"/>
    <m/>
    <n v="50"/>
    <n v="35"/>
    <s v="Overdue"/>
    <n v="0.01"/>
    <n v="0"/>
  </r>
  <r>
    <s v="VND-011"/>
    <s v="SteelBuild Co"/>
    <x v="0"/>
    <s v="South"/>
    <s v="INV-0378"/>
    <d v="2025-04-28T00:00:00"/>
    <d v="2025-06-27T00:00:00"/>
    <n v="60"/>
    <n v="32804.89"/>
    <n v="0"/>
    <n v="32804.89"/>
    <m/>
    <n v="34"/>
    <n v="0"/>
    <s v="Pending"/>
    <n v="0"/>
    <n v="0"/>
  </r>
  <r>
    <s v="VND-011"/>
    <s v="SteelBuild Co"/>
    <x v="0"/>
    <s v="South"/>
    <s v="INV-0379"/>
    <d v="2025-05-05T00:00:00"/>
    <d v="2025-07-04T00:00:00"/>
    <n v="60"/>
    <n v="7077.2"/>
    <n v="0"/>
    <n v="7077.2"/>
    <m/>
    <n v="27"/>
    <n v="0"/>
    <s v="Pending"/>
    <n v="2.5000000000000001E-2"/>
    <n v="0"/>
  </r>
  <r>
    <s v="VND-011"/>
    <s v="SteelBuild Co"/>
    <x v="0"/>
    <s v="South"/>
    <s v="INV-0380"/>
    <d v="2025-03-21T00:00:00"/>
    <d v="2025-06-19T00:00:00"/>
    <n v="90"/>
    <n v="76910.84"/>
    <n v="0"/>
    <n v="76910.84"/>
    <m/>
    <n v="72"/>
    <n v="0"/>
    <s v="Pending"/>
    <n v="0.02"/>
    <n v="0"/>
  </r>
  <r>
    <s v="VND-011"/>
    <s v="SteelBuild Co"/>
    <x v="0"/>
    <s v="South"/>
    <s v="INV-0381"/>
    <d v="2025-01-15T00:00:00"/>
    <d v="2025-04-15T00:00:00"/>
    <n v="90"/>
    <n v="63294.65"/>
    <n v="47998.04"/>
    <n v="15296.61"/>
    <d v="2025-03-08T00:00:00"/>
    <n v="137"/>
    <n v="47"/>
    <s v="Partial"/>
    <n v="2.5000000000000001E-2"/>
    <n v="0"/>
  </r>
  <r>
    <s v="VND-011"/>
    <s v="SteelBuild Co"/>
    <x v="0"/>
    <s v="South"/>
    <s v="INV-0382"/>
    <d v="2025-05-01T00:00:00"/>
    <d v="2025-05-31T00:00:00"/>
    <n v="30"/>
    <n v="37435.5"/>
    <n v="37435.5"/>
    <n v="0"/>
    <d v="2025-05-20T00:00:00"/>
    <n v="31"/>
    <n v="1"/>
    <s v="Paid"/>
    <n v="0"/>
    <n v="0"/>
  </r>
  <r>
    <s v="VND-012"/>
    <s v="DataCenter Pro"/>
    <x v="1"/>
    <s v="East"/>
    <s v="INV-0383"/>
    <d v="2025-03-12T00:00:00"/>
    <d v="2025-05-11T00:00:00"/>
    <n v="60"/>
    <n v="77769.41"/>
    <n v="77769.41"/>
    <n v="0"/>
    <d v="2025-05-07T00:00:00"/>
    <n v="81"/>
    <n v="21"/>
    <s v="Paid"/>
    <n v="0.01"/>
    <n v="0"/>
  </r>
  <r>
    <s v="VND-012"/>
    <s v="DataCenter Pro"/>
    <x v="1"/>
    <s v="East"/>
    <s v="INV-0384"/>
    <d v="2025-01-12T00:00:00"/>
    <d v="2025-03-13T00:00:00"/>
    <n v="60"/>
    <n v="37919.519999999997"/>
    <n v="37919.519999999997"/>
    <n v="0"/>
    <d v="2025-01-29T00:00:00"/>
    <n v="140"/>
    <n v="80"/>
    <s v="Paid"/>
    <n v="0.02"/>
    <n v="758.39"/>
  </r>
  <r>
    <s v="VND-012"/>
    <s v="DataCenter Pro"/>
    <x v="1"/>
    <s v="East"/>
    <s v="INV-0385"/>
    <d v="2025-03-25T00:00:00"/>
    <d v="2025-04-09T00:00:00"/>
    <n v="15"/>
    <n v="32782.720000000001"/>
    <n v="32782.720000000001"/>
    <n v="0"/>
    <d v="2025-04-30T00:00:00"/>
    <n v="68"/>
    <n v="53"/>
    <s v="Paid"/>
    <n v="0"/>
    <n v="0"/>
  </r>
  <r>
    <s v="VND-012"/>
    <s v="DataCenter Pro"/>
    <x v="1"/>
    <s v="East"/>
    <s v="INV-0386"/>
    <d v="2024-12-06T00:00:00"/>
    <d v="2025-01-05T00:00:00"/>
    <n v="30"/>
    <n v="31558.560000000001"/>
    <n v="31558.560000000001"/>
    <n v="0"/>
    <d v="2025-01-20T00:00:00"/>
    <n v="177"/>
    <n v="147"/>
    <s v="Paid"/>
    <n v="0"/>
    <n v="0"/>
  </r>
  <r>
    <s v="VND-012"/>
    <s v="DataCenter Pro"/>
    <x v="1"/>
    <s v="East"/>
    <s v="INV-0387"/>
    <d v="2025-02-12T00:00:00"/>
    <d v="2025-05-13T00:00:00"/>
    <n v="90"/>
    <n v="73683.710000000006"/>
    <n v="73683.710000000006"/>
    <n v="0"/>
    <d v="2025-05-15T00:00:00"/>
    <n v="109"/>
    <n v="19"/>
    <s v="Paid"/>
    <n v="0.02"/>
    <n v="0"/>
  </r>
  <r>
    <s v="VND-012"/>
    <s v="DataCenter Pro"/>
    <x v="1"/>
    <s v="East"/>
    <s v="INV-0388"/>
    <d v="2025-01-04T00:00:00"/>
    <d v="2025-02-03T00:00:00"/>
    <n v="30"/>
    <n v="38208.519999999997"/>
    <n v="38208.519999999997"/>
    <n v="0"/>
    <d v="2025-01-20T00:00:00"/>
    <n v="148"/>
    <n v="118"/>
    <s v="Paid"/>
    <n v="0.01"/>
    <n v="382.09"/>
  </r>
  <r>
    <s v="VND-012"/>
    <s v="DataCenter Pro"/>
    <x v="1"/>
    <s v="East"/>
    <s v="INV-0389"/>
    <d v="2024-12-26T00:00:00"/>
    <d v="2025-01-25T00:00:00"/>
    <n v="30"/>
    <n v="11159.9"/>
    <n v="11159.9"/>
    <n v="0"/>
    <d v="2025-02-05T00:00:00"/>
    <n v="157"/>
    <n v="127"/>
    <s v="Paid"/>
    <n v="0.02"/>
    <n v="0"/>
  </r>
  <r>
    <s v="VND-012"/>
    <s v="DataCenter Pro"/>
    <x v="1"/>
    <s v="East"/>
    <s v="INV-0390"/>
    <d v="2025-05-14T00:00:00"/>
    <d v="2025-07-13T00:00:00"/>
    <n v="60"/>
    <n v="45068.56"/>
    <n v="0"/>
    <n v="45068.56"/>
    <m/>
    <n v="18"/>
    <n v="0"/>
    <s v="Pending"/>
    <n v="0.02"/>
    <n v="0"/>
  </r>
  <r>
    <s v="VND-012"/>
    <s v="DataCenter Pro"/>
    <x v="1"/>
    <s v="East"/>
    <s v="INV-0391"/>
    <d v="2025-04-18T00:00:00"/>
    <d v="2025-06-17T00:00:00"/>
    <n v="60"/>
    <n v="52538.98"/>
    <n v="0"/>
    <n v="52538.98"/>
    <m/>
    <n v="44"/>
    <n v="0"/>
    <s v="Pending"/>
    <n v="0.01"/>
    <n v="0"/>
  </r>
  <r>
    <s v="VND-012"/>
    <s v="DataCenter Pro"/>
    <x v="1"/>
    <s v="East"/>
    <s v="INV-0392"/>
    <d v="2025-03-19T00:00:00"/>
    <d v="2025-06-17T00:00:00"/>
    <n v="90"/>
    <n v="35256.980000000003"/>
    <n v="0"/>
    <n v="35256.980000000003"/>
    <m/>
    <n v="74"/>
    <n v="0"/>
    <s v="Pending"/>
    <n v="0"/>
    <n v="0"/>
  </r>
  <r>
    <s v="VND-012"/>
    <s v="DataCenter Pro"/>
    <x v="1"/>
    <s v="East"/>
    <s v="INV-0393"/>
    <d v="2025-01-23T00:00:00"/>
    <d v="2025-04-23T00:00:00"/>
    <n v="90"/>
    <n v="63253.79"/>
    <n v="63253.79"/>
    <n v="0"/>
    <d v="2025-03-01T00:00:00"/>
    <n v="129"/>
    <n v="39"/>
    <s v="Paid"/>
    <n v="0.01"/>
    <n v="632.54"/>
  </r>
  <r>
    <s v="VND-012"/>
    <s v="DataCenter Pro"/>
    <x v="1"/>
    <s v="East"/>
    <s v="INV-0394"/>
    <d v="2025-01-13T00:00:00"/>
    <d v="2025-04-13T00:00:00"/>
    <n v="90"/>
    <n v="74339.27"/>
    <n v="0"/>
    <n v="74339.27"/>
    <m/>
    <n v="139"/>
    <n v="49"/>
    <s v="Overdue"/>
    <n v="0.01"/>
    <n v="0"/>
  </r>
  <r>
    <s v="VND-012"/>
    <s v="DataCenter Pro"/>
    <x v="1"/>
    <s v="East"/>
    <s v="INV-0395"/>
    <d v="2025-02-11T00:00:00"/>
    <d v="2025-02-26T00:00:00"/>
    <n v="15"/>
    <n v="40033.019999999997"/>
    <n v="40033.019999999997"/>
    <n v="0"/>
    <d v="2025-02-27T00:00:00"/>
    <n v="110"/>
    <n v="95"/>
    <s v="Paid"/>
    <n v="0.01"/>
    <n v="0"/>
  </r>
  <r>
    <s v="VND-012"/>
    <s v="DataCenter Pro"/>
    <x v="1"/>
    <s v="East"/>
    <s v="INV-0396"/>
    <d v="2025-01-04T00:00:00"/>
    <d v="2025-02-03T00:00:00"/>
    <n v="30"/>
    <n v="4727.08"/>
    <n v="4727.08"/>
    <n v="0"/>
    <d v="2025-03-02T00:00:00"/>
    <n v="148"/>
    <n v="118"/>
    <s v="Paid"/>
    <n v="0"/>
    <n v="0"/>
  </r>
  <r>
    <s v="VND-012"/>
    <s v="DataCenter Pro"/>
    <x v="1"/>
    <s v="East"/>
    <s v="INV-0397"/>
    <d v="2025-05-01T00:00:00"/>
    <d v="2025-06-30T00:00:00"/>
    <n v="60"/>
    <n v="67735.399999999994"/>
    <n v="0"/>
    <n v="67735.399999999994"/>
    <m/>
    <n v="31"/>
    <n v="0"/>
    <s v="Pending"/>
    <n v="2.5000000000000001E-2"/>
    <n v="0"/>
  </r>
  <r>
    <s v="VND-012"/>
    <s v="DataCenter Pro"/>
    <x v="1"/>
    <s v="East"/>
    <s v="INV-0398"/>
    <d v="2025-02-02T00:00:00"/>
    <d v="2025-02-17T00:00:00"/>
    <n v="15"/>
    <n v="5990.64"/>
    <n v="5990.64"/>
    <n v="0"/>
    <d v="2025-02-10T00:00:00"/>
    <n v="119"/>
    <n v="104"/>
    <s v="Paid"/>
    <n v="0"/>
    <n v="0"/>
  </r>
  <r>
    <s v="VND-012"/>
    <s v="DataCenter Pro"/>
    <x v="1"/>
    <s v="East"/>
    <s v="INV-0399"/>
    <d v="2025-03-19T00:00:00"/>
    <d v="2025-05-18T00:00:00"/>
    <n v="60"/>
    <n v="62175.72"/>
    <n v="62175.72"/>
    <n v="0"/>
    <d v="2025-04-04T00:00:00"/>
    <n v="74"/>
    <n v="14"/>
    <s v="Paid"/>
    <n v="0.02"/>
    <n v="1243.51"/>
  </r>
  <r>
    <s v="VND-012"/>
    <s v="DataCenter Pro"/>
    <x v="1"/>
    <s v="East"/>
    <s v="INV-0400"/>
    <d v="2024-12-06T00:00:00"/>
    <d v="2025-03-06T00:00:00"/>
    <n v="90"/>
    <n v="33959.1"/>
    <n v="33959.1"/>
    <n v="0"/>
    <d v="2025-03-08T00:00:00"/>
    <n v="177"/>
    <n v="87"/>
    <s v="Paid"/>
    <n v="0.02"/>
    <n v="0"/>
  </r>
  <r>
    <s v="VND-012"/>
    <s v="DataCenter Pro"/>
    <x v="1"/>
    <s v="East"/>
    <s v="INV-0401"/>
    <d v="2025-05-14T00:00:00"/>
    <d v="2025-08-12T00:00:00"/>
    <n v="90"/>
    <n v="23462.54"/>
    <n v="0"/>
    <n v="23462.54"/>
    <m/>
    <n v="18"/>
    <n v="0"/>
    <s v="Pending"/>
    <n v="2.5000000000000001E-2"/>
    <n v="0"/>
  </r>
  <r>
    <s v="VND-012"/>
    <s v="DataCenter Pro"/>
    <x v="1"/>
    <s v="East"/>
    <s v="INV-0402"/>
    <d v="2025-05-05T00:00:00"/>
    <d v="2025-07-04T00:00:00"/>
    <n v="60"/>
    <n v="50451.25"/>
    <n v="0"/>
    <n v="50451.25"/>
    <m/>
    <n v="27"/>
    <n v="0"/>
    <s v="Pending"/>
    <n v="0.01"/>
    <n v="0"/>
  </r>
  <r>
    <s v="VND-012"/>
    <s v="DataCenter Pro"/>
    <x v="1"/>
    <s v="East"/>
    <s v="INV-0403"/>
    <d v="2025-05-25T00:00:00"/>
    <d v="2025-08-23T00:00:00"/>
    <n v="90"/>
    <n v="57476.87"/>
    <n v="0"/>
    <n v="57476.87"/>
    <m/>
    <n v="7"/>
    <n v="0"/>
    <s v="Pending"/>
    <n v="0"/>
    <n v="0"/>
  </r>
  <r>
    <s v="VND-012"/>
    <s v="DataCenter Pro"/>
    <x v="1"/>
    <s v="East"/>
    <s v="INV-0404"/>
    <d v="2025-03-31T00:00:00"/>
    <d v="2025-05-30T00:00:00"/>
    <n v="60"/>
    <n v="43002.47"/>
    <n v="43002.47"/>
    <n v="0"/>
    <d v="2025-06-11T00:00:00"/>
    <n v="62"/>
    <n v="2"/>
    <s v="Paid"/>
    <n v="0.02"/>
    <n v="0"/>
  </r>
  <r>
    <s v="VND-012"/>
    <s v="DataCenter Pro"/>
    <x v="1"/>
    <s v="East"/>
    <s v="INV-0405"/>
    <d v="2025-01-26T00:00:00"/>
    <d v="2025-02-10T00:00:00"/>
    <n v="15"/>
    <n v="60408.21"/>
    <n v="60408.21"/>
    <n v="0"/>
    <d v="2025-02-15T00:00:00"/>
    <n v="126"/>
    <n v="111"/>
    <s v="Paid"/>
    <n v="0.01"/>
    <n v="0"/>
  </r>
  <r>
    <s v="VND-012"/>
    <s v="DataCenter Pro"/>
    <x v="1"/>
    <s v="East"/>
    <s v="INV-0406"/>
    <d v="2025-05-04T00:00:00"/>
    <d v="2025-06-18T00:00:00"/>
    <n v="45"/>
    <n v="6936.45"/>
    <n v="0"/>
    <n v="6936.45"/>
    <m/>
    <n v="28"/>
    <n v="0"/>
    <s v="Pending"/>
    <n v="2.5000000000000001E-2"/>
    <n v="0"/>
  </r>
  <r>
    <s v="VND-012"/>
    <s v="DataCenter Pro"/>
    <x v="1"/>
    <s v="East"/>
    <s v="INV-0407"/>
    <d v="2025-01-11T00:00:00"/>
    <d v="2025-02-25T00:00:00"/>
    <n v="45"/>
    <n v="29242.62"/>
    <n v="18884.599999999999"/>
    <n v="10358.02"/>
    <d v="2025-04-24T00:00:00"/>
    <n v="141"/>
    <n v="96"/>
    <s v="Partial"/>
    <n v="0.01"/>
    <n v="0"/>
  </r>
  <r>
    <s v="VND-012"/>
    <s v="DataCenter Pro"/>
    <x v="1"/>
    <s v="East"/>
    <s v="INV-0408"/>
    <d v="2025-03-12T00:00:00"/>
    <d v="2025-04-11T00:00:00"/>
    <n v="30"/>
    <n v="79094.070000000007"/>
    <n v="79094.070000000007"/>
    <n v="0"/>
    <d v="2025-04-17T00:00:00"/>
    <n v="81"/>
    <n v="51"/>
    <s v="Paid"/>
    <n v="0.01"/>
    <n v="0"/>
  </r>
  <r>
    <s v="VND-012"/>
    <s v="DataCenter Pro"/>
    <x v="1"/>
    <s v="East"/>
    <s v="INV-0409"/>
    <d v="2025-05-22T00:00:00"/>
    <d v="2025-07-21T00:00:00"/>
    <n v="60"/>
    <n v="5375.58"/>
    <n v="0"/>
    <n v="5375.58"/>
    <m/>
    <n v="10"/>
    <n v="0"/>
    <s v="Pending"/>
    <n v="0"/>
    <n v="0"/>
  </r>
  <r>
    <s v="VND-013"/>
    <s v="FreightKing"/>
    <x v="2"/>
    <s v="North"/>
    <s v="INV-0410"/>
    <d v="2024-12-08T00:00:00"/>
    <d v="2025-01-07T00:00:00"/>
    <n v="30"/>
    <n v="52646.82"/>
    <n v="0"/>
    <n v="52646.82"/>
    <m/>
    <n v="175"/>
    <n v="145"/>
    <s v="Overdue"/>
    <n v="0"/>
    <n v="0"/>
  </r>
  <r>
    <s v="VND-013"/>
    <s v="FreightKing"/>
    <x v="2"/>
    <s v="North"/>
    <s v="INV-0411"/>
    <d v="2025-01-12T00:00:00"/>
    <d v="2025-03-13T00:00:00"/>
    <n v="60"/>
    <n v="48758.02"/>
    <n v="48758.02"/>
    <n v="0"/>
    <d v="2025-03-06T00:00:00"/>
    <n v="140"/>
    <n v="80"/>
    <s v="Paid"/>
    <n v="0.02"/>
    <n v="975.16"/>
  </r>
  <r>
    <s v="VND-013"/>
    <s v="FreightKing"/>
    <x v="2"/>
    <s v="North"/>
    <s v="INV-0412"/>
    <d v="2025-04-06T00:00:00"/>
    <d v="2025-04-21T00:00:00"/>
    <n v="15"/>
    <n v="41418.67"/>
    <n v="0"/>
    <n v="41418.67"/>
    <m/>
    <n v="56"/>
    <n v="41"/>
    <s v="Overdue"/>
    <n v="0.02"/>
    <n v="0"/>
  </r>
  <r>
    <s v="VND-013"/>
    <s v="FreightKing"/>
    <x v="2"/>
    <s v="North"/>
    <s v="INV-0413"/>
    <d v="2025-03-12T00:00:00"/>
    <d v="2025-04-11T00:00:00"/>
    <n v="30"/>
    <n v="63410.33"/>
    <n v="63410.33"/>
    <n v="0"/>
    <d v="2025-03-31T00:00:00"/>
    <n v="81"/>
    <n v="51"/>
    <s v="Paid"/>
    <n v="2.5000000000000001E-2"/>
    <n v="1585.26"/>
  </r>
  <r>
    <s v="VND-013"/>
    <s v="FreightKing"/>
    <x v="2"/>
    <s v="North"/>
    <s v="INV-0414"/>
    <d v="2025-04-22T00:00:00"/>
    <d v="2025-06-21T00:00:00"/>
    <n v="60"/>
    <n v="44933.35"/>
    <n v="0"/>
    <n v="44933.35"/>
    <m/>
    <n v="40"/>
    <n v="0"/>
    <s v="Pending"/>
    <n v="0"/>
    <n v="0"/>
  </r>
  <r>
    <s v="VND-013"/>
    <s v="FreightKing"/>
    <x v="2"/>
    <s v="North"/>
    <s v="INV-0415"/>
    <d v="2024-12-14T00:00:00"/>
    <d v="2025-01-13T00:00:00"/>
    <n v="30"/>
    <n v="70246.97"/>
    <n v="70246.97"/>
    <n v="0"/>
    <d v="2024-12-24T00:00:00"/>
    <n v="169"/>
    <n v="139"/>
    <s v="Paid"/>
    <n v="0"/>
    <n v="0"/>
  </r>
  <r>
    <s v="VND-013"/>
    <s v="FreightKing"/>
    <x v="2"/>
    <s v="North"/>
    <s v="INV-0416"/>
    <d v="2025-03-09T00:00:00"/>
    <d v="2025-04-08T00:00:00"/>
    <n v="30"/>
    <n v="66400.58"/>
    <n v="66400.58"/>
    <n v="0"/>
    <d v="2025-03-29T00:00:00"/>
    <n v="84"/>
    <n v="54"/>
    <s v="Paid"/>
    <n v="0"/>
    <n v="0"/>
  </r>
  <r>
    <s v="VND-013"/>
    <s v="FreightKing"/>
    <x v="2"/>
    <s v="North"/>
    <s v="INV-0417"/>
    <d v="2025-01-30T00:00:00"/>
    <d v="2025-03-16T00:00:00"/>
    <n v="45"/>
    <n v="79060.759999999995"/>
    <n v="79060.759999999995"/>
    <n v="0"/>
    <d v="2025-02-05T00:00:00"/>
    <n v="122"/>
    <n v="77"/>
    <s v="Paid"/>
    <n v="2.5000000000000001E-2"/>
    <n v="1976.52"/>
  </r>
  <r>
    <s v="VND-013"/>
    <s v="FreightKing"/>
    <x v="2"/>
    <s v="North"/>
    <s v="INV-0418"/>
    <d v="2025-04-10T00:00:00"/>
    <d v="2025-07-09T00:00:00"/>
    <n v="90"/>
    <n v="46746.65"/>
    <n v="0"/>
    <n v="46746.65"/>
    <m/>
    <n v="52"/>
    <n v="0"/>
    <s v="Pending"/>
    <n v="0"/>
    <n v="0"/>
  </r>
  <r>
    <s v="VND-013"/>
    <s v="FreightKing"/>
    <x v="2"/>
    <s v="North"/>
    <s v="INV-0419"/>
    <d v="2025-05-26T00:00:00"/>
    <d v="2025-06-10T00:00:00"/>
    <n v="15"/>
    <n v="6126.69"/>
    <n v="0"/>
    <n v="6126.69"/>
    <m/>
    <n v="6"/>
    <n v="0"/>
    <s v="Pending"/>
    <n v="0.02"/>
    <n v="0"/>
  </r>
  <r>
    <s v="VND-013"/>
    <s v="FreightKing"/>
    <x v="2"/>
    <s v="North"/>
    <s v="INV-0420"/>
    <d v="2025-01-01T00:00:00"/>
    <d v="2025-01-16T00:00:00"/>
    <n v="15"/>
    <n v="78727.740000000005"/>
    <n v="0"/>
    <n v="78727.740000000005"/>
    <m/>
    <n v="151"/>
    <n v="136"/>
    <s v="Overdue"/>
    <n v="0"/>
    <n v="0"/>
  </r>
  <r>
    <s v="VND-013"/>
    <s v="FreightKing"/>
    <x v="2"/>
    <s v="North"/>
    <s v="INV-0421"/>
    <d v="2025-02-13T00:00:00"/>
    <d v="2025-03-15T00:00:00"/>
    <n v="30"/>
    <n v="21653.54"/>
    <n v="21653.54"/>
    <n v="0"/>
    <d v="2025-02-13T00:00:00"/>
    <n v="108"/>
    <n v="78"/>
    <s v="Paid"/>
    <n v="0"/>
    <n v="0"/>
  </r>
  <r>
    <s v="VND-013"/>
    <s v="FreightKing"/>
    <x v="2"/>
    <s v="North"/>
    <s v="INV-0422"/>
    <d v="2025-02-23T00:00:00"/>
    <d v="2025-05-24T00:00:00"/>
    <n v="90"/>
    <n v="11689.69"/>
    <n v="11689.69"/>
    <n v="0"/>
    <d v="2025-06-22T00:00:00"/>
    <n v="98"/>
    <n v="8"/>
    <s v="Paid"/>
    <n v="2.5000000000000001E-2"/>
    <n v="0"/>
  </r>
  <r>
    <s v="VND-013"/>
    <s v="FreightKing"/>
    <x v="2"/>
    <s v="North"/>
    <s v="INV-0423"/>
    <d v="2025-02-10T00:00:00"/>
    <d v="2025-03-12T00:00:00"/>
    <n v="30"/>
    <n v="25941.35"/>
    <n v="25941.35"/>
    <n v="0"/>
    <d v="2025-04-03T00:00:00"/>
    <n v="111"/>
    <n v="81"/>
    <s v="Paid"/>
    <n v="0.01"/>
    <n v="0"/>
  </r>
  <r>
    <s v="VND-013"/>
    <s v="FreightKing"/>
    <x v="2"/>
    <s v="North"/>
    <s v="INV-0424"/>
    <d v="2025-01-31T00:00:00"/>
    <d v="2025-03-02T00:00:00"/>
    <n v="30"/>
    <n v="5994.34"/>
    <n v="0"/>
    <n v="5994.34"/>
    <m/>
    <n v="121"/>
    <n v="91"/>
    <s v="Overdue"/>
    <n v="0"/>
    <n v="0"/>
  </r>
  <r>
    <s v="VND-013"/>
    <s v="FreightKing"/>
    <x v="2"/>
    <s v="North"/>
    <s v="INV-0425"/>
    <d v="2025-03-12T00:00:00"/>
    <d v="2025-04-11T00:00:00"/>
    <n v="30"/>
    <n v="50004.39"/>
    <n v="0"/>
    <n v="50004.39"/>
    <m/>
    <n v="81"/>
    <n v="51"/>
    <s v="Overdue"/>
    <n v="0.02"/>
    <n v="0"/>
  </r>
  <r>
    <s v="VND-013"/>
    <s v="FreightKing"/>
    <x v="2"/>
    <s v="North"/>
    <s v="INV-0426"/>
    <d v="2025-05-10T00:00:00"/>
    <d v="2025-06-24T00:00:00"/>
    <n v="45"/>
    <n v="42463.1"/>
    <n v="0"/>
    <n v="42463.1"/>
    <m/>
    <n v="22"/>
    <n v="0"/>
    <s v="Pending"/>
    <n v="0.01"/>
    <n v="0"/>
  </r>
  <r>
    <s v="VND-013"/>
    <s v="FreightKing"/>
    <x v="2"/>
    <s v="North"/>
    <s v="INV-0427"/>
    <d v="2025-01-04T00:00:00"/>
    <d v="2025-02-03T00:00:00"/>
    <n v="30"/>
    <n v="24020.54"/>
    <n v="24020.54"/>
    <n v="0"/>
    <d v="2025-01-26T00:00:00"/>
    <n v="148"/>
    <n v="118"/>
    <s v="Paid"/>
    <n v="0"/>
    <n v="0"/>
  </r>
  <r>
    <s v="VND-013"/>
    <s v="FreightKing"/>
    <x v="2"/>
    <s v="North"/>
    <s v="INV-0428"/>
    <d v="2025-01-04T00:00:00"/>
    <d v="2025-03-05T00:00:00"/>
    <n v="60"/>
    <n v="63153.2"/>
    <n v="63153.2"/>
    <n v="0"/>
    <d v="2025-03-08T00:00:00"/>
    <n v="148"/>
    <n v="88"/>
    <s v="Paid"/>
    <n v="0"/>
    <n v="0"/>
  </r>
  <r>
    <s v="VND-013"/>
    <s v="FreightKing"/>
    <x v="2"/>
    <s v="North"/>
    <s v="INV-0429"/>
    <d v="2024-12-24T00:00:00"/>
    <d v="2025-01-23T00:00:00"/>
    <n v="30"/>
    <n v="22657.69"/>
    <n v="22657.69"/>
    <n v="0"/>
    <d v="2025-02-11T00:00:00"/>
    <n v="159"/>
    <n v="129"/>
    <s v="Paid"/>
    <n v="2.5000000000000001E-2"/>
    <n v="0"/>
  </r>
  <r>
    <s v="VND-013"/>
    <s v="FreightKing"/>
    <x v="2"/>
    <s v="North"/>
    <s v="INV-0430"/>
    <d v="2025-05-11T00:00:00"/>
    <d v="2025-06-25T00:00:00"/>
    <n v="45"/>
    <n v="50338.65"/>
    <n v="0"/>
    <n v="50338.65"/>
    <m/>
    <n v="21"/>
    <n v="0"/>
    <s v="Pending"/>
    <n v="0.01"/>
    <n v="0"/>
  </r>
  <r>
    <s v="VND-013"/>
    <s v="FreightKing"/>
    <x v="2"/>
    <s v="North"/>
    <s v="INV-0431"/>
    <d v="2024-12-16T00:00:00"/>
    <d v="2025-03-16T00:00:00"/>
    <n v="90"/>
    <n v="47719.33"/>
    <n v="47719.33"/>
    <n v="0"/>
    <d v="2025-03-21T00:00:00"/>
    <n v="167"/>
    <n v="77"/>
    <s v="Paid"/>
    <n v="2.5000000000000001E-2"/>
    <n v="0"/>
  </r>
  <r>
    <s v="VND-013"/>
    <s v="FreightKing"/>
    <x v="2"/>
    <s v="North"/>
    <s v="INV-0432"/>
    <d v="2025-02-01T00:00:00"/>
    <d v="2025-03-03T00:00:00"/>
    <n v="30"/>
    <n v="35859"/>
    <n v="35859"/>
    <n v="0"/>
    <d v="2025-02-09T00:00:00"/>
    <n v="120"/>
    <n v="90"/>
    <s v="Paid"/>
    <n v="0.02"/>
    <n v="717.18"/>
  </r>
  <r>
    <s v="VND-013"/>
    <s v="FreightKing"/>
    <x v="2"/>
    <s v="North"/>
    <s v="INV-0433"/>
    <d v="2025-04-11T00:00:00"/>
    <d v="2025-04-26T00:00:00"/>
    <n v="15"/>
    <n v="69201.960000000006"/>
    <n v="0"/>
    <n v="69201.960000000006"/>
    <m/>
    <n v="51"/>
    <n v="36"/>
    <s v="Overdue"/>
    <n v="0.02"/>
    <n v="0"/>
  </r>
  <r>
    <s v="VND-013"/>
    <s v="FreightKing"/>
    <x v="2"/>
    <s v="North"/>
    <s v="INV-0434"/>
    <d v="2025-02-10T00:00:00"/>
    <d v="2025-05-11T00:00:00"/>
    <n v="90"/>
    <n v="26706.47"/>
    <n v="26706.47"/>
    <n v="0"/>
    <d v="2025-06-09T00:00:00"/>
    <n v="111"/>
    <n v="21"/>
    <s v="Paid"/>
    <n v="0.01"/>
    <n v="0"/>
  </r>
  <r>
    <s v="VND-013"/>
    <s v="FreightKing"/>
    <x v="2"/>
    <s v="North"/>
    <s v="INV-0435"/>
    <d v="2025-05-10T00:00:00"/>
    <d v="2025-07-09T00:00:00"/>
    <n v="60"/>
    <n v="11462.99"/>
    <n v="0"/>
    <n v="11462.99"/>
    <m/>
    <n v="22"/>
    <n v="0"/>
    <s v="Pending"/>
    <n v="0.01"/>
    <n v="0"/>
  </r>
  <r>
    <s v="VND-013"/>
    <s v="FreightKing"/>
    <x v="2"/>
    <s v="North"/>
    <s v="INV-0436"/>
    <d v="2025-03-05T00:00:00"/>
    <d v="2025-05-04T00:00:00"/>
    <n v="60"/>
    <n v="65111.3"/>
    <n v="65111.3"/>
    <n v="0"/>
    <d v="2025-04-16T00:00:00"/>
    <n v="88"/>
    <n v="28"/>
    <s v="Paid"/>
    <n v="2.5000000000000001E-2"/>
    <n v="1627.78"/>
  </r>
  <r>
    <s v="VND-013"/>
    <s v="FreightKing"/>
    <x v="2"/>
    <s v="North"/>
    <s v="INV-0437"/>
    <d v="2025-01-28T00:00:00"/>
    <d v="2025-02-27T00:00:00"/>
    <n v="30"/>
    <n v="18765.45"/>
    <n v="4211.33"/>
    <n v="14554.12"/>
    <d v="2025-03-01T00:00:00"/>
    <n v="124"/>
    <n v="94"/>
    <s v="Partial"/>
    <n v="0.02"/>
    <n v="0"/>
  </r>
  <r>
    <s v="VND-013"/>
    <s v="FreightKing"/>
    <x v="2"/>
    <s v="North"/>
    <s v="INV-0438"/>
    <d v="2025-02-05T00:00:00"/>
    <d v="2025-04-06T00:00:00"/>
    <n v="60"/>
    <n v="43514.54"/>
    <n v="43514.54"/>
    <n v="0"/>
    <d v="2025-04-26T00:00:00"/>
    <n v="116"/>
    <n v="56"/>
    <s v="Paid"/>
    <n v="0"/>
    <n v="0"/>
  </r>
  <r>
    <s v="VND-013"/>
    <s v="FreightKing"/>
    <x v="2"/>
    <s v="North"/>
    <s v="INV-0439"/>
    <d v="2025-04-08T00:00:00"/>
    <d v="2025-05-23T00:00:00"/>
    <n v="45"/>
    <n v="62963.19"/>
    <n v="62963.19"/>
    <n v="0"/>
    <d v="2025-06-13T00:00:00"/>
    <n v="54"/>
    <n v="9"/>
    <s v="Paid"/>
    <n v="0"/>
    <n v="0"/>
  </r>
  <r>
    <s v="VND-013"/>
    <s v="FreightKing"/>
    <x v="2"/>
    <s v="North"/>
    <s v="INV-0440"/>
    <d v="2025-05-11T00:00:00"/>
    <d v="2025-06-10T00:00:00"/>
    <n v="30"/>
    <n v="51386.1"/>
    <n v="0"/>
    <n v="51386.1"/>
    <m/>
    <n v="21"/>
    <n v="0"/>
    <s v="Pending"/>
    <n v="2.5000000000000001E-2"/>
    <n v="0"/>
  </r>
  <r>
    <s v="VND-013"/>
    <s v="FreightKing"/>
    <x v="2"/>
    <s v="North"/>
    <s v="INV-0441"/>
    <d v="2025-05-24T00:00:00"/>
    <d v="2025-08-22T00:00:00"/>
    <n v="90"/>
    <n v="9507.23"/>
    <n v="0"/>
    <n v="9507.23"/>
    <m/>
    <n v="8"/>
    <n v="0"/>
    <s v="Pending"/>
    <n v="0.02"/>
    <n v="0"/>
  </r>
  <r>
    <s v="VND-013"/>
    <s v="FreightKing"/>
    <x v="2"/>
    <s v="North"/>
    <s v="INV-0442"/>
    <d v="2025-05-06T00:00:00"/>
    <d v="2025-08-04T00:00:00"/>
    <n v="90"/>
    <n v="24551.34"/>
    <n v="0"/>
    <n v="24551.34"/>
    <m/>
    <n v="26"/>
    <n v="0"/>
    <s v="Pending"/>
    <n v="2.5000000000000001E-2"/>
    <n v="0"/>
  </r>
  <r>
    <s v="VND-013"/>
    <s v="FreightKing"/>
    <x v="2"/>
    <s v="North"/>
    <s v="INV-0443"/>
    <d v="2024-12-06T00:00:00"/>
    <d v="2025-01-20T00:00:00"/>
    <n v="45"/>
    <n v="40717.129999999997"/>
    <n v="40717.129999999997"/>
    <n v="0"/>
    <d v="2025-01-08T00:00:00"/>
    <n v="177"/>
    <n v="132"/>
    <s v="Paid"/>
    <n v="0"/>
    <n v="0"/>
  </r>
  <r>
    <s v="VND-013"/>
    <s v="FreightKing"/>
    <x v="2"/>
    <s v="North"/>
    <s v="INV-0444"/>
    <d v="2024-12-14T00:00:00"/>
    <d v="2025-02-12T00:00:00"/>
    <n v="60"/>
    <n v="25862.720000000001"/>
    <n v="25862.720000000001"/>
    <n v="0"/>
    <d v="2025-02-06T00:00:00"/>
    <n v="169"/>
    <n v="109"/>
    <s v="Paid"/>
    <n v="0.02"/>
    <n v="517.25"/>
  </r>
  <r>
    <s v="VND-014"/>
    <s v="FacilityPro"/>
    <x v="3"/>
    <s v="North"/>
    <s v="INV-0445"/>
    <d v="2024-12-03T00:00:00"/>
    <d v="2025-03-03T00:00:00"/>
    <n v="90"/>
    <n v="18173.240000000002"/>
    <n v="18173.240000000002"/>
    <n v="0"/>
    <d v="2024-12-06T00:00:00"/>
    <n v="180"/>
    <n v="90"/>
    <s v="Paid"/>
    <n v="0.02"/>
    <n v="363.46"/>
  </r>
  <r>
    <s v="VND-014"/>
    <s v="FacilityPro"/>
    <x v="3"/>
    <s v="North"/>
    <s v="INV-0446"/>
    <d v="2025-01-09T00:00:00"/>
    <d v="2025-03-10T00:00:00"/>
    <n v="60"/>
    <n v="1598.87"/>
    <n v="1229.8599999999999"/>
    <n v="369.01"/>
    <d v="2025-02-19T00:00:00"/>
    <n v="143"/>
    <n v="83"/>
    <s v="Partial"/>
    <n v="0"/>
    <n v="0"/>
  </r>
  <r>
    <s v="VND-014"/>
    <s v="FacilityPro"/>
    <x v="3"/>
    <s v="North"/>
    <s v="INV-0447"/>
    <d v="2025-05-25T00:00:00"/>
    <d v="2025-07-09T00:00:00"/>
    <n v="45"/>
    <n v="25618.99"/>
    <n v="0"/>
    <n v="25618.99"/>
    <m/>
    <n v="7"/>
    <n v="0"/>
    <s v="Pending"/>
    <n v="2.5000000000000001E-2"/>
    <n v="0"/>
  </r>
  <r>
    <s v="VND-014"/>
    <s v="FacilityPro"/>
    <x v="3"/>
    <s v="North"/>
    <s v="INV-0448"/>
    <d v="2025-02-09T00:00:00"/>
    <d v="2025-02-24T00:00:00"/>
    <n v="15"/>
    <n v="2399.44"/>
    <n v="2399.44"/>
    <n v="0"/>
    <d v="2025-02-15T00:00:00"/>
    <n v="112"/>
    <n v="97"/>
    <s v="Paid"/>
    <n v="2.5000000000000001E-2"/>
    <n v="59.99"/>
  </r>
  <r>
    <s v="VND-014"/>
    <s v="FacilityPro"/>
    <x v="3"/>
    <s v="North"/>
    <s v="INV-0449"/>
    <d v="2025-03-28T00:00:00"/>
    <d v="2025-04-12T00:00:00"/>
    <n v="15"/>
    <n v="64005.7"/>
    <n v="64005.7"/>
    <n v="0"/>
    <d v="2025-04-17T00:00:00"/>
    <n v="65"/>
    <n v="50"/>
    <s v="Paid"/>
    <n v="0.02"/>
    <n v="0"/>
  </r>
  <r>
    <s v="VND-014"/>
    <s v="FacilityPro"/>
    <x v="3"/>
    <s v="North"/>
    <s v="INV-0450"/>
    <d v="2025-04-27T00:00:00"/>
    <d v="2025-05-12T00:00:00"/>
    <n v="15"/>
    <n v="64291.57"/>
    <n v="64291.57"/>
    <n v="0"/>
    <d v="2025-05-03T00:00:00"/>
    <n v="35"/>
    <n v="20"/>
    <s v="Paid"/>
    <n v="0.02"/>
    <n v="1285.83"/>
  </r>
  <r>
    <s v="VND-014"/>
    <s v="FacilityPro"/>
    <x v="3"/>
    <s v="North"/>
    <s v="INV-0451"/>
    <d v="2025-03-21T00:00:00"/>
    <d v="2025-06-19T00:00:00"/>
    <n v="90"/>
    <n v="34562.31"/>
    <n v="0"/>
    <n v="34562.31"/>
    <m/>
    <n v="72"/>
    <n v="0"/>
    <s v="Pending"/>
    <n v="2.5000000000000001E-2"/>
    <n v="0"/>
  </r>
  <r>
    <s v="VND-014"/>
    <s v="FacilityPro"/>
    <x v="3"/>
    <s v="North"/>
    <s v="INV-0452"/>
    <d v="2025-04-11T00:00:00"/>
    <d v="2025-05-11T00:00:00"/>
    <n v="30"/>
    <n v="55034.65"/>
    <n v="55034.65"/>
    <n v="0"/>
    <d v="2025-05-31T00:00:00"/>
    <n v="51"/>
    <n v="21"/>
    <s v="Paid"/>
    <n v="0.02"/>
    <n v="0"/>
  </r>
  <r>
    <s v="VND-014"/>
    <s v="FacilityPro"/>
    <x v="3"/>
    <s v="North"/>
    <s v="INV-0453"/>
    <d v="2025-02-04T00:00:00"/>
    <d v="2025-04-05T00:00:00"/>
    <n v="60"/>
    <n v="72171.740000000005"/>
    <n v="72171.740000000005"/>
    <n v="0"/>
    <d v="2025-04-06T00:00:00"/>
    <n v="117"/>
    <n v="57"/>
    <s v="Paid"/>
    <n v="0.02"/>
    <n v="0"/>
  </r>
  <r>
    <s v="VND-014"/>
    <s v="FacilityPro"/>
    <x v="3"/>
    <s v="North"/>
    <s v="INV-0454"/>
    <d v="2025-01-25T00:00:00"/>
    <d v="2025-02-24T00:00:00"/>
    <n v="30"/>
    <n v="37108.949999999997"/>
    <n v="37108.949999999997"/>
    <n v="0"/>
    <d v="2025-02-16T00:00:00"/>
    <n v="127"/>
    <n v="97"/>
    <s v="Paid"/>
    <n v="0"/>
    <n v="0"/>
  </r>
  <r>
    <s v="VND-014"/>
    <s v="FacilityPro"/>
    <x v="3"/>
    <s v="North"/>
    <s v="INV-0455"/>
    <d v="2025-01-11T00:00:00"/>
    <d v="2025-01-26T00:00:00"/>
    <n v="15"/>
    <n v="4441.0200000000004"/>
    <n v="4441.0200000000004"/>
    <n v="0"/>
    <d v="2025-02-03T00:00:00"/>
    <n v="141"/>
    <n v="126"/>
    <s v="Paid"/>
    <n v="2.5000000000000001E-2"/>
    <n v="0"/>
  </r>
  <r>
    <s v="VND-014"/>
    <s v="FacilityPro"/>
    <x v="3"/>
    <s v="North"/>
    <s v="INV-0456"/>
    <d v="2024-12-03T00:00:00"/>
    <d v="2025-02-01T00:00:00"/>
    <n v="60"/>
    <n v="24755.599999999999"/>
    <n v="24755.599999999999"/>
    <n v="0"/>
    <d v="2025-02-09T00:00:00"/>
    <n v="180"/>
    <n v="120"/>
    <s v="Paid"/>
    <n v="0"/>
    <n v="0"/>
  </r>
  <r>
    <s v="VND-014"/>
    <s v="FacilityPro"/>
    <x v="3"/>
    <s v="North"/>
    <s v="INV-0457"/>
    <d v="2025-04-17T00:00:00"/>
    <d v="2025-05-17T00:00:00"/>
    <n v="30"/>
    <n v="28839.05"/>
    <n v="28839.05"/>
    <n v="0"/>
    <d v="2025-05-04T00:00:00"/>
    <n v="45"/>
    <n v="15"/>
    <s v="Paid"/>
    <n v="0.02"/>
    <n v="576.78"/>
  </r>
  <r>
    <s v="VND-014"/>
    <s v="FacilityPro"/>
    <x v="3"/>
    <s v="North"/>
    <s v="INV-0458"/>
    <d v="2025-03-13T00:00:00"/>
    <d v="2025-04-27T00:00:00"/>
    <n v="45"/>
    <n v="29550.17"/>
    <n v="29550.17"/>
    <n v="0"/>
    <d v="2025-05-23T00:00:00"/>
    <n v="80"/>
    <n v="35"/>
    <s v="Paid"/>
    <n v="2.5000000000000001E-2"/>
    <n v="0"/>
  </r>
  <r>
    <s v="VND-014"/>
    <s v="FacilityPro"/>
    <x v="3"/>
    <s v="North"/>
    <s v="INV-0459"/>
    <d v="2025-01-14T00:00:00"/>
    <d v="2025-02-28T00:00:00"/>
    <n v="45"/>
    <n v="71334.52"/>
    <n v="71334.52"/>
    <n v="0"/>
    <d v="2025-03-15T00:00:00"/>
    <n v="138"/>
    <n v="93"/>
    <s v="Paid"/>
    <n v="0"/>
    <n v="0"/>
  </r>
  <r>
    <s v="VND-014"/>
    <s v="FacilityPro"/>
    <x v="3"/>
    <s v="North"/>
    <s v="INV-0460"/>
    <d v="2025-01-20T00:00:00"/>
    <d v="2025-03-21T00:00:00"/>
    <n v="60"/>
    <n v="30727.67"/>
    <n v="0"/>
    <n v="30727.67"/>
    <m/>
    <n v="132"/>
    <n v="72"/>
    <s v="Overdue"/>
    <n v="0.02"/>
    <n v="0"/>
  </r>
  <r>
    <s v="VND-014"/>
    <s v="FacilityPro"/>
    <x v="3"/>
    <s v="North"/>
    <s v="INV-0461"/>
    <d v="2025-05-11T00:00:00"/>
    <d v="2025-07-10T00:00:00"/>
    <n v="60"/>
    <n v="23019.39"/>
    <n v="0"/>
    <n v="23019.39"/>
    <m/>
    <n v="21"/>
    <n v="0"/>
    <s v="Pending"/>
    <n v="0.02"/>
    <n v="0"/>
  </r>
  <r>
    <s v="VND-014"/>
    <s v="FacilityPro"/>
    <x v="3"/>
    <s v="North"/>
    <s v="INV-0462"/>
    <d v="2025-02-17T00:00:00"/>
    <d v="2025-05-18T00:00:00"/>
    <n v="90"/>
    <n v="33625.64"/>
    <n v="10234.969999999999"/>
    <n v="23390.67"/>
    <d v="2025-03-28T00:00:00"/>
    <n v="104"/>
    <n v="14"/>
    <s v="Partial"/>
    <n v="0.02"/>
    <n v="0"/>
  </r>
  <r>
    <s v="VND-014"/>
    <s v="FacilityPro"/>
    <x v="3"/>
    <s v="North"/>
    <s v="INV-0463"/>
    <d v="2024-12-29T00:00:00"/>
    <d v="2025-02-27T00:00:00"/>
    <n v="60"/>
    <n v="22620.74"/>
    <n v="22620.74"/>
    <n v="0"/>
    <d v="2025-01-05T00:00:00"/>
    <n v="154"/>
    <n v="94"/>
    <s v="Paid"/>
    <n v="0.02"/>
    <n v="452.41"/>
  </r>
  <r>
    <s v="VND-014"/>
    <s v="FacilityPro"/>
    <x v="3"/>
    <s v="North"/>
    <s v="INV-0464"/>
    <d v="2025-03-25T00:00:00"/>
    <d v="2025-04-24T00:00:00"/>
    <n v="30"/>
    <n v="62477.33"/>
    <n v="39509.17"/>
    <n v="22968.16"/>
    <d v="2025-05-20T00:00:00"/>
    <n v="68"/>
    <n v="38"/>
    <s v="Partial"/>
    <n v="2.5000000000000001E-2"/>
    <n v="0"/>
  </r>
  <r>
    <s v="VND-014"/>
    <s v="FacilityPro"/>
    <x v="3"/>
    <s v="North"/>
    <s v="INV-0465"/>
    <d v="2025-02-20T00:00:00"/>
    <d v="2025-04-21T00:00:00"/>
    <n v="60"/>
    <n v="22990.66"/>
    <n v="10175.290000000001"/>
    <n v="12815.37"/>
    <d v="2025-03-23T00:00:00"/>
    <n v="101"/>
    <n v="41"/>
    <s v="Partial"/>
    <n v="0.01"/>
    <n v="0"/>
  </r>
  <r>
    <s v="VND-014"/>
    <s v="FacilityPro"/>
    <x v="3"/>
    <s v="North"/>
    <s v="INV-0466"/>
    <d v="2025-04-18T00:00:00"/>
    <d v="2025-05-03T00:00:00"/>
    <n v="15"/>
    <n v="49451.040000000001"/>
    <n v="49451.040000000001"/>
    <n v="0"/>
    <d v="2025-04-21T00:00:00"/>
    <n v="44"/>
    <n v="29"/>
    <s v="Paid"/>
    <n v="2.5000000000000001E-2"/>
    <n v="1236.28"/>
  </r>
  <r>
    <s v="VND-014"/>
    <s v="FacilityPro"/>
    <x v="3"/>
    <s v="North"/>
    <s v="INV-0467"/>
    <d v="2024-12-23T00:00:00"/>
    <d v="2025-01-22T00:00:00"/>
    <n v="30"/>
    <n v="51868.83"/>
    <n v="0"/>
    <n v="51868.83"/>
    <m/>
    <n v="160"/>
    <n v="130"/>
    <s v="Overdue"/>
    <n v="0.02"/>
    <n v="0"/>
  </r>
  <r>
    <s v="VND-014"/>
    <s v="FacilityPro"/>
    <x v="3"/>
    <s v="North"/>
    <s v="INV-0468"/>
    <d v="2025-02-08T00:00:00"/>
    <d v="2025-05-09T00:00:00"/>
    <n v="90"/>
    <n v="5115.17"/>
    <n v="5115.17"/>
    <n v="0"/>
    <d v="2025-05-31T00:00:00"/>
    <n v="113"/>
    <n v="23"/>
    <s v="Paid"/>
    <n v="0"/>
    <n v="0"/>
  </r>
  <r>
    <s v="VND-014"/>
    <s v="FacilityPro"/>
    <x v="3"/>
    <s v="North"/>
    <s v="INV-0469"/>
    <d v="2025-03-07T00:00:00"/>
    <d v="2025-06-05T00:00:00"/>
    <n v="90"/>
    <n v="58767.8"/>
    <n v="0"/>
    <n v="58767.8"/>
    <m/>
    <n v="86"/>
    <n v="0"/>
    <s v="Pending"/>
    <n v="0.01"/>
    <n v="0"/>
  </r>
  <r>
    <s v="VND-014"/>
    <s v="FacilityPro"/>
    <x v="3"/>
    <s v="North"/>
    <s v="INV-0470"/>
    <d v="2025-02-04T00:00:00"/>
    <d v="2025-04-05T00:00:00"/>
    <n v="60"/>
    <n v="17166.3"/>
    <n v="17166.3"/>
    <n v="0"/>
    <d v="2025-02-25T00:00:00"/>
    <n v="117"/>
    <n v="57"/>
    <s v="Paid"/>
    <n v="0.01"/>
    <n v="171.66"/>
  </r>
  <r>
    <s v="VND-014"/>
    <s v="FacilityPro"/>
    <x v="3"/>
    <s v="North"/>
    <s v="INV-0471"/>
    <d v="2025-05-04T00:00:00"/>
    <d v="2025-08-02T00:00:00"/>
    <n v="90"/>
    <n v="6834.32"/>
    <n v="0"/>
    <n v="6834.32"/>
    <m/>
    <n v="28"/>
    <n v="0"/>
    <s v="Pending"/>
    <n v="0"/>
    <n v="0"/>
  </r>
  <r>
    <s v="VND-014"/>
    <s v="FacilityPro"/>
    <x v="3"/>
    <s v="North"/>
    <s v="INV-0472"/>
    <d v="2025-02-07T00:00:00"/>
    <d v="2025-03-09T00:00:00"/>
    <n v="30"/>
    <n v="48294.74"/>
    <n v="48294.74"/>
    <n v="0"/>
    <d v="2025-03-18T00:00:00"/>
    <n v="114"/>
    <n v="84"/>
    <s v="Paid"/>
    <n v="2.5000000000000001E-2"/>
    <n v="0"/>
  </r>
  <r>
    <s v="VND-014"/>
    <s v="FacilityPro"/>
    <x v="3"/>
    <s v="North"/>
    <s v="INV-0473"/>
    <d v="2025-04-30T00:00:00"/>
    <d v="2025-05-15T00:00:00"/>
    <n v="15"/>
    <n v="27771.8"/>
    <n v="27771.8"/>
    <n v="0"/>
    <d v="2025-05-08T00:00:00"/>
    <n v="32"/>
    <n v="17"/>
    <s v="Paid"/>
    <n v="0"/>
    <n v="0"/>
  </r>
  <r>
    <s v="VND-014"/>
    <s v="FacilityPro"/>
    <x v="3"/>
    <s v="North"/>
    <s v="INV-0474"/>
    <d v="2025-04-16T00:00:00"/>
    <d v="2025-06-15T00:00:00"/>
    <n v="60"/>
    <n v="55453.78"/>
    <n v="0"/>
    <n v="55453.78"/>
    <m/>
    <n v="46"/>
    <n v="0"/>
    <s v="Pending"/>
    <n v="2.5000000000000001E-2"/>
    <n v="0"/>
  </r>
  <r>
    <s v="VND-014"/>
    <s v="FacilityPro"/>
    <x v="3"/>
    <s v="North"/>
    <s v="INV-0475"/>
    <d v="2025-01-20T00:00:00"/>
    <d v="2025-04-20T00:00:00"/>
    <n v="90"/>
    <n v="13151.82"/>
    <n v="0"/>
    <n v="13151.82"/>
    <m/>
    <n v="132"/>
    <n v="42"/>
    <s v="Overdue"/>
    <n v="2.5000000000000001E-2"/>
    <n v="0"/>
  </r>
  <r>
    <s v="VND-014"/>
    <s v="FacilityPro"/>
    <x v="3"/>
    <s v="North"/>
    <s v="INV-0476"/>
    <d v="2025-04-28T00:00:00"/>
    <d v="2025-05-28T00:00:00"/>
    <n v="30"/>
    <n v="41799.279999999999"/>
    <n v="41799.279999999999"/>
    <n v="0"/>
    <d v="2025-05-07T00:00:00"/>
    <n v="34"/>
    <n v="4"/>
    <s v="Paid"/>
    <n v="2.5000000000000001E-2"/>
    <n v="1044.98"/>
  </r>
  <r>
    <s v="VND-015"/>
    <s v="PowerGrid SA"/>
    <x v="4"/>
    <s v="North"/>
    <s v="INV-0477"/>
    <d v="2025-01-29T00:00:00"/>
    <d v="2025-03-30T00:00:00"/>
    <n v="60"/>
    <n v="68290.78"/>
    <n v="68290.78"/>
    <n v="0"/>
    <d v="2025-04-11T00:00:00"/>
    <n v="123"/>
    <n v="63"/>
    <s v="Paid"/>
    <n v="0"/>
    <n v="0"/>
  </r>
  <r>
    <s v="VND-015"/>
    <s v="PowerGrid SA"/>
    <x v="4"/>
    <s v="North"/>
    <s v="INV-0478"/>
    <d v="2025-05-16T00:00:00"/>
    <d v="2025-07-15T00:00:00"/>
    <n v="60"/>
    <n v="45232.160000000003"/>
    <n v="0"/>
    <n v="45232.160000000003"/>
    <m/>
    <n v="16"/>
    <n v="0"/>
    <s v="Pending"/>
    <n v="2.5000000000000001E-2"/>
    <n v="0"/>
  </r>
  <r>
    <s v="VND-015"/>
    <s v="PowerGrid SA"/>
    <x v="4"/>
    <s v="North"/>
    <s v="INV-0479"/>
    <d v="2025-03-27T00:00:00"/>
    <d v="2025-06-25T00:00:00"/>
    <n v="90"/>
    <n v="27267.07"/>
    <n v="0"/>
    <n v="27267.07"/>
    <m/>
    <n v="66"/>
    <n v="0"/>
    <s v="Pending"/>
    <n v="2.5000000000000001E-2"/>
    <n v="0"/>
  </r>
  <r>
    <s v="VND-015"/>
    <s v="PowerGrid SA"/>
    <x v="4"/>
    <s v="North"/>
    <s v="INV-0480"/>
    <d v="2024-12-20T00:00:00"/>
    <d v="2025-03-20T00:00:00"/>
    <n v="90"/>
    <n v="23866.240000000002"/>
    <n v="23866.240000000002"/>
    <n v="0"/>
    <d v="2025-01-02T00:00:00"/>
    <n v="163"/>
    <n v="73"/>
    <s v="Paid"/>
    <n v="0.01"/>
    <n v="238.66"/>
  </r>
  <r>
    <s v="VND-015"/>
    <s v="PowerGrid SA"/>
    <x v="4"/>
    <s v="North"/>
    <s v="INV-0481"/>
    <d v="2025-04-30T00:00:00"/>
    <d v="2025-05-30T00:00:00"/>
    <n v="30"/>
    <n v="76629.58"/>
    <n v="0"/>
    <n v="76629.58"/>
    <m/>
    <n v="32"/>
    <n v="2"/>
    <s v="Overdue"/>
    <n v="0.02"/>
    <n v="0"/>
  </r>
  <r>
    <s v="VND-015"/>
    <s v="PowerGrid SA"/>
    <x v="4"/>
    <s v="North"/>
    <s v="INV-0482"/>
    <d v="2024-12-31T00:00:00"/>
    <d v="2025-01-30T00:00:00"/>
    <n v="30"/>
    <n v="25811.93"/>
    <n v="25811.93"/>
    <n v="0"/>
    <d v="2025-01-16T00:00:00"/>
    <n v="152"/>
    <n v="122"/>
    <s v="Paid"/>
    <n v="0"/>
    <n v="0"/>
  </r>
  <r>
    <s v="VND-015"/>
    <s v="PowerGrid SA"/>
    <x v="4"/>
    <s v="North"/>
    <s v="INV-0483"/>
    <d v="2025-04-23T00:00:00"/>
    <d v="2025-07-22T00:00:00"/>
    <n v="90"/>
    <n v="61550.42"/>
    <n v="0"/>
    <n v="61550.42"/>
    <m/>
    <n v="39"/>
    <n v="0"/>
    <s v="Pending"/>
    <n v="0.02"/>
    <n v="0"/>
  </r>
  <r>
    <s v="VND-015"/>
    <s v="PowerGrid SA"/>
    <x v="4"/>
    <s v="North"/>
    <s v="INV-0484"/>
    <d v="2025-04-23T00:00:00"/>
    <d v="2025-07-22T00:00:00"/>
    <n v="90"/>
    <n v="23614.12"/>
    <n v="0"/>
    <n v="23614.12"/>
    <m/>
    <n v="39"/>
    <n v="0"/>
    <s v="Pending"/>
    <n v="0.02"/>
    <n v="0"/>
  </r>
  <r>
    <s v="VND-015"/>
    <s v="PowerGrid SA"/>
    <x v="4"/>
    <s v="North"/>
    <s v="INV-0485"/>
    <d v="2025-02-18T00:00:00"/>
    <d v="2025-04-04T00:00:00"/>
    <n v="45"/>
    <n v="1724.93"/>
    <n v="1330.31"/>
    <n v="394.62"/>
    <d v="2025-03-29T00:00:00"/>
    <n v="103"/>
    <n v="58"/>
    <s v="Partial"/>
    <n v="0.01"/>
    <n v="0"/>
  </r>
  <r>
    <s v="VND-015"/>
    <s v="PowerGrid SA"/>
    <x v="4"/>
    <s v="North"/>
    <s v="INV-0486"/>
    <d v="2025-05-23T00:00:00"/>
    <d v="2025-07-07T00:00:00"/>
    <n v="45"/>
    <n v="1690.26"/>
    <n v="0"/>
    <n v="1690.26"/>
    <m/>
    <n v="9"/>
    <n v="0"/>
    <s v="Pending"/>
    <n v="2.5000000000000001E-2"/>
    <n v="0"/>
  </r>
  <r>
    <s v="VND-015"/>
    <s v="PowerGrid SA"/>
    <x v="4"/>
    <s v="North"/>
    <s v="INV-0487"/>
    <d v="2025-04-30T00:00:00"/>
    <d v="2025-06-14T00:00:00"/>
    <n v="45"/>
    <n v="57643.73"/>
    <n v="0"/>
    <n v="57643.73"/>
    <m/>
    <n v="32"/>
    <n v="0"/>
    <s v="Pending"/>
    <n v="0.02"/>
    <n v="0"/>
  </r>
  <r>
    <s v="VND-015"/>
    <s v="PowerGrid SA"/>
    <x v="4"/>
    <s v="North"/>
    <s v="INV-0488"/>
    <d v="2025-03-01T00:00:00"/>
    <d v="2025-03-16T00:00:00"/>
    <n v="15"/>
    <n v="43194.28"/>
    <n v="43194.28"/>
    <n v="0"/>
    <d v="2025-03-06T00:00:00"/>
    <n v="92"/>
    <n v="77"/>
    <s v="Paid"/>
    <n v="0"/>
    <n v="0"/>
  </r>
  <r>
    <s v="VND-015"/>
    <s v="PowerGrid SA"/>
    <x v="4"/>
    <s v="North"/>
    <s v="INV-0489"/>
    <d v="2025-05-18T00:00:00"/>
    <d v="2025-08-16T00:00:00"/>
    <n v="90"/>
    <n v="3689.99"/>
    <n v="0"/>
    <n v="3689.99"/>
    <m/>
    <n v="14"/>
    <n v="0"/>
    <s v="Pending"/>
    <n v="0.01"/>
    <n v="0"/>
  </r>
  <r>
    <s v="VND-015"/>
    <s v="PowerGrid SA"/>
    <x v="4"/>
    <s v="North"/>
    <s v="INV-0490"/>
    <d v="2025-03-14T00:00:00"/>
    <d v="2025-04-28T00:00:00"/>
    <n v="45"/>
    <n v="15961.54"/>
    <n v="15961.54"/>
    <n v="0"/>
    <d v="2025-05-02T00:00:00"/>
    <n v="79"/>
    <n v="34"/>
    <s v="Paid"/>
    <n v="0.02"/>
    <n v="0"/>
  </r>
  <r>
    <s v="VND-015"/>
    <s v="PowerGrid SA"/>
    <x v="4"/>
    <s v="North"/>
    <s v="INV-0491"/>
    <d v="2025-03-18T00:00:00"/>
    <d v="2025-04-17T00:00:00"/>
    <n v="30"/>
    <n v="6858.65"/>
    <n v="6858.65"/>
    <n v="0"/>
    <d v="2025-05-15T00:00:00"/>
    <n v="75"/>
    <n v="45"/>
    <s v="Paid"/>
    <n v="0.02"/>
    <n v="0"/>
  </r>
  <r>
    <s v="VND-015"/>
    <s v="PowerGrid SA"/>
    <x v="4"/>
    <s v="North"/>
    <s v="INV-0492"/>
    <d v="2025-04-14T00:00:00"/>
    <d v="2025-07-13T00:00:00"/>
    <n v="90"/>
    <n v="73166.259999999995"/>
    <n v="0"/>
    <n v="73166.259999999995"/>
    <m/>
    <n v="48"/>
    <n v="0"/>
    <s v="Pending"/>
    <n v="2.5000000000000001E-2"/>
    <n v="0"/>
  </r>
  <r>
    <s v="VND-015"/>
    <s v="PowerGrid SA"/>
    <x v="4"/>
    <s v="North"/>
    <s v="INV-0493"/>
    <d v="2025-04-30T00:00:00"/>
    <d v="2025-07-29T00:00:00"/>
    <n v="90"/>
    <n v="42474.16"/>
    <n v="0"/>
    <n v="42474.16"/>
    <m/>
    <n v="32"/>
    <n v="0"/>
    <s v="Pending"/>
    <n v="0.02"/>
    <n v="0"/>
  </r>
  <r>
    <s v="VND-015"/>
    <s v="PowerGrid SA"/>
    <x v="4"/>
    <s v="North"/>
    <s v="INV-0494"/>
    <d v="2025-04-14T00:00:00"/>
    <d v="2025-07-13T00:00:00"/>
    <n v="90"/>
    <n v="57588.18"/>
    <n v="0"/>
    <n v="57588.18"/>
    <m/>
    <n v="48"/>
    <n v="0"/>
    <s v="Pending"/>
    <n v="2.5000000000000001E-2"/>
    <n v="0"/>
  </r>
  <r>
    <s v="VND-015"/>
    <s v="PowerGrid SA"/>
    <x v="4"/>
    <s v="North"/>
    <s v="INV-0495"/>
    <d v="2025-03-04T00:00:00"/>
    <d v="2025-05-03T00:00:00"/>
    <n v="60"/>
    <n v="44196.99"/>
    <n v="44196.99"/>
    <n v="0"/>
    <d v="2025-05-06T00:00:00"/>
    <n v="89"/>
    <n v="29"/>
    <s v="Paid"/>
    <n v="0.01"/>
    <n v="0"/>
  </r>
  <r>
    <s v="VND-015"/>
    <s v="PowerGrid SA"/>
    <x v="4"/>
    <s v="North"/>
    <s v="INV-0496"/>
    <d v="2024-12-14T00:00:00"/>
    <d v="2025-03-14T00:00:00"/>
    <n v="90"/>
    <n v="29956.560000000001"/>
    <n v="29956.560000000001"/>
    <n v="0"/>
    <d v="2025-02-05T00:00:00"/>
    <n v="169"/>
    <n v="79"/>
    <s v="Paid"/>
    <n v="0"/>
    <n v="0"/>
  </r>
  <r>
    <s v="VND-015"/>
    <s v="PowerGrid SA"/>
    <x v="4"/>
    <s v="North"/>
    <s v="INV-0497"/>
    <d v="2025-01-16T00:00:00"/>
    <d v="2025-02-15T00:00:00"/>
    <n v="30"/>
    <n v="47490.39"/>
    <n v="47490.39"/>
    <n v="0"/>
    <d v="2025-01-24T00:00:00"/>
    <n v="136"/>
    <n v="106"/>
    <s v="Paid"/>
    <n v="0.02"/>
    <n v="949.81"/>
  </r>
  <r>
    <s v="VND-015"/>
    <s v="PowerGrid SA"/>
    <x v="4"/>
    <s v="North"/>
    <s v="INV-0498"/>
    <d v="2025-05-19T00:00:00"/>
    <d v="2025-07-18T00:00:00"/>
    <n v="60"/>
    <n v="66279.360000000001"/>
    <n v="0"/>
    <n v="66279.360000000001"/>
    <m/>
    <n v="13"/>
    <n v="0"/>
    <s v="Pending"/>
    <n v="2.5000000000000001E-2"/>
    <n v="0"/>
  </r>
  <r>
    <s v="VND-015"/>
    <s v="PowerGrid SA"/>
    <x v="4"/>
    <s v="North"/>
    <s v="INV-0499"/>
    <d v="2025-01-17T00:00:00"/>
    <d v="2025-03-03T00:00:00"/>
    <n v="45"/>
    <n v="33610.93"/>
    <n v="12019.08"/>
    <n v="21591.85"/>
    <d v="2025-05-04T00:00:00"/>
    <n v="135"/>
    <n v="90"/>
    <s v="Partial"/>
    <n v="2.5000000000000001E-2"/>
    <n v="0"/>
  </r>
  <r>
    <s v="VND-015"/>
    <s v="PowerGrid SA"/>
    <x v="4"/>
    <s v="North"/>
    <s v="INV-0500"/>
    <d v="2025-04-19T00:00:00"/>
    <d v="2025-06-18T00:00:00"/>
    <n v="60"/>
    <n v="9872.34"/>
    <n v="0"/>
    <n v="9872.34"/>
    <m/>
    <n v="43"/>
    <n v="0"/>
    <s v="Pending"/>
    <n v="0"/>
    <n v="0"/>
  </r>
  <r>
    <s v="VND-015"/>
    <s v="PowerGrid SA"/>
    <x v="4"/>
    <s v="North"/>
    <s v="INV-0501"/>
    <d v="2025-02-04T00:00:00"/>
    <d v="2025-04-05T00:00:00"/>
    <n v="60"/>
    <n v="12187.61"/>
    <n v="0"/>
    <n v="12187.61"/>
    <m/>
    <n v="117"/>
    <n v="57"/>
    <s v="Overdue"/>
    <n v="0.02"/>
    <n v="0"/>
  </r>
  <r>
    <s v="VND-015"/>
    <s v="PowerGrid SA"/>
    <x v="4"/>
    <s v="North"/>
    <s v="INV-0502"/>
    <d v="2025-05-09T00:00:00"/>
    <d v="2025-06-08T00:00:00"/>
    <n v="30"/>
    <n v="56637.05"/>
    <n v="0"/>
    <n v="56637.05"/>
    <m/>
    <n v="23"/>
    <n v="0"/>
    <s v="Pending"/>
    <n v="0.01"/>
    <n v="0"/>
  </r>
  <r>
    <s v="VND-015"/>
    <s v="PowerGrid SA"/>
    <x v="4"/>
    <s v="North"/>
    <s v="INV-0503"/>
    <d v="2025-01-19T00:00:00"/>
    <d v="2025-03-05T00:00:00"/>
    <n v="45"/>
    <n v="35746.589999999997"/>
    <n v="35746.589999999997"/>
    <n v="0"/>
    <d v="2025-03-15T00:00:00"/>
    <n v="133"/>
    <n v="88"/>
    <s v="Paid"/>
    <n v="2.5000000000000001E-2"/>
    <n v="0"/>
  </r>
  <r>
    <s v="VND-015"/>
    <s v="PowerGrid SA"/>
    <x v="4"/>
    <s v="North"/>
    <s v="INV-0504"/>
    <d v="2024-12-31T00:00:00"/>
    <d v="2025-03-01T00:00:00"/>
    <n v="60"/>
    <n v="60118.22"/>
    <n v="39724.07"/>
    <n v="20394.150000000001"/>
    <d v="2025-02-26T00:00:00"/>
    <n v="152"/>
    <n v="92"/>
    <s v="Partial"/>
    <n v="0.02"/>
    <n v="0"/>
  </r>
  <r>
    <s v="VND-015"/>
    <s v="PowerGrid SA"/>
    <x v="4"/>
    <s v="North"/>
    <s v="INV-0505"/>
    <d v="2025-01-11T00:00:00"/>
    <d v="2025-03-12T00:00:00"/>
    <n v="60"/>
    <n v="18944.43"/>
    <n v="18944.43"/>
    <n v="0"/>
    <d v="2025-03-16T00:00:00"/>
    <n v="141"/>
    <n v="81"/>
    <s v="Paid"/>
    <n v="2.5000000000000001E-2"/>
    <n v="0"/>
  </r>
  <r>
    <s v="VND-015"/>
    <s v="PowerGrid SA"/>
    <x v="4"/>
    <s v="North"/>
    <s v="INV-0506"/>
    <d v="2025-04-16T00:00:00"/>
    <d v="2025-06-15T00:00:00"/>
    <n v="60"/>
    <n v="35170.78"/>
    <n v="0"/>
    <n v="35170.78"/>
    <m/>
    <n v="46"/>
    <n v="0"/>
    <s v="Pending"/>
    <n v="0.02"/>
    <n v="0"/>
  </r>
  <r>
    <s v="VND-015"/>
    <s v="PowerGrid SA"/>
    <x v="4"/>
    <s v="North"/>
    <s v="INV-0507"/>
    <d v="2025-04-04T00:00:00"/>
    <d v="2025-05-19T00:00:00"/>
    <n v="45"/>
    <n v="58316.86"/>
    <n v="58316.86"/>
    <n v="0"/>
    <d v="2025-06-06T00:00:00"/>
    <n v="58"/>
    <n v="13"/>
    <s v="Paid"/>
    <n v="0.01"/>
    <n v="0"/>
  </r>
  <r>
    <s v="VND-015"/>
    <s v="PowerGrid SA"/>
    <x v="4"/>
    <s v="North"/>
    <s v="INV-0508"/>
    <d v="2025-02-12T00:00:00"/>
    <d v="2025-02-27T00:00:00"/>
    <n v="15"/>
    <n v="18272.82"/>
    <n v="18272.82"/>
    <n v="0"/>
    <d v="2025-02-18T00:00:00"/>
    <n v="109"/>
    <n v="94"/>
    <s v="Paid"/>
    <n v="0"/>
    <n v="0"/>
  </r>
  <r>
    <s v="VND-015"/>
    <s v="PowerGrid SA"/>
    <x v="4"/>
    <s v="North"/>
    <s v="INV-0509"/>
    <d v="2024-12-16T00:00:00"/>
    <d v="2025-01-15T00:00:00"/>
    <n v="30"/>
    <n v="35184.6"/>
    <n v="11827.4"/>
    <n v="23357.200000000001"/>
    <d v="2025-02-20T00:00:00"/>
    <n v="167"/>
    <n v="137"/>
    <s v="Partial"/>
    <n v="2.5000000000000001E-2"/>
    <n v="0"/>
  </r>
  <r>
    <s v="VND-015"/>
    <s v="PowerGrid SA"/>
    <x v="4"/>
    <s v="North"/>
    <s v="INV-0510"/>
    <d v="2025-01-23T00:00:00"/>
    <d v="2025-02-07T00:00:00"/>
    <n v="15"/>
    <n v="32296.9"/>
    <n v="23079.01"/>
    <n v="9217.89"/>
    <d v="2025-05-28T00:00:00"/>
    <n v="129"/>
    <n v="114"/>
    <s v="Partial"/>
    <n v="0"/>
    <n v="0"/>
  </r>
  <r>
    <s v="VND-015"/>
    <s v="PowerGrid SA"/>
    <x v="4"/>
    <s v="North"/>
    <s v="INV-0511"/>
    <d v="2025-05-20T00:00:00"/>
    <d v="2025-06-19T00:00:00"/>
    <n v="30"/>
    <n v="42513.62"/>
    <n v="0"/>
    <n v="42513.62"/>
    <m/>
    <n v="12"/>
    <n v="0"/>
    <s v="Pending"/>
    <n v="0.02"/>
    <n v="0"/>
  </r>
  <r>
    <s v="VND-015"/>
    <s v="PowerGrid SA"/>
    <x v="4"/>
    <s v="North"/>
    <s v="INV-0512"/>
    <d v="2025-03-05T00:00:00"/>
    <d v="2025-06-03T00:00:00"/>
    <n v="90"/>
    <n v="71387.8"/>
    <n v="0"/>
    <n v="71387.8"/>
    <m/>
    <n v="88"/>
    <n v="0"/>
    <s v="Pending"/>
    <n v="0"/>
    <n v="0"/>
  </r>
  <r>
    <s v="VND-015"/>
    <s v="PowerGrid SA"/>
    <x v="4"/>
    <s v="North"/>
    <s v="INV-0513"/>
    <d v="2025-02-15T00:00:00"/>
    <d v="2025-03-17T00:00:00"/>
    <n v="30"/>
    <n v="17911.03"/>
    <n v="17911.03"/>
    <n v="0"/>
    <d v="2025-03-19T00:00:00"/>
    <n v="106"/>
    <n v="76"/>
    <s v="Paid"/>
    <n v="0.02"/>
    <n v="0"/>
  </r>
  <r>
    <s v="VND-015"/>
    <s v="PowerGrid SA"/>
    <x v="4"/>
    <s v="North"/>
    <s v="INV-0514"/>
    <d v="2025-03-12T00:00:00"/>
    <d v="2025-04-11T00:00:00"/>
    <n v="30"/>
    <n v="79828.72"/>
    <n v="79828.72"/>
    <n v="0"/>
    <d v="2025-03-23T00:00:00"/>
    <n v="81"/>
    <n v="51"/>
    <s v="Paid"/>
    <n v="0"/>
    <n v="0"/>
  </r>
  <r>
    <s v="VND-016"/>
    <s v="MetalWorks Corp"/>
    <x v="0"/>
    <s v="East"/>
    <s v="INV-0515"/>
    <d v="2024-12-27T00:00:00"/>
    <d v="2025-03-27T00:00:00"/>
    <n v="90"/>
    <n v="10660.83"/>
    <n v="8219.9500000000007"/>
    <n v="2440.88"/>
    <d v="2025-01-27T00:00:00"/>
    <n v="156"/>
    <n v="66"/>
    <s v="Partial"/>
    <n v="0"/>
    <n v="0"/>
  </r>
  <r>
    <s v="VND-016"/>
    <s v="MetalWorks Corp"/>
    <x v="0"/>
    <s v="East"/>
    <s v="INV-0516"/>
    <d v="2025-04-28T00:00:00"/>
    <d v="2025-05-13T00:00:00"/>
    <n v="15"/>
    <n v="60297.89"/>
    <n v="0"/>
    <n v="60297.89"/>
    <m/>
    <n v="34"/>
    <n v="19"/>
    <s v="Overdue"/>
    <n v="0"/>
    <n v="0"/>
  </r>
  <r>
    <s v="VND-016"/>
    <s v="MetalWorks Corp"/>
    <x v="0"/>
    <s v="East"/>
    <s v="INV-0517"/>
    <d v="2025-03-09T00:00:00"/>
    <d v="2025-05-08T00:00:00"/>
    <n v="60"/>
    <n v="41191.980000000003"/>
    <n v="41191.980000000003"/>
    <n v="0"/>
    <d v="2025-03-13T00:00:00"/>
    <n v="84"/>
    <n v="24"/>
    <s v="Paid"/>
    <n v="0.01"/>
    <n v="411.92"/>
  </r>
  <r>
    <s v="VND-016"/>
    <s v="MetalWorks Corp"/>
    <x v="0"/>
    <s v="East"/>
    <s v="INV-0518"/>
    <d v="2025-01-26T00:00:00"/>
    <d v="2025-04-26T00:00:00"/>
    <n v="90"/>
    <n v="37009.879999999997"/>
    <n v="37009.879999999997"/>
    <n v="0"/>
    <d v="2025-02-02T00:00:00"/>
    <n v="126"/>
    <n v="36"/>
    <s v="Paid"/>
    <n v="0"/>
    <n v="0"/>
  </r>
  <r>
    <s v="VND-016"/>
    <s v="MetalWorks Corp"/>
    <x v="0"/>
    <s v="East"/>
    <s v="INV-0519"/>
    <d v="2025-03-18T00:00:00"/>
    <d v="2025-04-17T00:00:00"/>
    <n v="30"/>
    <n v="21670.799999999999"/>
    <n v="10949.92"/>
    <n v="10720.88"/>
    <d v="2025-05-29T00:00:00"/>
    <n v="75"/>
    <n v="45"/>
    <s v="Partial"/>
    <n v="0"/>
    <n v="0"/>
  </r>
  <r>
    <s v="VND-016"/>
    <s v="MetalWorks Corp"/>
    <x v="0"/>
    <s v="East"/>
    <s v="INV-0520"/>
    <d v="2024-12-25T00:00:00"/>
    <d v="2025-01-09T00:00:00"/>
    <n v="15"/>
    <n v="26883.39"/>
    <n v="26883.39"/>
    <n v="0"/>
    <d v="2024-12-26T00:00:00"/>
    <n v="158"/>
    <n v="143"/>
    <s v="Paid"/>
    <n v="2.5000000000000001E-2"/>
    <n v="672.08"/>
  </r>
  <r>
    <s v="VND-016"/>
    <s v="MetalWorks Corp"/>
    <x v="0"/>
    <s v="East"/>
    <s v="INV-0521"/>
    <d v="2025-01-26T00:00:00"/>
    <d v="2025-03-27T00:00:00"/>
    <n v="60"/>
    <n v="51284.06"/>
    <n v="51284.06"/>
    <n v="0"/>
    <d v="2025-03-04T00:00:00"/>
    <n v="126"/>
    <n v="66"/>
    <s v="Paid"/>
    <n v="0.02"/>
    <n v="1025.68"/>
  </r>
  <r>
    <s v="VND-016"/>
    <s v="MetalWorks Corp"/>
    <x v="0"/>
    <s v="East"/>
    <s v="INV-0522"/>
    <d v="2025-03-22T00:00:00"/>
    <d v="2025-04-06T00:00:00"/>
    <n v="15"/>
    <n v="13253.32"/>
    <n v="3925.8"/>
    <n v="9327.52"/>
    <d v="2025-05-25T00:00:00"/>
    <n v="71"/>
    <n v="56"/>
    <s v="Partial"/>
    <n v="0.02"/>
    <n v="0"/>
  </r>
  <r>
    <s v="VND-016"/>
    <s v="MetalWorks Corp"/>
    <x v="0"/>
    <s v="East"/>
    <s v="INV-0523"/>
    <d v="2025-05-11T00:00:00"/>
    <d v="2025-05-26T00:00:00"/>
    <n v="15"/>
    <n v="36172.68"/>
    <n v="36172.68"/>
    <n v="0"/>
    <d v="2025-06-10T00:00:00"/>
    <n v="21"/>
    <n v="6"/>
    <s v="Paid"/>
    <n v="0.01"/>
    <n v="0"/>
  </r>
  <r>
    <s v="VND-016"/>
    <s v="MetalWorks Corp"/>
    <x v="0"/>
    <s v="East"/>
    <s v="INV-0524"/>
    <d v="2024-12-08T00:00:00"/>
    <d v="2025-01-07T00:00:00"/>
    <n v="30"/>
    <n v="55070.52"/>
    <n v="55070.52"/>
    <n v="0"/>
    <d v="2025-01-11T00:00:00"/>
    <n v="175"/>
    <n v="145"/>
    <s v="Paid"/>
    <n v="0.02"/>
    <n v="0"/>
  </r>
  <r>
    <s v="VND-016"/>
    <s v="MetalWorks Corp"/>
    <x v="0"/>
    <s v="East"/>
    <s v="INV-0525"/>
    <d v="2025-04-19T00:00:00"/>
    <d v="2025-07-18T00:00:00"/>
    <n v="90"/>
    <n v="20019.28"/>
    <n v="0"/>
    <n v="20019.28"/>
    <m/>
    <n v="43"/>
    <n v="0"/>
    <s v="Pending"/>
    <n v="0"/>
    <n v="0"/>
  </r>
  <r>
    <s v="VND-016"/>
    <s v="MetalWorks Corp"/>
    <x v="0"/>
    <s v="East"/>
    <s v="INV-0526"/>
    <d v="2025-02-10T00:00:00"/>
    <d v="2025-05-11T00:00:00"/>
    <n v="90"/>
    <n v="60544.74"/>
    <n v="60544.74"/>
    <n v="0"/>
    <d v="2025-02-17T00:00:00"/>
    <n v="111"/>
    <n v="21"/>
    <s v="Paid"/>
    <n v="2.5000000000000001E-2"/>
    <n v="1513.62"/>
  </r>
  <r>
    <s v="VND-016"/>
    <s v="MetalWorks Corp"/>
    <x v="0"/>
    <s v="East"/>
    <s v="INV-0527"/>
    <d v="2025-01-16T00:00:00"/>
    <d v="2025-03-17T00:00:00"/>
    <n v="60"/>
    <n v="57875.57"/>
    <n v="57875.57"/>
    <n v="0"/>
    <d v="2025-03-04T00:00:00"/>
    <n v="136"/>
    <n v="76"/>
    <s v="Paid"/>
    <n v="2.5000000000000001E-2"/>
    <n v="1446.89"/>
  </r>
  <r>
    <s v="VND-016"/>
    <s v="MetalWorks Corp"/>
    <x v="0"/>
    <s v="East"/>
    <s v="INV-0528"/>
    <d v="2025-04-06T00:00:00"/>
    <d v="2025-07-05T00:00:00"/>
    <n v="90"/>
    <n v="12044.05"/>
    <n v="0"/>
    <n v="12044.05"/>
    <m/>
    <n v="56"/>
    <n v="0"/>
    <s v="Pending"/>
    <n v="2.5000000000000001E-2"/>
    <n v="0"/>
  </r>
  <r>
    <s v="VND-016"/>
    <s v="MetalWorks Corp"/>
    <x v="0"/>
    <s v="East"/>
    <s v="INV-0529"/>
    <d v="2025-03-21T00:00:00"/>
    <d v="2025-04-20T00:00:00"/>
    <n v="30"/>
    <n v="40284.65"/>
    <n v="40284.65"/>
    <n v="0"/>
    <d v="2025-04-19T00:00:00"/>
    <n v="72"/>
    <n v="42"/>
    <s v="Paid"/>
    <n v="0"/>
    <n v="0"/>
  </r>
  <r>
    <s v="VND-016"/>
    <s v="MetalWorks Corp"/>
    <x v="0"/>
    <s v="East"/>
    <s v="INV-0530"/>
    <d v="2024-12-16T00:00:00"/>
    <d v="2025-03-16T00:00:00"/>
    <n v="90"/>
    <n v="45393.11"/>
    <n v="0"/>
    <n v="45393.11"/>
    <m/>
    <n v="167"/>
    <n v="77"/>
    <s v="Overdue"/>
    <n v="0"/>
    <n v="0"/>
  </r>
  <r>
    <s v="VND-016"/>
    <s v="MetalWorks Corp"/>
    <x v="0"/>
    <s v="East"/>
    <s v="INV-0531"/>
    <d v="2025-03-29T00:00:00"/>
    <d v="2025-05-13T00:00:00"/>
    <n v="45"/>
    <n v="32522.61"/>
    <n v="32522.61"/>
    <n v="0"/>
    <d v="2025-04-01T00:00:00"/>
    <n v="64"/>
    <n v="19"/>
    <s v="Paid"/>
    <n v="0.01"/>
    <n v="325.23"/>
  </r>
  <r>
    <s v="VND-016"/>
    <s v="MetalWorks Corp"/>
    <x v="0"/>
    <s v="East"/>
    <s v="INV-0532"/>
    <d v="2025-02-23T00:00:00"/>
    <d v="2025-03-25T00:00:00"/>
    <n v="30"/>
    <n v="25726.13"/>
    <n v="25726.13"/>
    <n v="0"/>
    <d v="2025-02-28T00:00:00"/>
    <n v="98"/>
    <n v="68"/>
    <s v="Paid"/>
    <n v="0.02"/>
    <n v="514.52"/>
  </r>
  <r>
    <s v="VND-016"/>
    <s v="MetalWorks Corp"/>
    <x v="0"/>
    <s v="East"/>
    <s v="INV-0533"/>
    <d v="2024-12-20T00:00:00"/>
    <d v="2025-02-18T00:00:00"/>
    <n v="60"/>
    <n v="79751.11"/>
    <n v="79751.11"/>
    <n v="0"/>
    <d v="2025-03-18T00:00:00"/>
    <n v="163"/>
    <n v="103"/>
    <s v="Paid"/>
    <n v="0.02"/>
    <n v="0"/>
  </r>
  <r>
    <s v="VND-016"/>
    <s v="MetalWorks Corp"/>
    <x v="0"/>
    <s v="East"/>
    <s v="INV-0534"/>
    <d v="2025-03-04T00:00:00"/>
    <d v="2025-06-02T00:00:00"/>
    <n v="90"/>
    <n v="17743.97"/>
    <n v="0"/>
    <n v="17743.97"/>
    <m/>
    <n v="89"/>
    <n v="0"/>
    <s v="Pending"/>
    <n v="2.5000000000000001E-2"/>
    <n v="0"/>
  </r>
  <r>
    <s v="VND-016"/>
    <s v="MetalWorks Corp"/>
    <x v="0"/>
    <s v="East"/>
    <s v="INV-0535"/>
    <d v="2025-05-04T00:00:00"/>
    <d v="2025-08-02T00:00:00"/>
    <n v="90"/>
    <n v="78068.13"/>
    <n v="0"/>
    <n v="78068.13"/>
    <m/>
    <n v="28"/>
    <n v="0"/>
    <s v="Pending"/>
    <n v="0.01"/>
    <n v="0"/>
  </r>
  <r>
    <s v="VND-016"/>
    <s v="MetalWorks Corp"/>
    <x v="0"/>
    <s v="East"/>
    <s v="INV-0536"/>
    <d v="2025-02-17T00:00:00"/>
    <d v="2025-03-04T00:00:00"/>
    <n v="15"/>
    <n v="26042.47"/>
    <n v="15952.05"/>
    <n v="10090.42"/>
    <d v="2025-03-29T00:00:00"/>
    <n v="104"/>
    <n v="89"/>
    <s v="Partial"/>
    <n v="0.02"/>
    <n v="0"/>
  </r>
  <r>
    <s v="VND-016"/>
    <s v="MetalWorks Corp"/>
    <x v="0"/>
    <s v="East"/>
    <s v="INV-0537"/>
    <d v="2025-03-24T00:00:00"/>
    <d v="2025-05-23T00:00:00"/>
    <n v="60"/>
    <n v="74434.77"/>
    <n v="74434.77"/>
    <n v="0"/>
    <d v="2025-03-30T00:00:00"/>
    <n v="69"/>
    <n v="9"/>
    <s v="Paid"/>
    <n v="0.02"/>
    <n v="1488.7"/>
  </r>
  <r>
    <s v="VND-016"/>
    <s v="MetalWorks Corp"/>
    <x v="0"/>
    <s v="East"/>
    <s v="INV-0538"/>
    <d v="2025-04-13T00:00:00"/>
    <d v="2025-05-28T00:00:00"/>
    <n v="45"/>
    <n v="21884.11"/>
    <n v="21884.11"/>
    <n v="0"/>
    <d v="2025-06-13T00:00:00"/>
    <n v="49"/>
    <n v="4"/>
    <s v="Paid"/>
    <n v="0.02"/>
    <n v="0"/>
  </r>
  <r>
    <s v="VND-016"/>
    <s v="MetalWorks Corp"/>
    <x v="0"/>
    <s v="East"/>
    <s v="INV-0539"/>
    <d v="2025-03-29T00:00:00"/>
    <d v="2025-05-13T00:00:00"/>
    <n v="45"/>
    <n v="62057.98"/>
    <n v="62057.98"/>
    <n v="0"/>
    <d v="2025-04-21T00:00:00"/>
    <n v="64"/>
    <n v="19"/>
    <s v="Paid"/>
    <n v="0.02"/>
    <n v="1241.1600000000001"/>
  </r>
  <r>
    <s v="VND-016"/>
    <s v="MetalWorks Corp"/>
    <x v="0"/>
    <s v="East"/>
    <s v="INV-0540"/>
    <d v="2025-01-23T00:00:00"/>
    <d v="2025-02-22T00:00:00"/>
    <n v="30"/>
    <n v="50405.91"/>
    <n v="50405.91"/>
    <n v="0"/>
    <d v="2025-02-18T00:00:00"/>
    <n v="129"/>
    <n v="99"/>
    <s v="Paid"/>
    <n v="2.5000000000000001E-2"/>
    <n v="0"/>
  </r>
  <r>
    <s v="VND-016"/>
    <s v="MetalWorks Corp"/>
    <x v="0"/>
    <s v="East"/>
    <s v="INV-0541"/>
    <d v="2025-03-14T00:00:00"/>
    <d v="2025-04-28T00:00:00"/>
    <n v="45"/>
    <n v="7504.65"/>
    <n v="7504.65"/>
    <n v="0"/>
    <d v="2025-03-16T00:00:00"/>
    <n v="79"/>
    <n v="34"/>
    <s v="Paid"/>
    <n v="2.5000000000000001E-2"/>
    <n v="187.62"/>
  </r>
  <r>
    <s v="VND-016"/>
    <s v="MetalWorks Corp"/>
    <x v="0"/>
    <s v="East"/>
    <s v="INV-0542"/>
    <d v="2025-01-26T00:00:00"/>
    <d v="2025-03-12T00:00:00"/>
    <n v="45"/>
    <n v="45493.06"/>
    <n v="14041.58"/>
    <n v="31451.48"/>
    <d v="2025-03-29T00:00:00"/>
    <n v="126"/>
    <n v="81"/>
    <s v="Partial"/>
    <n v="0.01"/>
    <n v="0"/>
  </r>
  <r>
    <s v="VND-016"/>
    <s v="MetalWorks Corp"/>
    <x v="0"/>
    <s v="East"/>
    <s v="INV-0543"/>
    <d v="2025-05-19T00:00:00"/>
    <d v="2025-08-17T00:00:00"/>
    <n v="90"/>
    <n v="16456.98"/>
    <n v="0"/>
    <n v="16456.98"/>
    <m/>
    <n v="13"/>
    <n v="0"/>
    <s v="Pending"/>
    <n v="2.5000000000000001E-2"/>
    <n v="0"/>
  </r>
  <r>
    <s v="VND-016"/>
    <s v="MetalWorks Corp"/>
    <x v="0"/>
    <s v="East"/>
    <s v="INV-0544"/>
    <d v="2025-05-25T00:00:00"/>
    <d v="2025-08-23T00:00:00"/>
    <n v="90"/>
    <n v="35058.449999999997"/>
    <n v="0"/>
    <n v="35058.449999999997"/>
    <m/>
    <n v="7"/>
    <n v="0"/>
    <s v="Pending"/>
    <n v="0"/>
    <n v="0"/>
  </r>
  <r>
    <s v="VND-016"/>
    <s v="MetalWorks Corp"/>
    <x v="0"/>
    <s v="East"/>
    <s v="INV-0545"/>
    <d v="2024-12-20T00:00:00"/>
    <d v="2025-01-19T00:00:00"/>
    <n v="30"/>
    <n v="30099.63"/>
    <n v="30099.63"/>
    <n v="0"/>
    <d v="2025-01-24T00:00:00"/>
    <n v="163"/>
    <n v="133"/>
    <s v="Paid"/>
    <n v="0.02"/>
    <n v="0"/>
  </r>
  <r>
    <s v="VND-016"/>
    <s v="MetalWorks Corp"/>
    <x v="0"/>
    <s v="East"/>
    <s v="INV-0546"/>
    <d v="2025-04-23T00:00:00"/>
    <d v="2025-06-22T00:00:00"/>
    <n v="60"/>
    <n v="14262.38"/>
    <n v="0"/>
    <n v="14262.38"/>
    <m/>
    <n v="39"/>
    <n v="0"/>
    <s v="Pending"/>
    <n v="0"/>
    <n v="0"/>
  </r>
  <r>
    <s v="VND-016"/>
    <s v="MetalWorks Corp"/>
    <x v="0"/>
    <s v="East"/>
    <s v="INV-0547"/>
    <d v="2025-05-25T00:00:00"/>
    <d v="2025-07-24T00:00:00"/>
    <n v="60"/>
    <n v="73290.16"/>
    <n v="0"/>
    <n v="73290.16"/>
    <m/>
    <n v="7"/>
    <n v="0"/>
    <s v="Pending"/>
    <n v="0"/>
    <n v="0"/>
  </r>
  <r>
    <s v="VND-016"/>
    <s v="MetalWorks Corp"/>
    <x v="0"/>
    <s v="East"/>
    <s v="INV-0548"/>
    <d v="2025-02-27T00:00:00"/>
    <d v="2025-04-28T00:00:00"/>
    <n v="60"/>
    <n v="42145.72"/>
    <n v="17158.62"/>
    <n v="24987.1"/>
    <d v="2025-03-27T00:00:00"/>
    <n v="94"/>
    <n v="34"/>
    <s v="Partial"/>
    <n v="2.5000000000000001E-2"/>
    <n v="0"/>
  </r>
  <r>
    <s v="VND-016"/>
    <s v="MetalWorks Corp"/>
    <x v="0"/>
    <s v="East"/>
    <s v="INV-0549"/>
    <d v="2024-12-16T00:00:00"/>
    <d v="2025-02-14T00:00:00"/>
    <n v="60"/>
    <n v="49179.26"/>
    <n v="5368.67"/>
    <n v="43810.59"/>
    <d v="2025-01-14T00:00:00"/>
    <n v="167"/>
    <n v="107"/>
    <s v="Partial"/>
    <n v="0"/>
    <n v="0"/>
  </r>
  <r>
    <s v="VND-016"/>
    <s v="MetalWorks Corp"/>
    <x v="0"/>
    <s v="East"/>
    <s v="INV-0550"/>
    <d v="2025-02-18T00:00:00"/>
    <d v="2025-04-04T00:00:00"/>
    <n v="45"/>
    <n v="59754.15"/>
    <n v="0"/>
    <n v="59754.15"/>
    <m/>
    <n v="103"/>
    <n v="58"/>
    <s v="Overdue"/>
    <n v="2.5000000000000001E-2"/>
    <n v="0"/>
  </r>
  <r>
    <s v="VND-016"/>
    <s v="MetalWorks Corp"/>
    <x v="0"/>
    <s v="East"/>
    <s v="INV-0551"/>
    <d v="2025-04-10T00:00:00"/>
    <d v="2025-06-09T00:00:00"/>
    <n v="60"/>
    <n v="2104.3000000000002"/>
    <n v="0"/>
    <n v="2104.3000000000002"/>
    <m/>
    <n v="52"/>
    <n v="0"/>
    <s v="Pending"/>
    <n v="2.5000000000000001E-2"/>
    <n v="0"/>
  </r>
  <r>
    <s v="VND-016"/>
    <s v="MetalWorks Corp"/>
    <x v="0"/>
    <s v="East"/>
    <s v="INV-0552"/>
    <d v="2025-04-03T00:00:00"/>
    <d v="2025-04-18T00:00:00"/>
    <n v="15"/>
    <n v="21019.43"/>
    <n v="21019.43"/>
    <n v="0"/>
    <d v="2025-04-16T00:00:00"/>
    <n v="59"/>
    <n v="44"/>
    <s v="Paid"/>
    <n v="0.01"/>
    <n v="0"/>
  </r>
  <r>
    <s v="VND-016"/>
    <s v="MetalWorks Corp"/>
    <x v="0"/>
    <s v="East"/>
    <s v="INV-0553"/>
    <d v="2025-03-30T00:00:00"/>
    <d v="2025-06-28T00:00:00"/>
    <n v="90"/>
    <n v="45468.34"/>
    <n v="0"/>
    <n v="45468.34"/>
    <m/>
    <n v="63"/>
    <n v="0"/>
    <s v="Pending"/>
    <n v="0"/>
    <n v="0"/>
  </r>
  <r>
    <s v="VND-016"/>
    <s v="MetalWorks Corp"/>
    <x v="0"/>
    <s v="East"/>
    <s v="INV-0554"/>
    <d v="2024-12-13T00:00:00"/>
    <d v="2024-12-28T00:00:00"/>
    <n v="15"/>
    <n v="71987.87"/>
    <n v="71987.87"/>
    <n v="0"/>
    <d v="2024-12-22T00:00:00"/>
    <n v="170"/>
    <n v="155"/>
    <s v="Paid"/>
    <n v="0.01"/>
    <n v="719.88"/>
  </r>
  <r>
    <s v="VND-016"/>
    <s v="MetalWorks Corp"/>
    <x v="0"/>
    <s v="East"/>
    <s v="INV-0555"/>
    <d v="2024-12-10T00:00:00"/>
    <d v="2025-01-24T00:00:00"/>
    <n v="45"/>
    <n v="69254.25"/>
    <n v="69254.25"/>
    <n v="0"/>
    <d v="2025-01-30T00:00:00"/>
    <n v="173"/>
    <n v="128"/>
    <s v="Paid"/>
    <n v="0.01"/>
    <n v="0"/>
  </r>
  <r>
    <s v="VND-016"/>
    <s v="MetalWorks Corp"/>
    <x v="0"/>
    <s v="East"/>
    <s v="INV-0556"/>
    <d v="2025-03-01T00:00:00"/>
    <d v="2025-03-31T00:00:00"/>
    <n v="30"/>
    <n v="59409.77"/>
    <n v="59409.77"/>
    <n v="0"/>
    <d v="2025-03-17T00:00:00"/>
    <n v="92"/>
    <n v="62"/>
    <s v="Paid"/>
    <n v="0"/>
    <n v="0"/>
  </r>
  <r>
    <s v="VND-016"/>
    <s v="MetalWorks Corp"/>
    <x v="0"/>
    <s v="East"/>
    <s v="INV-0557"/>
    <d v="2025-01-08T00:00:00"/>
    <d v="2025-02-22T00:00:00"/>
    <n v="45"/>
    <n v="34149.25"/>
    <n v="34149.25"/>
    <n v="0"/>
    <d v="2025-02-24T00:00:00"/>
    <n v="144"/>
    <n v="99"/>
    <s v="Paid"/>
    <n v="0.02"/>
    <n v="0"/>
  </r>
  <r>
    <s v="VND-017"/>
    <s v="NetSystems Ltd"/>
    <x v="1"/>
    <s v="North"/>
    <s v="INV-0558"/>
    <d v="2024-12-29T00:00:00"/>
    <d v="2025-01-28T00:00:00"/>
    <n v="30"/>
    <n v="31864.44"/>
    <n v="31864.44"/>
    <n v="0"/>
    <d v="2025-01-21T00:00:00"/>
    <n v="154"/>
    <n v="124"/>
    <s v="Paid"/>
    <n v="0"/>
    <n v="0"/>
  </r>
  <r>
    <s v="VND-017"/>
    <s v="NetSystems Ltd"/>
    <x v="1"/>
    <s v="North"/>
    <s v="INV-0559"/>
    <d v="2024-12-09T00:00:00"/>
    <d v="2025-03-09T00:00:00"/>
    <n v="90"/>
    <n v="71864.03"/>
    <n v="40604.99"/>
    <n v="31259.040000000001"/>
    <d v="2025-01-15T00:00:00"/>
    <n v="174"/>
    <n v="84"/>
    <s v="Partial"/>
    <n v="0.01"/>
    <n v="0"/>
  </r>
  <r>
    <s v="VND-017"/>
    <s v="NetSystems Ltd"/>
    <x v="1"/>
    <s v="North"/>
    <s v="INV-0560"/>
    <d v="2025-03-31T00:00:00"/>
    <d v="2025-05-30T00:00:00"/>
    <n v="60"/>
    <n v="22723.78"/>
    <n v="8071.9"/>
    <n v="14651.88"/>
    <d v="2025-04-17T00:00:00"/>
    <n v="62"/>
    <n v="2"/>
    <s v="Partial"/>
    <n v="0"/>
    <n v="0"/>
  </r>
  <r>
    <s v="VND-017"/>
    <s v="NetSystems Ltd"/>
    <x v="1"/>
    <s v="North"/>
    <s v="INV-0561"/>
    <d v="2025-04-14T00:00:00"/>
    <d v="2025-06-13T00:00:00"/>
    <n v="60"/>
    <n v="56932.2"/>
    <n v="0"/>
    <n v="56932.2"/>
    <m/>
    <n v="48"/>
    <n v="0"/>
    <s v="Pending"/>
    <n v="0.01"/>
    <n v="0"/>
  </r>
  <r>
    <s v="VND-017"/>
    <s v="NetSystems Ltd"/>
    <x v="1"/>
    <s v="North"/>
    <s v="INV-0562"/>
    <d v="2025-03-26T00:00:00"/>
    <d v="2025-04-25T00:00:00"/>
    <n v="30"/>
    <n v="5740.69"/>
    <n v="5740.69"/>
    <n v="0"/>
    <d v="2025-05-06T00:00:00"/>
    <n v="67"/>
    <n v="37"/>
    <s v="Paid"/>
    <n v="0.02"/>
    <n v="0"/>
  </r>
  <r>
    <s v="VND-017"/>
    <s v="NetSystems Ltd"/>
    <x v="1"/>
    <s v="North"/>
    <s v="INV-0563"/>
    <d v="2025-05-12T00:00:00"/>
    <d v="2025-08-10T00:00:00"/>
    <n v="90"/>
    <n v="76792.929999999993"/>
    <n v="0"/>
    <n v="76792.929999999993"/>
    <m/>
    <n v="20"/>
    <n v="0"/>
    <s v="Pending"/>
    <n v="0.01"/>
    <n v="0"/>
  </r>
  <r>
    <s v="VND-017"/>
    <s v="NetSystems Ltd"/>
    <x v="1"/>
    <s v="North"/>
    <s v="INV-0564"/>
    <d v="2025-01-23T00:00:00"/>
    <d v="2025-03-24T00:00:00"/>
    <n v="60"/>
    <n v="29654.71"/>
    <n v="29654.71"/>
    <n v="0"/>
    <d v="2025-03-02T00:00:00"/>
    <n v="129"/>
    <n v="69"/>
    <s v="Paid"/>
    <n v="0.02"/>
    <n v="593.09"/>
  </r>
  <r>
    <s v="VND-017"/>
    <s v="NetSystems Ltd"/>
    <x v="1"/>
    <s v="North"/>
    <s v="INV-0565"/>
    <d v="2025-02-21T00:00:00"/>
    <d v="2025-03-08T00:00:00"/>
    <n v="15"/>
    <n v="71549.7"/>
    <n v="71549.7"/>
    <n v="0"/>
    <d v="2025-03-23T00:00:00"/>
    <n v="100"/>
    <n v="85"/>
    <s v="Paid"/>
    <n v="0.01"/>
    <n v="0"/>
  </r>
  <r>
    <s v="VND-017"/>
    <s v="NetSystems Ltd"/>
    <x v="1"/>
    <s v="North"/>
    <s v="INV-0566"/>
    <d v="2025-02-01T00:00:00"/>
    <d v="2025-04-02T00:00:00"/>
    <n v="60"/>
    <n v="38978.93"/>
    <n v="0"/>
    <n v="38978.93"/>
    <m/>
    <n v="120"/>
    <n v="60"/>
    <s v="Overdue"/>
    <n v="0.01"/>
    <n v="0"/>
  </r>
  <r>
    <s v="VND-017"/>
    <s v="NetSystems Ltd"/>
    <x v="1"/>
    <s v="North"/>
    <s v="INV-0567"/>
    <d v="2024-12-09T00:00:00"/>
    <d v="2025-03-09T00:00:00"/>
    <n v="90"/>
    <n v="77363.98"/>
    <n v="45757.81"/>
    <n v="31606.17"/>
    <d v="2025-01-21T00:00:00"/>
    <n v="174"/>
    <n v="84"/>
    <s v="Partial"/>
    <n v="0.01"/>
    <n v="0"/>
  </r>
  <r>
    <s v="VND-017"/>
    <s v="NetSystems Ltd"/>
    <x v="1"/>
    <s v="North"/>
    <s v="INV-0568"/>
    <d v="2025-05-12T00:00:00"/>
    <d v="2025-08-10T00:00:00"/>
    <n v="90"/>
    <n v="2783.17"/>
    <n v="0"/>
    <n v="2783.17"/>
    <m/>
    <n v="20"/>
    <n v="0"/>
    <s v="Pending"/>
    <n v="0.01"/>
    <n v="0"/>
  </r>
  <r>
    <s v="VND-017"/>
    <s v="NetSystems Ltd"/>
    <x v="1"/>
    <s v="North"/>
    <s v="INV-0569"/>
    <d v="2025-01-11T00:00:00"/>
    <d v="2025-03-12T00:00:00"/>
    <n v="60"/>
    <n v="21971.75"/>
    <n v="0"/>
    <n v="21971.75"/>
    <m/>
    <n v="141"/>
    <n v="81"/>
    <s v="Overdue"/>
    <n v="0.01"/>
    <n v="0"/>
  </r>
  <r>
    <s v="VND-017"/>
    <s v="NetSystems Ltd"/>
    <x v="1"/>
    <s v="North"/>
    <s v="INV-0570"/>
    <d v="2025-01-28T00:00:00"/>
    <d v="2025-04-28T00:00:00"/>
    <n v="90"/>
    <n v="39229.08"/>
    <n v="0"/>
    <n v="39229.08"/>
    <m/>
    <n v="124"/>
    <n v="34"/>
    <s v="Overdue"/>
    <n v="2.5000000000000001E-2"/>
    <n v="0"/>
  </r>
  <r>
    <s v="VND-017"/>
    <s v="NetSystems Ltd"/>
    <x v="1"/>
    <s v="North"/>
    <s v="INV-0571"/>
    <d v="2025-04-13T00:00:00"/>
    <d v="2025-05-28T00:00:00"/>
    <n v="45"/>
    <n v="2578.86"/>
    <n v="535.83000000000004"/>
    <n v="2043.03"/>
    <d v="2025-05-26T00:00:00"/>
    <n v="49"/>
    <n v="4"/>
    <s v="Partial"/>
    <n v="2.5000000000000001E-2"/>
    <n v="0"/>
  </r>
  <r>
    <s v="VND-017"/>
    <s v="NetSystems Ltd"/>
    <x v="1"/>
    <s v="North"/>
    <s v="INV-0572"/>
    <d v="2024-12-30T00:00:00"/>
    <d v="2025-01-29T00:00:00"/>
    <n v="30"/>
    <n v="27292.240000000002"/>
    <n v="0"/>
    <n v="27292.240000000002"/>
    <m/>
    <n v="153"/>
    <n v="123"/>
    <s v="Overdue"/>
    <n v="0.02"/>
    <n v="0"/>
  </r>
  <r>
    <s v="VND-017"/>
    <s v="NetSystems Ltd"/>
    <x v="1"/>
    <s v="North"/>
    <s v="INV-0573"/>
    <d v="2025-05-25T00:00:00"/>
    <d v="2025-08-23T00:00:00"/>
    <n v="90"/>
    <n v="62854.43"/>
    <n v="0"/>
    <n v="62854.43"/>
    <m/>
    <n v="7"/>
    <n v="0"/>
    <s v="Pending"/>
    <n v="2.5000000000000001E-2"/>
    <n v="0"/>
  </r>
  <r>
    <s v="VND-017"/>
    <s v="NetSystems Ltd"/>
    <x v="1"/>
    <s v="North"/>
    <s v="INV-0574"/>
    <d v="2025-02-27T00:00:00"/>
    <d v="2025-04-13T00:00:00"/>
    <n v="45"/>
    <n v="42115.06"/>
    <n v="42115.06"/>
    <n v="0"/>
    <d v="2025-05-12T00:00:00"/>
    <n v="94"/>
    <n v="49"/>
    <s v="Paid"/>
    <n v="0.01"/>
    <n v="0"/>
  </r>
  <r>
    <s v="VND-017"/>
    <s v="NetSystems Ltd"/>
    <x v="1"/>
    <s v="North"/>
    <s v="INV-0575"/>
    <d v="2025-02-19T00:00:00"/>
    <d v="2025-03-06T00:00:00"/>
    <n v="15"/>
    <n v="3063.13"/>
    <n v="3063.13"/>
    <n v="0"/>
    <d v="2025-03-20T00:00:00"/>
    <n v="102"/>
    <n v="87"/>
    <s v="Paid"/>
    <n v="0"/>
    <n v="0"/>
  </r>
  <r>
    <s v="VND-017"/>
    <s v="NetSystems Ltd"/>
    <x v="1"/>
    <s v="North"/>
    <s v="INV-0576"/>
    <d v="2025-03-06T00:00:00"/>
    <d v="2025-03-21T00:00:00"/>
    <n v="15"/>
    <n v="70337.66"/>
    <n v="70337.66"/>
    <n v="0"/>
    <d v="2025-03-31T00:00:00"/>
    <n v="87"/>
    <n v="72"/>
    <s v="Paid"/>
    <n v="0.01"/>
    <n v="0"/>
  </r>
  <r>
    <s v="VND-017"/>
    <s v="NetSystems Ltd"/>
    <x v="1"/>
    <s v="North"/>
    <s v="INV-0577"/>
    <d v="2025-04-13T00:00:00"/>
    <d v="2025-05-13T00:00:00"/>
    <n v="30"/>
    <n v="51727.11"/>
    <n v="51727.11"/>
    <n v="0"/>
    <d v="2025-04-16T00:00:00"/>
    <n v="49"/>
    <n v="19"/>
    <s v="Paid"/>
    <n v="2.5000000000000001E-2"/>
    <n v="1293.18"/>
  </r>
  <r>
    <s v="VND-017"/>
    <s v="NetSystems Ltd"/>
    <x v="1"/>
    <s v="North"/>
    <s v="INV-0578"/>
    <d v="2025-03-15T00:00:00"/>
    <d v="2025-05-14T00:00:00"/>
    <n v="60"/>
    <n v="72059.53"/>
    <n v="72059.53"/>
    <n v="0"/>
    <d v="2025-04-30T00:00:00"/>
    <n v="78"/>
    <n v="18"/>
    <s v="Paid"/>
    <n v="0.02"/>
    <n v="1441.19"/>
  </r>
  <r>
    <s v="VND-017"/>
    <s v="NetSystems Ltd"/>
    <x v="1"/>
    <s v="North"/>
    <s v="INV-0579"/>
    <d v="2025-05-07T00:00:00"/>
    <d v="2025-06-06T00:00:00"/>
    <n v="30"/>
    <n v="6746.35"/>
    <n v="0"/>
    <n v="6746.35"/>
    <m/>
    <n v="25"/>
    <n v="0"/>
    <s v="Pending"/>
    <n v="2.5000000000000001E-2"/>
    <n v="0"/>
  </r>
  <r>
    <s v="VND-017"/>
    <s v="NetSystems Ltd"/>
    <x v="1"/>
    <s v="North"/>
    <s v="INV-0580"/>
    <d v="2025-05-24T00:00:00"/>
    <d v="2025-08-22T00:00:00"/>
    <n v="90"/>
    <n v="59263.28"/>
    <n v="0"/>
    <n v="59263.28"/>
    <m/>
    <n v="8"/>
    <n v="0"/>
    <s v="Pending"/>
    <n v="0"/>
    <n v="0"/>
  </r>
  <r>
    <s v="VND-017"/>
    <s v="NetSystems Ltd"/>
    <x v="1"/>
    <s v="North"/>
    <s v="INV-0581"/>
    <d v="2025-02-13T00:00:00"/>
    <d v="2025-02-28T00:00:00"/>
    <n v="15"/>
    <n v="20263.8"/>
    <n v="20263.8"/>
    <n v="0"/>
    <d v="2025-02-15T00:00:00"/>
    <n v="108"/>
    <n v="93"/>
    <s v="Paid"/>
    <n v="0.01"/>
    <n v="202.64"/>
  </r>
  <r>
    <s v="VND-017"/>
    <s v="NetSystems Ltd"/>
    <x v="1"/>
    <s v="North"/>
    <s v="INV-0582"/>
    <d v="2025-01-26T00:00:00"/>
    <d v="2025-02-10T00:00:00"/>
    <n v="15"/>
    <n v="61149.99"/>
    <n v="61149.99"/>
    <n v="0"/>
    <d v="2025-01-28T00:00:00"/>
    <n v="126"/>
    <n v="111"/>
    <s v="Paid"/>
    <n v="0"/>
    <n v="0"/>
  </r>
  <r>
    <s v="VND-017"/>
    <s v="NetSystems Ltd"/>
    <x v="1"/>
    <s v="North"/>
    <s v="INV-0583"/>
    <d v="2025-04-08T00:00:00"/>
    <d v="2025-06-07T00:00:00"/>
    <n v="60"/>
    <n v="65427.32"/>
    <n v="0"/>
    <n v="65427.32"/>
    <m/>
    <n v="54"/>
    <n v="0"/>
    <s v="Pending"/>
    <n v="0.02"/>
    <n v="0"/>
  </r>
  <r>
    <s v="VND-017"/>
    <s v="NetSystems Ltd"/>
    <x v="1"/>
    <s v="North"/>
    <s v="INV-0584"/>
    <d v="2025-02-27T00:00:00"/>
    <d v="2025-03-14T00:00:00"/>
    <n v="15"/>
    <n v="29603.84"/>
    <n v="29603.84"/>
    <n v="0"/>
    <d v="2025-03-06T00:00:00"/>
    <n v="94"/>
    <n v="79"/>
    <s v="Paid"/>
    <n v="0.02"/>
    <n v="592.08000000000004"/>
  </r>
  <r>
    <s v="VND-017"/>
    <s v="NetSystems Ltd"/>
    <x v="1"/>
    <s v="North"/>
    <s v="INV-0585"/>
    <d v="2025-03-01T00:00:00"/>
    <d v="2025-04-30T00:00:00"/>
    <n v="60"/>
    <n v="62248.11"/>
    <n v="62248.11"/>
    <n v="0"/>
    <d v="2025-04-25T00:00:00"/>
    <n v="92"/>
    <n v="32"/>
    <s v="Paid"/>
    <n v="0"/>
    <n v="0"/>
  </r>
  <r>
    <s v="VND-017"/>
    <s v="NetSystems Ltd"/>
    <x v="1"/>
    <s v="North"/>
    <s v="INV-0586"/>
    <d v="2025-04-06T00:00:00"/>
    <d v="2025-05-06T00:00:00"/>
    <n v="30"/>
    <n v="11004.07"/>
    <n v="0"/>
    <n v="11004.07"/>
    <m/>
    <n v="56"/>
    <n v="26"/>
    <s v="Overdue"/>
    <n v="0.02"/>
    <n v="0"/>
  </r>
  <r>
    <s v="VND-017"/>
    <s v="NetSystems Ltd"/>
    <x v="1"/>
    <s v="North"/>
    <s v="INV-0587"/>
    <d v="2025-01-13T00:00:00"/>
    <d v="2025-04-13T00:00:00"/>
    <n v="90"/>
    <n v="32632.71"/>
    <n v="32632.71"/>
    <n v="0"/>
    <d v="2025-04-29T00:00:00"/>
    <n v="139"/>
    <n v="49"/>
    <s v="Paid"/>
    <n v="0.01"/>
    <n v="0"/>
  </r>
  <r>
    <s v="VND-017"/>
    <s v="NetSystems Ltd"/>
    <x v="1"/>
    <s v="North"/>
    <s v="INV-0588"/>
    <d v="2025-03-17T00:00:00"/>
    <d v="2025-04-16T00:00:00"/>
    <n v="30"/>
    <n v="38084.199999999997"/>
    <n v="38084.199999999997"/>
    <n v="0"/>
    <d v="2025-05-13T00:00:00"/>
    <n v="76"/>
    <n v="46"/>
    <s v="Paid"/>
    <n v="0"/>
    <n v="0"/>
  </r>
  <r>
    <s v="VND-017"/>
    <s v="NetSystems Ltd"/>
    <x v="1"/>
    <s v="North"/>
    <s v="INV-0589"/>
    <d v="2024-12-05T00:00:00"/>
    <d v="2025-01-19T00:00:00"/>
    <n v="45"/>
    <n v="12892.97"/>
    <n v="12892.97"/>
    <n v="0"/>
    <d v="2025-02-04T00:00:00"/>
    <n v="178"/>
    <n v="133"/>
    <s v="Paid"/>
    <n v="0"/>
    <n v="0"/>
  </r>
  <r>
    <s v="VND-017"/>
    <s v="NetSystems Ltd"/>
    <x v="1"/>
    <s v="North"/>
    <s v="INV-0590"/>
    <d v="2024-12-13T00:00:00"/>
    <d v="2024-12-28T00:00:00"/>
    <n v="15"/>
    <n v="50911.040000000001"/>
    <n v="50911.040000000001"/>
    <n v="0"/>
    <d v="2024-12-25T00:00:00"/>
    <n v="170"/>
    <n v="155"/>
    <s v="Paid"/>
    <n v="0.01"/>
    <n v="0"/>
  </r>
  <r>
    <s v="VND-017"/>
    <s v="NetSystems Ltd"/>
    <x v="1"/>
    <s v="North"/>
    <s v="INV-0591"/>
    <d v="2024-12-11T00:00:00"/>
    <d v="2025-03-11T00:00:00"/>
    <n v="90"/>
    <n v="9400.6299999999992"/>
    <n v="9400.6299999999992"/>
    <n v="0"/>
    <d v="2025-03-30T00:00:00"/>
    <n v="172"/>
    <n v="82"/>
    <s v="Paid"/>
    <n v="0"/>
    <n v="0"/>
  </r>
  <r>
    <s v="VND-017"/>
    <s v="NetSystems Ltd"/>
    <x v="1"/>
    <s v="North"/>
    <s v="INV-0592"/>
    <d v="2025-03-23T00:00:00"/>
    <d v="2025-05-07T00:00:00"/>
    <n v="45"/>
    <n v="39632.400000000001"/>
    <n v="39632.400000000001"/>
    <n v="0"/>
    <d v="2025-05-06T00:00:00"/>
    <n v="70"/>
    <n v="25"/>
    <s v="Paid"/>
    <n v="0"/>
    <n v="0"/>
  </r>
  <r>
    <s v="VND-017"/>
    <s v="NetSystems Ltd"/>
    <x v="1"/>
    <s v="North"/>
    <s v="INV-0593"/>
    <d v="2025-01-20T00:00:00"/>
    <d v="2025-03-21T00:00:00"/>
    <n v="60"/>
    <n v="25584.2"/>
    <n v="25584.2"/>
    <n v="0"/>
    <d v="2025-04-03T00:00:00"/>
    <n v="132"/>
    <n v="72"/>
    <s v="Paid"/>
    <n v="0.01"/>
    <n v="0"/>
  </r>
  <r>
    <s v="VND-018"/>
    <s v="SwiftShip SA"/>
    <x v="2"/>
    <s v="North"/>
    <s v="INV-0594"/>
    <d v="2025-04-16T00:00:00"/>
    <d v="2025-06-15T00:00:00"/>
    <n v="60"/>
    <n v="55495.16"/>
    <n v="0"/>
    <n v="55495.16"/>
    <m/>
    <n v="46"/>
    <n v="0"/>
    <s v="Pending"/>
    <n v="0.02"/>
    <n v="0"/>
  </r>
  <r>
    <s v="VND-018"/>
    <s v="SwiftShip SA"/>
    <x v="2"/>
    <s v="North"/>
    <s v="INV-0595"/>
    <d v="2025-05-13T00:00:00"/>
    <d v="2025-08-11T00:00:00"/>
    <n v="90"/>
    <n v="11814.65"/>
    <n v="0"/>
    <n v="11814.65"/>
    <m/>
    <n v="19"/>
    <n v="0"/>
    <s v="Pending"/>
    <n v="0.01"/>
    <n v="0"/>
  </r>
  <r>
    <s v="VND-018"/>
    <s v="SwiftShip SA"/>
    <x v="2"/>
    <s v="North"/>
    <s v="INV-0596"/>
    <d v="2025-02-16T00:00:00"/>
    <d v="2025-05-17T00:00:00"/>
    <n v="90"/>
    <n v="35735.769999999997"/>
    <n v="35735.769999999997"/>
    <n v="0"/>
    <d v="2025-04-03T00:00:00"/>
    <n v="105"/>
    <n v="15"/>
    <s v="Paid"/>
    <n v="0.01"/>
    <n v="357.36"/>
  </r>
  <r>
    <s v="VND-018"/>
    <s v="SwiftShip SA"/>
    <x v="2"/>
    <s v="North"/>
    <s v="INV-0597"/>
    <d v="2025-03-21T00:00:00"/>
    <d v="2025-04-05T00:00:00"/>
    <n v="15"/>
    <n v="59592.26"/>
    <n v="59592.26"/>
    <n v="0"/>
    <d v="2025-04-15T00:00:00"/>
    <n v="72"/>
    <n v="57"/>
    <s v="Paid"/>
    <n v="0.01"/>
    <n v="0"/>
  </r>
  <r>
    <s v="VND-018"/>
    <s v="SwiftShip SA"/>
    <x v="2"/>
    <s v="North"/>
    <s v="INV-0598"/>
    <d v="2025-02-18T00:00:00"/>
    <d v="2025-04-04T00:00:00"/>
    <n v="45"/>
    <n v="30012.23"/>
    <n v="14236.75"/>
    <n v="15775.48"/>
    <d v="2025-03-03T00:00:00"/>
    <n v="103"/>
    <n v="58"/>
    <s v="Partial"/>
    <n v="0.02"/>
    <n v="0"/>
  </r>
  <r>
    <s v="VND-018"/>
    <s v="SwiftShip SA"/>
    <x v="2"/>
    <s v="North"/>
    <s v="INV-0599"/>
    <d v="2025-02-15T00:00:00"/>
    <d v="2025-04-01T00:00:00"/>
    <n v="45"/>
    <n v="15055.08"/>
    <n v="15055.08"/>
    <n v="0"/>
    <d v="2025-04-12T00:00:00"/>
    <n v="106"/>
    <n v="61"/>
    <s v="Paid"/>
    <n v="0"/>
    <n v="0"/>
  </r>
  <r>
    <s v="VND-018"/>
    <s v="SwiftShip SA"/>
    <x v="2"/>
    <s v="North"/>
    <s v="INV-0600"/>
    <d v="2025-05-22T00:00:00"/>
    <d v="2025-07-21T00:00:00"/>
    <n v="60"/>
    <n v="44643.67"/>
    <n v="0"/>
    <n v="44643.67"/>
    <m/>
    <n v="10"/>
    <n v="0"/>
    <s v="Pending"/>
    <n v="0.02"/>
    <n v="0"/>
  </r>
  <r>
    <s v="VND-018"/>
    <s v="SwiftShip SA"/>
    <x v="2"/>
    <s v="North"/>
    <s v="INV-0601"/>
    <d v="2025-02-15T00:00:00"/>
    <d v="2025-03-17T00:00:00"/>
    <n v="30"/>
    <n v="22767.86"/>
    <n v="22767.86"/>
    <n v="0"/>
    <d v="2025-02-16T00:00:00"/>
    <n v="106"/>
    <n v="76"/>
    <s v="Paid"/>
    <n v="0.01"/>
    <n v="227.68"/>
  </r>
  <r>
    <s v="VND-018"/>
    <s v="SwiftShip SA"/>
    <x v="2"/>
    <s v="North"/>
    <s v="INV-0602"/>
    <d v="2025-04-25T00:00:00"/>
    <d v="2025-05-25T00:00:00"/>
    <n v="30"/>
    <n v="37079.96"/>
    <n v="37079.96"/>
    <n v="0"/>
    <d v="2025-05-28T00:00:00"/>
    <n v="37"/>
    <n v="7"/>
    <s v="Paid"/>
    <n v="0.01"/>
    <n v="0"/>
  </r>
  <r>
    <s v="VND-018"/>
    <s v="SwiftShip SA"/>
    <x v="2"/>
    <s v="North"/>
    <s v="INV-0603"/>
    <d v="2025-04-15T00:00:00"/>
    <d v="2025-05-15T00:00:00"/>
    <n v="30"/>
    <n v="71800.62"/>
    <n v="71800.62"/>
    <n v="0"/>
    <d v="2025-04-19T00:00:00"/>
    <n v="47"/>
    <n v="17"/>
    <s v="Paid"/>
    <n v="0"/>
    <n v="0"/>
  </r>
  <r>
    <s v="VND-018"/>
    <s v="SwiftShip SA"/>
    <x v="2"/>
    <s v="North"/>
    <s v="INV-0604"/>
    <d v="2024-12-04T00:00:00"/>
    <d v="2025-01-18T00:00:00"/>
    <n v="45"/>
    <n v="12850.29"/>
    <n v="12850.29"/>
    <n v="0"/>
    <d v="2025-01-06T00:00:00"/>
    <n v="179"/>
    <n v="134"/>
    <s v="Paid"/>
    <n v="2.5000000000000001E-2"/>
    <n v="321.26"/>
  </r>
  <r>
    <s v="VND-018"/>
    <s v="SwiftShip SA"/>
    <x v="2"/>
    <s v="North"/>
    <s v="INV-0605"/>
    <d v="2025-03-28T00:00:00"/>
    <d v="2025-05-27T00:00:00"/>
    <n v="60"/>
    <n v="71686.55"/>
    <n v="0"/>
    <n v="71686.55"/>
    <m/>
    <n v="65"/>
    <n v="5"/>
    <s v="Overdue"/>
    <n v="0.02"/>
    <n v="0"/>
  </r>
  <r>
    <s v="VND-018"/>
    <s v="SwiftShip SA"/>
    <x v="2"/>
    <s v="North"/>
    <s v="INV-0606"/>
    <d v="2025-02-24T00:00:00"/>
    <d v="2025-05-25T00:00:00"/>
    <n v="90"/>
    <n v="74827.87"/>
    <n v="74827.87"/>
    <n v="0"/>
    <d v="2025-03-18T00:00:00"/>
    <n v="97"/>
    <n v="7"/>
    <s v="Paid"/>
    <n v="0.01"/>
    <n v="748.28"/>
  </r>
  <r>
    <s v="VND-018"/>
    <s v="SwiftShip SA"/>
    <x v="2"/>
    <s v="North"/>
    <s v="INV-0607"/>
    <d v="2024-12-07T00:00:00"/>
    <d v="2024-12-22T00:00:00"/>
    <n v="15"/>
    <n v="75963.22"/>
    <n v="75963.22"/>
    <n v="0"/>
    <d v="2024-12-16T00:00:00"/>
    <n v="176"/>
    <n v="161"/>
    <s v="Paid"/>
    <n v="0.02"/>
    <n v="1519.26"/>
  </r>
  <r>
    <s v="VND-018"/>
    <s v="SwiftShip SA"/>
    <x v="2"/>
    <s v="North"/>
    <s v="INV-0608"/>
    <d v="2025-02-17T00:00:00"/>
    <d v="2025-04-18T00:00:00"/>
    <n v="60"/>
    <n v="13649.61"/>
    <n v="0"/>
    <n v="13649.61"/>
    <m/>
    <n v="104"/>
    <n v="44"/>
    <s v="Overdue"/>
    <n v="0.02"/>
    <n v="0"/>
  </r>
  <r>
    <s v="VND-018"/>
    <s v="SwiftShip SA"/>
    <x v="2"/>
    <s v="North"/>
    <s v="INV-0609"/>
    <d v="2025-02-14T00:00:00"/>
    <d v="2025-04-15T00:00:00"/>
    <n v="60"/>
    <n v="74755.66"/>
    <n v="0"/>
    <n v="74755.66"/>
    <m/>
    <n v="107"/>
    <n v="47"/>
    <s v="Overdue"/>
    <n v="0.01"/>
    <n v="0"/>
  </r>
  <r>
    <s v="VND-018"/>
    <s v="SwiftShip SA"/>
    <x v="2"/>
    <s v="North"/>
    <s v="INV-0610"/>
    <d v="2025-01-26T00:00:00"/>
    <d v="2025-02-25T00:00:00"/>
    <n v="30"/>
    <n v="56299.37"/>
    <n v="56299.37"/>
    <n v="0"/>
    <d v="2025-03-04T00:00:00"/>
    <n v="126"/>
    <n v="96"/>
    <s v="Paid"/>
    <n v="2.5000000000000001E-2"/>
    <n v="0"/>
  </r>
  <r>
    <s v="VND-018"/>
    <s v="SwiftShip SA"/>
    <x v="2"/>
    <s v="North"/>
    <s v="INV-0611"/>
    <d v="2025-03-17T00:00:00"/>
    <d v="2025-04-16T00:00:00"/>
    <n v="30"/>
    <n v="33909.19"/>
    <n v="0"/>
    <n v="33909.19"/>
    <m/>
    <n v="76"/>
    <n v="46"/>
    <s v="Overdue"/>
    <n v="0"/>
    <n v="0"/>
  </r>
  <r>
    <s v="VND-018"/>
    <s v="SwiftShip SA"/>
    <x v="2"/>
    <s v="North"/>
    <s v="INV-0612"/>
    <d v="2025-04-29T00:00:00"/>
    <d v="2025-06-13T00:00:00"/>
    <n v="45"/>
    <n v="68301.850000000006"/>
    <n v="0"/>
    <n v="68301.850000000006"/>
    <m/>
    <n v="33"/>
    <n v="0"/>
    <s v="Pending"/>
    <n v="0"/>
    <n v="0"/>
  </r>
  <r>
    <s v="VND-018"/>
    <s v="SwiftShip SA"/>
    <x v="2"/>
    <s v="North"/>
    <s v="INV-0613"/>
    <d v="2024-12-18T00:00:00"/>
    <d v="2025-03-18T00:00:00"/>
    <n v="90"/>
    <n v="10985"/>
    <n v="2186.67"/>
    <n v="8798.33"/>
    <d v="2025-01-16T00:00:00"/>
    <n v="165"/>
    <n v="75"/>
    <s v="Partial"/>
    <n v="2.5000000000000001E-2"/>
    <n v="0"/>
  </r>
  <r>
    <s v="VND-018"/>
    <s v="SwiftShip SA"/>
    <x v="2"/>
    <s v="North"/>
    <s v="INV-0614"/>
    <d v="2025-01-16T00:00:00"/>
    <d v="2025-02-15T00:00:00"/>
    <n v="30"/>
    <n v="24373.83"/>
    <n v="24373.83"/>
    <n v="0"/>
    <d v="2025-01-31T00:00:00"/>
    <n v="136"/>
    <n v="106"/>
    <s v="Paid"/>
    <n v="2.5000000000000001E-2"/>
    <n v="609.35"/>
  </r>
  <r>
    <s v="VND-018"/>
    <s v="SwiftShip SA"/>
    <x v="2"/>
    <s v="North"/>
    <s v="INV-0615"/>
    <d v="2025-01-05T00:00:00"/>
    <d v="2025-03-06T00:00:00"/>
    <n v="60"/>
    <n v="43095.91"/>
    <n v="0"/>
    <n v="43095.91"/>
    <m/>
    <n v="147"/>
    <n v="87"/>
    <s v="Overdue"/>
    <n v="0.02"/>
    <n v="0"/>
  </r>
  <r>
    <s v="VND-018"/>
    <s v="SwiftShip SA"/>
    <x v="2"/>
    <s v="North"/>
    <s v="INV-0616"/>
    <d v="2025-02-24T00:00:00"/>
    <d v="2025-04-10T00:00:00"/>
    <n v="45"/>
    <n v="20845.59"/>
    <n v="20845.59"/>
    <n v="0"/>
    <d v="2025-03-29T00:00:00"/>
    <n v="97"/>
    <n v="52"/>
    <s v="Paid"/>
    <n v="0.01"/>
    <n v="208.46"/>
  </r>
  <r>
    <s v="VND-018"/>
    <s v="SwiftShip SA"/>
    <x v="2"/>
    <s v="North"/>
    <s v="INV-0617"/>
    <d v="2025-02-11T00:00:00"/>
    <d v="2025-03-13T00:00:00"/>
    <n v="30"/>
    <n v="24534.37"/>
    <n v="24534.37"/>
    <n v="0"/>
    <d v="2025-03-13T00:00:00"/>
    <n v="110"/>
    <n v="80"/>
    <s v="Paid"/>
    <n v="0"/>
    <n v="0"/>
  </r>
  <r>
    <s v="VND-018"/>
    <s v="SwiftShip SA"/>
    <x v="2"/>
    <s v="North"/>
    <s v="INV-0618"/>
    <d v="2025-02-10T00:00:00"/>
    <d v="2025-04-11T00:00:00"/>
    <n v="60"/>
    <n v="37875.47"/>
    <n v="4640.99"/>
    <n v="33234.480000000003"/>
    <d v="2025-05-08T00:00:00"/>
    <n v="111"/>
    <n v="51"/>
    <s v="Partial"/>
    <n v="0"/>
    <n v="0"/>
  </r>
  <r>
    <s v="VND-018"/>
    <s v="SwiftShip SA"/>
    <x v="2"/>
    <s v="North"/>
    <s v="INV-0619"/>
    <d v="2025-04-07T00:00:00"/>
    <d v="2025-04-22T00:00:00"/>
    <n v="15"/>
    <n v="38941.08"/>
    <n v="38941.08"/>
    <n v="0"/>
    <d v="2025-04-28T00:00:00"/>
    <n v="55"/>
    <n v="40"/>
    <s v="Paid"/>
    <n v="0.02"/>
    <n v="0"/>
  </r>
  <r>
    <s v="VND-018"/>
    <s v="SwiftShip SA"/>
    <x v="2"/>
    <s v="North"/>
    <s v="INV-0620"/>
    <d v="2025-04-06T00:00:00"/>
    <d v="2025-05-06T00:00:00"/>
    <n v="30"/>
    <n v="75151.05"/>
    <n v="75151.05"/>
    <n v="0"/>
    <d v="2025-04-21T00:00:00"/>
    <n v="56"/>
    <n v="26"/>
    <s v="Paid"/>
    <n v="0.02"/>
    <n v="1503.02"/>
  </r>
  <r>
    <s v="VND-018"/>
    <s v="SwiftShip SA"/>
    <x v="2"/>
    <s v="North"/>
    <s v="INV-0621"/>
    <d v="2025-03-07T00:00:00"/>
    <d v="2025-03-22T00:00:00"/>
    <n v="15"/>
    <n v="58622.53"/>
    <n v="58622.53"/>
    <n v="0"/>
    <d v="2025-03-28T00:00:00"/>
    <n v="86"/>
    <n v="71"/>
    <s v="Paid"/>
    <n v="0"/>
    <n v="0"/>
  </r>
  <r>
    <s v="VND-018"/>
    <s v="SwiftShip SA"/>
    <x v="2"/>
    <s v="North"/>
    <s v="INV-0622"/>
    <d v="2025-03-11T00:00:00"/>
    <d v="2025-04-25T00:00:00"/>
    <n v="45"/>
    <n v="27681.88"/>
    <n v="27681.88"/>
    <n v="0"/>
    <d v="2025-03-30T00:00:00"/>
    <n v="82"/>
    <n v="37"/>
    <s v="Paid"/>
    <n v="2.5000000000000001E-2"/>
    <n v="692.05"/>
  </r>
  <r>
    <s v="VND-018"/>
    <s v="SwiftShip SA"/>
    <x v="2"/>
    <s v="North"/>
    <s v="INV-0623"/>
    <d v="2025-05-08T00:00:00"/>
    <d v="2025-07-07T00:00:00"/>
    <n v="60"/>
    <n v="8634.43"/>
    <n v="0"/>
    <n v="8634.43"/>
    <m/>
    <n v="24"/>
    <n v="0"/>
    <s v="Pending"/>
    <n v="0.02"/>
    <n v="0"/>
  </r>
  <r>
    <s v="VND-018"/>
    <s v="SwiftShip SA"/>
    <x v="2"/>
    <s v="North"/>
    <s v="INV-0624"/>
    <d v="2025-03-05T00:00:00"/>
    <d v="2025-05-04T00:00:00"/>
    <n v="60"/>
    <n v="36415.17"/>
    <n v="36415.17"/>
    <n v="0"/>
    <d v="2025-05-02T00:00:00"/>
    <n v="88"/>
    <n v="28"/>
    <s v="Paid"/>
    <n v="2.5000000000000001E-2"/>
    <n v="0"/>
  </r>
  <r>
    <s v="VND-018"/>
    <s v="SwiftShip SA"/>
    <x v="2"/>
    <s v="North"/>
    <s v="INV-0625"/>
    <d v="2025-02-02T00:00:00"/>
    <d v="2025-04-03T00:00:00"/>
    <n v="60"/>
    <n v="41445.089999999997"/>
    <n v="41445.089999999997"/>
    <n v="0"/>
    <d v="2025-04-18T00:00:00"/>
    <n v="119"/>
    <n v="59"/>
    <s v="Paid"/>
    <n v="0.02"/>
    <n v="0"/>
  </r>
  <r>
    <s v="VND-018"/>
    <s v="SwiftShip SA"/>
    <x v="2"/>
    <s v="North"/>
    <s v="INV-0626"/>
    <d v="2025-03-20T00:00:00"/>
    <d v="2025-05-19T00:00:00"/>
    <n v="60"/>
    <n v="27795.99"/>
    <n v="27795.99"/>
    <n v="0"/>
    <d v="2025-05-30T00:00:00"/>
    <n v="73"/>
    <n v="13"/>
    <s v="Paid"/>
    <n v="0.02"/>
    <n v="0"/>
  </r>
  <r>
    <s v="VND-018"/>
    <s v="SwiftShip SA"/>
    <x v="2"/>
    <s v="North"/>
    <s v="INV-0627"/>
    <d v="2024-12-10T00:00:00"/>
    <d v="2025-01-09T00:00:00"/>
    <n v="30"/>
    <n v="58624.03"/>
    <n v="58624.03"/>
    <n v="0"/>
    <d v="2025-01-09T00:00:00"/>
    <n v="173"/>
    <n v="143"/>
    <s v="Paid"/>
    <n v="2.5000000000000001E-2"/>
    <n v="0"/>
  </r>
  <r>
    <s v="VND-018"/>
    <s v="SwiftShip SA"/>
    <x v="2"/>
    <s v="North"/>
    <s v="INV-0628"/>
    <d v="2025-01-29T00:00:00"/>
    <d v="2025-03-30T00:00:00"/>
    <n v="60"/>
    <n v="25312.16"/>
    <n v="25312.16"/>
    <n v="0"/>
    <d v="2025-04-19T00:00:00"/>
    <n v="123"/>
    <n v="63"/>
    <s v="Paid"/>
    <n v="0.01"/>
    <n v="0"/>
  </r>
  <r>
    <s v="VND-018"/>
    <s v="SwiftShip SA"/>
    <x v="2"/>
    <s v="North"/>
    <s v="INV-0629"/>
    <d v="2024-12-30T00:00:00"/>
    <d v="2025-02-13T00:00:00"/>
    <n v="45"/>
    <n v="32966.17"/>
    <n v="32966.17"/>
    <n v="0"/>
    <d v="2025-01-22T00:00:00"/>
    <n v="153"/>
    <n v="108"/>
    <s v="Paid"/>
    <n v="0.01"/>
    <n v="329.66"/>
  </r>
  <r>
    <s v="VND-018"/>
    <s v="SwiftShip SA"/>
    <x v="2"/>
    <s v="North"/>
    <s v="INV-0630"/>
    <d v="2024-12-04T00:00:00"/>
    <d v="2024-12-19T00:00:00"/>
    <n v="15"/>
    <n v="54461.45"/>
    <n v="54461.45"/>
    <n v="0"/>
    <d v="2024-12-18T00:00:00"/>
    <n v="179"/>
    <n v="164"/>
    <s v="Paid"/>
    <n v="0"/>
    <n v="0"/>
  </r>
  <r>
    <s v="VND-018"/>
    <s v="SwiftShip SA"/>
    <x v="2"/>
    <s v="North"/>
    <s v="INV-0631"/>
    <d v="2025-05-04T00:00:00"/>
    <d v="2025-08-02T00:00:00"/>
    <n v="90"/>
    <n v="12024.72"/>
    <n v="0"/>
    <n v="12024.72"/>
    <m/>
    <n v="28"/>
    <n v="0"/>
    <s v="Pending"/>
    <n v="0"/>
    <n v="0"/>
  </r>
  <r>
    <s v="VND-018"/>
    <s v="SwiftShip SA"/>
    <x v="2"/>
    <s v="North"/>
    <s v="INV-0632"/>
    <d v="2025-04-20T00:00:00"/>
    <d v="2025-05-20T00:00:00"/>
    <n v="30"/>
    <n v="32436.47"/>
    <n v="32436.47"/>
    <n v="0"/>
    <d v="2025-05-13T00:00:00"/>
    <n v="42"/>
    <n v="12"/>
    <s v="Paid"/>
    <n v="0"/>
    <n v="0"/>
  </r>
  <r>
    <s v="VND-018"/>
    <s v="SwiftShip SA"/>
    <x v="2"/>
    <s v="North"/>
    <s v="INV-0633"/>
    <d v="2025-05-11T00:00:00"/>
    <d v="2025-06-25T00:00:00"/>
    <n v="45"/>
    <n v="67596.12"/>
    <n v="0"/>
    <n v="67596.12"/>
    <m/>
    <n v="21"/>
    <n v="0"/>
    <s v="Pending"/>
    <n v="2.5000000000000001E-2"/>
    <n v="0"/>
  </r>
  <r>
    <s v="VND-018"/>
    <s v="SwiftShip SA"/>
    <x v="2"/>
    <s v="North"/>
    <s v="INV-0634"/>
    <d v="2025-05-05T00:00:00"/>
    <d v="2025-06-04T00:00:00"/>
    <n v="30"/>
    <n v="16571.740000000002"/>
    <n v="0"/>
    <n v="16571.740000000002"/>
    <m/>
    <n v="27"/>
    <n v="0"/>
    <s v="Pending"/>
    <n v="0.02"/>
    <n v="0"/>
  </r>
  <r>
    <s v="VND-018"/>
    <s v="SwiftShip SA"/>
    <x v="2"/>
    <s v="North"/>
    <s v="INV-0635"/>
    <d v="2025-05-16T00:00:00"/>
    <d v="2025-06-30T00:00:00"/>
    <n v="45"/>
    <n v="16066.94"/>
    <n v="0"/>
    <n v="16066.94"/>
    <m/>
    <n v="16"/>
    <n v="0"/>
    <s v="Pending"/>
    <n v="2.5000000000000001E-2"/>
    <n v="0"/>
  </r>
  <r>
    <s v="VND-018"/>
    <s v="SwiftShip SA"/>
    <x v="2"/>
    <s v="North"/>
    <s v="INV-0636"/>
    <d v="2025-01-04T00:00:00"/>
    <d v="2025-04-04T00:00:00"/>
    <n v="90"/>
    <n v="6283.66"/>
    <n v="0"/>
    <n v="6283.66"/>
    <m/>
    <n v="148"/>
    <n v="58"/>
    <s v="Overdue"/>
    <n v="2.5000000000000001E-2"/>
    <n v="0"/>
  </r>
  <r>
    <s v="VND-018"/>
    <s v="SwiftShip SA"/>
    <x v="2"/>
    <s v="North"/>
    <s v="INV-0637"/>
    <d v="2025-01-21T00:00:00"/>
    <d v="2025-03-22T00:00:00"/>
    <n v="60"/>
    <n v="77115.83"/>
    <n v="77115.83"/>
    <n v="0"/>
    <d v="2025-03-28T00:00:00"/>
    <n v="131"/>
    <n v="71"/>
    <s v="Paid"/>
    <n v="0.01"/>
    <n v="0"/>
  </r>
  <r>
    <s v="VND-018"/>
    <s v="SwiftShip SA"/>
    <x v="2"/>
    <s v="North"/>
    <s v="INV-0638"/>
    <d v="2025-03-19T00:00:00"/>
    <d v="2025-06-17T00:00:00"/>
    <n v="90"/>
    <n v="70404.86"/>
    <n v="0"/>
    <n v="70404.86"/>
    <m/>
    <n v="74"/>
    <n v="0"/>
    <s v="Pending"/>
    <n v="0.02"/>
    <n v="0"/>
  </r>
  <r>
    <s v="VND-019"/>
    <s v="CleanOffice Services"/>
    <x v="3"/>
    <s v="Central"/>
    <s v="INV-0639"/>
    <d v="2025-02-19T00:00:00"/>
    <d v="2025-04-20T00:00:00"/>
    <n v="60"/>
    <n v="53409.47"/>
    <n v="53409.47"/>
    <n v="0"/>
    <d v="2025-05-09T00:00:00"/>
    <n v="102"/>
    <n v="42"/>
    <s v="Paid"/>
    <n v="0"/>
    <n v="0"/>
  </r>
  <r>
    <s v="VND-019"/>
    <s v="CleanOffice Services"/>
    <x v="3"/>
    <s v="Central"/>
    <s v="INV-0640"/>
    <d v="2025-05-23T00:00:00"/>
    <d v="2025-07-07T00:00:00"/>
    <n v="45"/>
    <n v="22209.07"/>
    <n v="0"/>
    <n v="22209.07"/>
    <m/>
    <n v="9"/>
    <n v="0"/>
    <s v="Pending"/>
    <n v="0.02"/>
    <n v="0"/>
  </r>
  <r>
    <s v="VND-019"/>
    <s v="CleanOffice Services"/>
    <x v="3"/>
    <s v="Central"/>
    <s v="INV-0641"/>
    <d v="2024-12-19T00:00:00"/>
    <d v="2025-03-19T00:00:00"/>
    <n v="90"/>
    <n v="52705.39"/>
    <n v="52705.39"/>
    <n v="0"/>
    <d v="2025-01-04T00:00:00"/>
    <n v="164"/>
    <n v="74"/>
    <s v="Paid"/>
    <n v="0.01"/>
    <n v="527.04999999999995"/>
  </r>
  <r>
    <s v="VND-019"/>
    <s v="CleanOffice Services"/>
    <x v="3"/>
    <s v="Central"/>
    <s v="INV-0642"/>
    <d v="2025-05-08T00:00:00"/>
    <d v="2025-07-07T00:00:00"/>
    <n v="60"/>
    <n v="78945.42"/>
    <n v="0"/>
    <n v="78945.42"/>
    <m/>
    <n v="24"/>
    <n v="0"/>
    <s v="Pending"/>
    <n v="0.01"/>
    <n v="0"/>
  </r>
  <r>
    <s v="VND-019"/>
    <s v="CleanOffice Services"/>
    <x v="3"/>
    <s v="Central"/>
    <s v="INV-0643"/>
    <d v="2025-04-15T00:00:00"/>
    <d v="2025-05-15T00:00:00"/>
    <n v="30"/>
    <n v="20530.919999999998"/>
    <n v="0"/>
    <n v="20530.919999999998"/>
    <m/>
    <n v="47"/>
    <n v="17"/>
    <s v="Overdue"/>
    <n v="0.01"/>
    <n v="0"/>
  </r>
  <r>
    <s v="VND-019"/>
    <s v="CleanOffice Services"/>
    <x v="3"/>
    <s v="Central"/>
    <s v="INV-0644"/>
    <d v="2024-12-22T00:00:00"/>
    <d v="2025-02-05T00:00:00"/>
    <n v="45"/>
    <n v="16688.419999999998"/>
    <n v="16688.419999999998"/>
    <n v="0"/>
    <d v="2025-01-25T00:00:00"/>
    <n v="161"/>
    <n v="116"/>
    <s v="Paid"/>
    <n v="0.02"/>
    <n v="333.77"/>
  </r>
  <r>
    <s v="VND-019"/>
    <s v="CleanOffice Services"/>
    <x v="3"/>
    <s v="Central"/>
    <s v="INV-0645"/>
    <d v="2024-12-10T00:00:00"/>
    <d v="2025-03-10T00:00:00"/>
    <n v="90"/>
    <n v="19518.830000000002"/>
    <n v="0"/>
    <n v="19518.830000000002"/>
    <m/>
    <n v="173"/>
    <n v="83"/>
    <s v="Overdue"/>
    <n v="0.02"/>
    <n v="0"/>
  </r>
  <r>
    <s v="VND-019"/>
    <s v="CleanOffice Services"/>
    <x v="3"/>
    <s v="Central"/>
    <s v="INV-0646"/>
    <d v="2025-01-02T00:00:00"/>
    <d v="2025-02-01T00:00:00"/>
    <n v="30"/>
    <n v="28120.3"/>
    <n v="11313.37"/>
    <n v="16806.93"/>
    <d v="2025-03-14T00:00:00"/>
    <n v="150"/>
    <n v="120"/>
    <s v="Partial"/>
    <n v="2.5000000000000001E-2"/>
    <n v="0"/>
  </r>
  <r>
    <s v="VND-019"/>
    <s v="CleanOffice Services"/>
    <x v="3"/>
    <s v="Central"/>
    <s v="INV-0647"/>
    <d v="2025-05-09T00:00:00"/>
    <d v="2025-07-08T00:00:00"/>
    <n v="60"/>
    <n v="30940.63"/>
    <n v="0"/>
    <n v="30940.63"/>
    <m/>
    <n v="23"/>
    <n v="0"/>
    <s v="Pending"/>
    <n v="0.01"/>
    <n v="0"/>
  </r>
  <r>
    <s v="VND-019"/>
    <s v="CleanOffice Services"/>
    <x v="3"/>
    <s v="Central"/>
    <s v="INV-0648"/>
    <d v="2025-03-08T00:00:00"/>
    <d v="2025-04-07T00:00:00"/>
    <n v="30"/>
    <n v="9411.1200000000008"/>
    <n v="0"/>
    <n v="9411.1200000000008"/>
    <m/>
    <n v="85"/>
    <n v="55"/>
    <s v="Overdue"/>
    <n v="2.5000000000000001E-2"/>
    <n v="0"/>
  </r>
  <r>
    <s v="VND-019"/>
    <s v="CleanOffice Services"/>
    <x v="3"/>
    <s v="Central"/>
    <s v="INV-0649"/>
    <d v="2024-12-06T00:00:00"/>
    <d v="2024-12-21T00:00:00"/>
    <n v="15"/>
    <n v="27824.5"/>
    <n v="0"/>
    <n v="27824.5"/>
    <m/>
    <n v="177"/>
    <n v="162"/>
    <s v="Overdue"/>
    <n v="0"/>
    <n v="0"/>
  </r>
  <r>
    <s v="VND-019"/>
    <s v="CleanOffice Services"/>
    <x v="3"/>
    <s v="Central"/>
    <s v="INV-0650"/>
    <d v="2025-03-22T00:00:00"/>
    <d v="2025-05-06T00:00:00"/>
    <n v="45"/>
    <n v="17670.349999999999"/>
    <n v="17670.349999999999"/>
    <n v="0"/>
    <d v="2025-04-23T00:00:00"/>
    <n v="71"/>
    <n v="26"/>
    <s v="Paid"/>
    <n v="0.01"/>
    <n v="176.7"/>
  </r>
  <r>
    <s v="VND-019"/>
    <s v="CleanOffice Services"/>
    <x v="3"/>
    <s v="Central"/>
    <s v="INV-0651"/>
    <d v="2025-01-03T00:00:00"/>
    <d v="2025-02-02T00:00:00"/>
    <n v="30"/>
    <n v="79958.5"/>
    <n v="79958.5"/>
    <n v="0"/>
    <d v="2025-02-02T00:00:00"/>
    <n v="149"/>
    <n v="119"/>
    <s v="Paid"/>
    <n v="2.5000000000000001E-2"/>
    <n v="0"/>
  </r>
  <r>
    <s v="VND-019"/>
    <s v="CleanOffice Services"/>
    <x v="3"/>
    <s v="Central"/>
    <s v="INV-0652"/>
    <d v="2025-03-18T00:00:00"/>
    <d v="2025-04-17T00:00:00"/>
    <n v="30"/>
    <n v="48241.53"/>
    <n v="0"/>
    <n v="48241.53"/>
    <m/>
    <n v="75"/>
    <n v="45"/>
    <s v="Overdue"/>
    <n v="0.02"/>
    <n v="0"/>
  </r>
  <r>
    <s v="VND-019"/>
    <s v="CleanOffice Services"/>
    <x v="3"/>
    <s v="Central"/>
    <s v="INV-0653"/>
    <d v="2025-04-25T00:00:00"/>
    <d v="2025-05-25T00:00:00"/>
    <n v="30"/>
    <n v="74470.039999999994"/>
    <n v="74470.039999999994"/>
    <n v="0"/>
    <d v="2025-04-29T00:00:00"/>
    <n v="37"/>
    <n v="7"/>
    <s v="Paid"/>
    <n v="0"/>
    <n v="0"/>
  </r>
  <r>
    <s v="VND-019"/>
    <s v="CleanOffice Services"/>
    <x v="3"/>
    <s v="Central"/>
    <s v="INV-0654"/>
    <d v="2025-03-27T00:00:00"/>
    <d v="2025-05-11T00:00:00"/>
    <n v="45"/>
    <n v="64792.08"/>
    <n v="0"/>
    <n v="64792.08"/>
    <m/>
    <n v="66"/>
    <n v="21"/>
    <s v="Overdue"/>
    <n v="0"/>
    <n v="0"/>
  </r>
  <r>
    <s v="VND-019"/>
    <s v="CleanOffice Services"/>
    <x v="3"/>
    <s v="Central"/>
    <s v="INV-0655"/>
    <d v="2025-01-04T00:00:00"/>
    <d v="2025-03-05T00:00:00"/>
    <n v="60"/>
    <n v="22676.36"/>
    <n v="22676.36"/>
    <n v="0"/>
    <d v="2025-03-20T00:00:00"/>
    <n v="148"/>
    <n v="88"/>
    <s v="Paid"/>
    <n v="2.5000000000000001E-2"/>
    <n v="0"/>
  </r>
  <r>
    <s v="VND-019"/>
    <s v="CleanOffice Services"/>
    <x v="3"/>
    <s v="Central"/>
    <s v="INV-0656"/>
    <d v="2025-01-31T00:00:00"/>
    <d v="2025-05-01T00:00:00"/>
    <n v="90"/>
    <n v="30827.38"/>
    <n v="0"/>
    <n v="30827.38"/>
    <m/>
    <n v="121"/>
    <n v="31"/>
    <s v="Overdue"/>
    <n v="0"/>
    <n v="0"/>
  </r>
  <r>
    <s v="VND-019"/>
    <s v="CleanOffice Services"/>
    <x v="3"/>
    <s v="Central"/>
    <s v="INV-0657"/>
    <d v="2025-03-21T00:00:00"/>
    <d v="2025-05-20T00:00:00"/>
    <n v="60"/>
    <n v="8645.65"/>
    <n v="8645.65"/>
    <n v="0"/>
    <d v="2025-03-27T00:00:00"/>
    <n v="72"/>
    <n v="12"/>
    <s v="Paid"/>
    <n v="0.01"/>
    <n v="86.46"/>
  </r>
  <r>
    <s v="VND-019"/>
    <s v="CleanOffice Services"/>
    <x v="3"/>
    <s v="Central"/>
    <s v="INV-0658"/>
    <d v="2025-03-03T00:00:00"/>
    <d v="2025-06-01T00:00:00"/>
    <n v="90"/>
    <n v="40285.040000000001"/>
    <n v="0"/>
    <n v="40285.040000000001"/>
    <m/>
    <n v="90"/>
    <n v="0"/>
    <s v="Pending"/>
    <n v="0.02"/>
    <n v="0"/>
  </r>
  <r>
    <s v="VND-019"/>
    <s v="CleanOffice Services"/>
    <x v="3"/>
    <s v="Central"/>
    <s v="INV-0659"/>
    <d v="2025-01-13T00:00:00"/>
    <d v="2025-02-27T00:00:00"/>
    <n v="45"/>
    <n v="13422.94"/>
    <n v="13422.94"/>
    <n v="0"/>
    <d v="2025-02-27T00:00:00"/>
    <n v="139"/>
    <n v="94"/>
    <s v="Paid"/>
    <n v="0.01"/>
    <n v="0"/>
  </r>
  <r>
    <s v="VND-019"/>
    <s v="CleanOffice Services"/>
    <x v="3"/>
    <s v="Central"/>
    <s v="INV-0660"/>
    <d v="2025-04-09T00:00:00"/>
    <d v="2025-04-24T00:00:00"/>
    <n v="15"/>
    <n v="72225.22"/>
    <n v="72225.22"/>
    <n v="0"/>
    <d v="2025-04-19T00:00:00"/>
    <n v="53"/>
    <n v="38"/>
    <s v="Paid"/>
    <n v="0.02"/>
    <n v="1444.5"/>
  </r>
  <r>
    <s v="VND-019"/>
    <s v="CleanOffice Services"/>
    <x v="3"/>
    <s v="Central"/>
    <s v="INV-0661"/>
    <d v="2025-03-05T00:00:00"/>
    <d v="2025-04-04T00:00:00"/>
    <n v="30"/>
    <n v="67024.92"/>
    <n v="67024.92"/>
    <n v="0"/>
    <d v="2025-03-10T00:00:00"/>
    <n v="88"/>
    <n v="58"/>
    <s v="Paid"/>
    <n v="0.02"/>
    <n v="1340.5"/>
  </r>
  <r>
    <s v="VND-019"/>
    <s v="CleanOffice Services"/>
    <x v="3"/>
    <s v="Central"/>
    <s v="INV-0662"/>
    <d v="2025-05-23T00:00:00"/>
    <d v="2025-06-07T00:00:00"/>
    <n v="15"/>
    <n v="10974.57"/>
    <n v="0"/>
    <n v="10974.57"/>
    <m/>
    <n v="9"/>
    <n v="0"/>
    <s v="Pending"/>
    <n v="2.5000000000000001E-2"/>
    <n v="0"/>
  </r>
  <r>
    <s v="VND-019"/>
    <s v="CleanOffice Services"/>
    <x v="3"/>
    <s v="Central"/>
    <s v="INV-0663"/>
    <d v="2025-05-01T00:00:00"/>
    <d v="2025-06-15T00:00:00"/>
    <n v="45"/>
    <n v="62877.91"/>
    <n v="0"/>
    <n v="62877.91"/>
    <m/>
    <n v="31"/>
    <n v="0"/>
    <s v="Pending"/>
    <n v="0.02"/>
    <n v="0"/>
  </r>
  <r>
    <s v="VND-019"/>
    <s v="CleanOffice Services"/>
    <x v="3"/>
    <s v="Central"/>
    <s v="INV-0664"/>
    <d v="2025-03-08T00:00:00"/>
    <d v="2025-04-22T00:00:00"/>
    <n v="45"/>
    <n v="4688.37"/>
    <n v="4688.37"/>
    <n v="0"/>
    <d v="2025-05-13T00:00:00"/>
    <n v="85"/>
    <n v="40"/>
    <s v="Paid"/>
    <n v="0.01"/>
    <n v="0"/>
  </r>
  <r>
    <s v="VND-019"/>
    <s v="CleanOffice Services"/>
    <x v="3"/>
    <s v="Central"/>
    <s v="INV-0665"/>
    <d v="2025-02-13T00:00:00"/>
    <d v="2025-03-30T00:00:00"/>
    <n v="45"/>
    <n v="5017.05"/>
    <n v="5017.05"/>
    <n v="0"/>
    <d v="2025-03-01T00:00:00"/>
    <n v="108"/>
    <n v="63"/>
    <s v="Paid"/>
    <n v="0.01"/>
    <n v="50.17"/>
  </r>
  <r>
    <s v="VND-019"/>
    <s v="CleanOffice Services"/>
    <x v="3"/>
    <s v="Central"/>
    <s v="INV-0666"/>
    <d v="2025-01-21T00:00:00"/>
    <d v="2025-02-05T00:00:00"/>
    <n v="15"/>
    <n v="19681.759999999998"/>
    <n v="19681.759999999998"/>
    <n v="0"/>
    <d v="2025-02-23T00:00:00"/>
    <n v="131"/>
    <n v="116"/>
    <s v="Paid"/>
    <n v="0.02"/>
    <n v="0"/>
  </r>
  <r>
    <s v="VND-019"/>
    <s v="CleanOffice Services"/>
    <x v="3"/>
    <s v="Central"/>
    <s v="INV-0667"/>
    <d v="2025-03-02T00:00:00"/>
    <d v="2025-04-01T00:00:00"/>
    <n v="30"/>
    <n v="42298.77"/>
    <n v="42298.77"/>
    <n v="0"/>
    <d v="2025-03-07T00:00:00"/>
    <n v="91"/>
    <n v="61"/>
    <s v="Paid"/>
    <n v="0.02"/>
    <n v="845.98"/>
  </r>
  <r>
    <s v="VND-019"/>
    <s v="CleanOffice Services"/>
    <x v="3"/>
    <s v="Central"/>
    <s v="INV-0668"/>
    <d v="2025-01-07T00:00:00"/>
    <d v="2025-04-07T00:00:00"/>
    <n v="90"/>
    <n v="45680.57"/>
    <n v="0"/>
    <n v="45680.57"/>
    <m/>
    <n v="145"/>
    <n v="55"/>
    <s v="Overdue"/>
    <n v="0.02"/>
    <n v="0"/>
  </r>
  <r>
    <s v="VND-019"/>
    <s v="CleanOffice Services"/>
    <x v="3"/>
    <s v="Central"/>
    <s v="INV-0669"/>
    <d v="2025-04-02T00:00:00"/>
    <d v="2025-06-01T00:00:00"/>
    <n v="60"/>
    <n v="13589.46"/>
    <n v="0"/>
    <n v="13589.46"/>
    <m/>
    <n v="60"/>
    <n v="0"/>
    <s v="Pending"/>
    <n v="0.02"/>
    <n v="0"/>
  </r>
  <r>
    <s v="VND-019"/>
    <s v="CleanOffice Services"/>
    <x v="3"/>
    <s v="Central"/>
    <s v="INV-0670"/>
    <d v="2025-03-05T00:00:00"/>
    <d v="2025-05-04T00:00:00"/>
    <n v="60"/>
    <n v="67276.44"/>
    <n v="43772.91"/>
    <n v="23503.53"/>
    <d v="2025-04-16T00:00:00"/>
    <n v="88"/>
    <n v="28"/>
    <s v="Partial"/>
    <n v="0"/>
    <n v="0"/>
  </r>
  <r>
    <s v="VND-019"/>
    <s v="CleanOffice Services"/>
    <x v="3"/>
    <s v="Central"/>
    <s v="INV-0671"/>
    <d v="2025-02-16T00:00:00"/>
    <d v="2025-04-17T00:00:00"/>
    <n v="60"/>
    <n v="74629.2"/>
    <n v="0"/>
    <n v="74629.2"/>
    <m/>
    <n v="105"/>
    <n v="45"/>
    <s v="Overdue"/>
    <n v="0"/>
    <n v="0"/>
  </r>
  <r>
    <s v="VND-019"/>
    <s v="CleanOffice Services"/>
    <x v="3"/>
    <s v="Central"/>
    <s v="INV-0672"/>
    <d v="2025-03-16T00:00:00"/>
    <d v="2025-04-15T00:00:00"/>
    <n v="30"/>
    <n v="58147.64"/>
    <n v="58147.64"/>
    <n v="0"/>
    <d v="2025-04-19T00:00:00"/>
    <n v="77"/>
    <n v="47"/>
    <s v="Paid"/>
    <n v="0.02"/>
    <n v="0"/>
  </r>
  <r>
    <s v="VND-019"/>
    <s v="CleanOffice Services"/>
    <x v="3"/>
    <s v="Central"/>
    <s v="INV-0673"/>
    <d v="2025-04-25T00:00:00"/>
    <d v="2025-06-09T00:00:00"/>
    <n v="45"/>
    <n v="3679.71"/>
    <n v="0"/>
    <n v="3679.71"/>
    <m/>
    <n v="37"/>
    <n v="0"/>
    <s v="Pending"/>
    <n v="0.02"/>
    <n v="0"/>
  </r>
  <r>
    <s v="VND-019"/>
    <s v="CleanOffice Services"/>
    <x v="3"/>
    <s v="Central"/>
    <s v="INV-0674"/>
    <d v="2025-03-31T00:00:00"/>
    <d v="2025-06-29T00:00:00"/>
    <n v="90"/>
    <n v="27596.62"/>
    <n v="0"/>
    <n v="27596.62"/>
    <m/>
    <n v="62"/>
    <n v="0"/>
    <s v="Pending"/>
    <n v="0.01"/>
    <n v="0"/>
  </r>
  <r>
    <s v="VND-020"/>
    <s v="GasNetwork"/>
    <x v="4"/>
    <s v="Central"/>
    <s v="INV-0675"/>
    <d v="2025-05-21T00:00:00"/>
    <d v="2025-06-20T00:00:00"/>
    <n v="30"/>
    <n v="58371.31"/>
    <n v="0"/>
    <n v="58371.31"/>
    <m/>
    <n v="11"/>
    <n v="0"/>
    <s v="Pending"/>
    <n v="0.01"/>
    <n v="0"/>
  </r>
  <r>
    <s v="VND-020"/>
    <s v="GasNetwork"/>
    <x v="4"/>
    <s v="Central"/>
    <s v="INV-0676"/>
    <d v="2025-02-14T00:00:00"/>
    <d v="2025-04-15T00:00:00"/>
    <n v="60"/>
    <n v="53089.55"/>
    <n v="53089.55"/>
    <n v="0"/>
    <d v="2025-04-21T00:00:00"/>
    <n v="107"/>
    <n v="47"/>
    <s v="Paid"/>
    <n v="2.5000000000000001E-2"/>
    <n v="0"/>
  </r>
  <r>
    <s v="VND-020"/>
    <s v="GasNetwork"/>
    <x v="4"/>
    <s v="Central"/>
    <s v="INV-0677"/>
    <d v="2024-12-27T00:00:00"/>
    <d v="2025-03-27T00:00:00"/>
    <n v="90"/>
    <n v="14365.13"/>
    <n v="14365.13"/>
    <n v="0"/>
    <d v="2025-03-09T00:00:00"/>
    <n v="156"/>
    <n v="66"/>
    <s v="Paid"/>
    <n v="0.02"/>
    <n v="287.3"/>
  </r>
  <r>
    <s v="VND-020"/>
    <s v="GasNetwork"/>
    <x v="4"/>
    <s v="Central"/>
    <s v="INV-0678"/>
    <d v="2025-04-09T00:00:00"/>
    <d v="2025-04-24T00:00:00"/>
    <n v="15"/>
    <n v="17185.849999999999"/>
    <n v="11603.69"/>
    <n v="5582.16"/>
    <d v="2025-05-29T00:00:00"/>
    <n v="53"/>
    <n v="38"/>
    <s v="Partial"/>
    <n v="2.5000000000000001E-2"/>
    <n v="0"/>
  </r>
  <r>
    <s v="VND-020"/>
    <s v="GasNetwork"/>
    <x v="4"/>
    <s v="Central"/>
    <s v="INV-0679"/>
    <d v="2024-12-09T00:00:00"/>
    <d v="2025-01-23T00:00:00"/>
    <n v="45"/>
    <n v="9934.06"/>
    <n v="9934.06"/>
    <n v="0"/>
    <d v="2025-01-15T00:00:00"/>
    <n v="174"/>
    <n v="129"/>
    <s v="Paid"/>
    <n v="2.5000000000000001E-2"/>
    <n v="248.35"/>
  </r>
  <r>
    <s v="VND-020"/>
    <s v="GasNetwork"/>
    <x v="4"/>
    <s v="Central"/>
    <s v="INV-0680"/>
    <d v="2025-03-07T00:00:00"/>
    <d v="2025-06-05T00:00:00"/>
    <n v="90"/>
    <n v="56960.47"/>
    <n v="0"/>
    <n v="56960.47"/>
    <m/>
    <n v="86"/>
    <n v="0"/>
    <s v="Pending"/>
    <n v="0.01"/>
    <n v="0"/>
  </r>
  <r>
    <s v="VND-020"/>
    <s v="GasNetwork"/>
    <x v="4"/>
    <s v="Central"/>
    <s v="INV-0681"/>
    <d v="2025-02-03T00:00:00"/>
    <d v="2025-04-04T00:00:00"/>
    <n v="60"/>
    <n v="44633.77"/>
    <n v="33225.54"/>
    <n v="11408.23"/>
    <d v="2025-03-17T00:00:00"/>
    <n v="118"/>
    <n v="58"/>
    <s v="Partial"/>
    <n v="0.01"/>
    <n v="0"/>
  </r>
  <r>
    <s v="VND-020"/>
    <s v="GasNetwork"/>
    <x v="4"/>
    <s v="Central"/>
    <s v="INV-0682"/>
    <d v="2025-02-18T00:00:00"/>
    <d v="2025-05-19T00:00:00"/>
    <n v="90"/>
    <n v="65002.8"/>
    <n v="65002.8"/>
    <n v="0"/>
    <d v="2025-06-18T00:00:00"/>
    <n v="103"/>
    <n v="13"/>
    <s v="Paid"/>
    <n v="2.5000000000000001E-2"/>
    <n v="0"/>
  </r>
  <r>
    <s v="VND-020"/>
    <s v="GasNetwork"/>
    <x v="4"/>
    <s v="Central"/>
    <s v="INV-0683"/>
    <d v="2025-04-14T00:00:00"/>
    <d v="2025-04-29T00:00:00"/>
    <n v="15"/>
    <n v="15046.96"/>
    <n v="15046.96"/>
    <n v="0"/>
    <d v="2025-04-17T00:00:00"/>
    <n v="48"/>
    <n v="33"/>
    <s v="Paid"/>
    <n v="0.02"/>
    <n v="300.94"/>
  </r>
  <r>
    <s v="VND-020"/>
    <s v="GasNetwork"/>
    <x v="4"/>
    <s v="Central"/>
    <s v="INV-0684"/>
    <d v="2025-03-18T00:00:00"/>
    <d v="2025-06-16T00:00:00"/>
    <n v="90"/>
    <n v="33611.42"/>
    <n v="0"/>
    <n v="33611.42"/>
    <m/>
    <n v="75"/>
    <n v="0"/>
    <s v="Pending"/>
    <n v="0.01"/>
    <n v="0"/>
  </r>
  <r>
    <s v="VND-020"/>
    <s v="GasNetwork"/>
    <x v="4"/>
    <s v="Central"/>
    <s v="INV-0685"/>
    <d v="2025-02-18T00:00:00"/>
    <d v="2025-03-05T00:00:00"/>
    <n v="15"/>
    <n v="33735.58"/>
    <n v="33735.58"/>
    <n v="0"/>
    <d v="2025-02-21T00:00:00"/>
    <n v="103"/>
    <n v="88"/>
    <s v="Paid"/>
    <n v="0.01"/>
    <n v="337.36"/>
  </r>
  <r>
    <s v="VND-020"/>
    <s v="GasNetwork"/>
    <x v="4"/>
    <s v="Central"/>
    <s v="INV-0686"/>
    <d v="2024-12-15T00:00:00"/>
    <d v="2025-02-13T00:00:00"/>
    <n v="60"/>
    <n v="60433.84"/>
    <n v="60433.84"/>
    <n v="0"/>
    <d v="2025-02-02T00:00:00"/>
    <n v="168"/>
    <n v="108"/>
    <s v="Paid"/>
    <n v="0.01"/>
    <n v="604.34"/>
  </r>
  <r>
    <s v="VND-020"/>
    <s v="GasNetwork"/>
    <x v="4"/>
    <s v="Central"/>
    <s v="INV-0687"/>
    <d v="2025-02-21T00:00:00"/>
    <d v="2025-05-22T00:00:00"/>
    <n v="90"/>
    <n v="58580.81"/>
    <n v="58580.81"/>
    <n v="0"/>
    <d v="2025-06-10T00:00:00"/>
    <n v="100"/>
    <n v="10"/>
    <s v="Paid"/>
    <n v="0.01"/>
    <n v="0"/>
  </r>
  <r>
    <s v="VND-020"/>
    <s v="GasNetwork"/>
    <x v="4"/>
    <s v="Central"/>
    <s v="INV-0688"/>
    <d v="2025-02-06T00:00:00"/>
    <d v="2025-03-23T00:00:00"/>
    <n v="45"/>
    <n v="45655.68"/>
    <n v="45655.68"/>
    <n v="0"/>
    <d v="2025-03-23T00:00:00"/>
    <n v="115"/>
    <n v="70"/>
    <s v="Paid"/>
    <n v="2.5000000000000001E-2"/>
    <n v="0"/>
  </r>
  <r>
    <s v="VND-020"/>
    <s v="GasNetwork"/>
    <x v="4"/>
    <s v="Central"/>
    <s v="INV-0689"/>
    <d v="2025-01-12T00:00:00"/>
    <d v="2025-03-13T00:00:00"/>
    <n v="60"/>
    <n v="79786.789999999994"/>
    <n v="79786.789999999994"/>
    <n v="0"/>
    <d v="2025-04-07T00:00:00"/>
    <n v="140"/>
    <n v="80"/>
    <s v="Paid"/>
    <n v="0.02"/>
    <n v="0"/>
  </r>
  <r>
    <s v="VND-020"/>
    <s v="GasNetwork"/>
    <x v="4"/>
    <s v="Central"/>
    <s v="INV-0690"/>
    <d v="2025-03-15T00:00:00"/>
    <d v="2025-03-30T00:00:00"/>
    <n v="15"/>
    <n v="70623.62"/>
    <n v="0"/>
    <n v="70623.62"/>
    <m/>
    <n v="78"/>
    <n v="63"/>
    <s v="Overdue"/>
    <n v="0.02"/>
    <n v="0"/>
  </r>
  <r>
    <s v="VND-020"/>
    <s v="GasNetwork"/>
    <x v="4"/>
    <s v="Central"/>
    <s v="INV-0691"/>
    <d v="2025-01-08T00:00:00"/>
    <d v="2025-02-07T00:00:00"/>
    <n v="30"/>
    <n v="28057.51"/>
    <n v="28057.51"/>
    <n v="0"/>
    <d v="2025-01-19T00:00:00"/>
    <n v="144"/>
    <n v="114"/>
    <s v="Paid"/>
    <n v="0.01"/>
    <n v="280.58"/>
  </r>
  <r>
    <s v="VND-020"/>
    <s v="GasNetwork"/>
    <x v="4"/>
    <s v="Central"/>
    <s v="INV-0692"/>
    <d v="2025-04-29T00:00:00"/>
    <d v="2025-06-28T00:00:00"/>
    <n v="60"/>
    <n v="72321.27"/>
    <n v="0"/>
    <n v="72321.27"/>
    <m/>
    <n v="33"/>
    <n v="0"/>
    <s v="Pending"/>
    <n v="0.02"/>
    <n v="0"/>
  </r>
  <r>
    <s v="VND-020"/>
    <s v="GasNetwork"/>
    <x v="4"/>
    <s v="Central"/>
    <s v="INV-0693"/>
    <d v="2025-03-05T00:00:00"/>
    <d v="2025-04-19T00:00:00"/>
    <n v="45"/>
    <n v="44586.35"/>
    <n v="34207.85"/>
    <n v="10378.5"/>
    <d v="2025-04-01T00:00:00"/>
    <n v="88"/>
    <n v="43"/>
    <s v="Partial"/>
    <n v="0"/>
    <n v="0"/>
  </r>
  <r>
    <s v="VND-020"/>
    <s v="GasNetwork"/>
    <x v="4"/>
    <s v="Central"/>
    <s v="INV-0694"/>
    <d v="2025-05-20T00:00:00"/>
    <d v="2025-07-04T00:00:00"/>
    <n v="45"/>
    <n v="74713.509999999995"/>
    <n v="0"/>
    <n v="74713.509999999995"/>
    <m/>
    <n v="12"/>
    <n v="0"/>
    <s v="Pending"/>
    <n v="0.02"/>
    <n v="0"/>
  </r>
  <r>
    <s v="VND-020"/>
    <s v="GasNetwork"/>
    <x v="4"/>
    <s v="Central"/>
    <s v="INV-0695"/>
    <d v="2025-02-27T00:00:00"/>
    <d v="2025-03-29T00:00:00"/>
    <n v="30"/>
    <n v="57971.31"/>
    <n v="57971.31"/>
    <n v="0"/>
    <d v="2025-03-23T00:00:00"/>
    <n v="94"/>
    <n v="64"/>
    <s v="Paid"/>
    <n v="2.5000000000000001E-2"/>
    <n v="1449.28"/>
  </r>
  <r>
    <s v="VND-020"/>
    <s v="GasNetwork"/>
    <x v="4"/>
    <s v="Central"/>
    <s v="INV-0696"/>
    <d v="2025-03-03T00:00:00"/>
    <d v="2025-05-02T00:00:00"/>
    <n v="60"/>
    <n v="42934.19"/>
    <n v="42934.19"/>
    <n v="0"/>
    <d v="2025-04-06T00:00:00"/>
    <n v="90"/>
    <n v="30"/>
    <s v="Paid"/>
    <n v="2.5000000000000001E-2"/>
    <n v="1073.3499999999999"/>
  </r>
  <r>
    <s v="VND-020"/>
    <s v="GasNetwork"/>
    <x v="4"/>
    <s v="Central"/>
    <s v="INV-0697"/>
    <d v="2025-05-01T00:00:00"/>
    <d v="2025-06-15T00:00:00"/>
    <n v="45"/>
    <n v="2358.7600000000002"/>
    <n v="0"/>
    <n v="2358.7600000000002"/>
    <m/>
    <n v="31"/>
    <n v="0"/>
    <s v="Pending"/>
    <n v="0.02"/>
    <n v="0"/>
  </r>
  <r>
    <s v="VND-020"/>
    <s v="GasNetwork"/>
    <x v="4"/>
    <s v="Central"/>
    <s v="INV-0698"/>
    <d v="2024-12-22T00:00:00"/>
    <d v="2025-02-05T00:00:00"/>
    <n v="45"/>
    <n v="12020.54"/>
    <n v="12020.54"/>
    <n v="0"/>
    <d v="2025-01-15T00:00:00"/>
    <n v="161"/>
    <n v="116"/>
    <s v="Paid"/>
    <n v="0.01"/>
    <n v="120.21"/>
  </r>
  <r>
    <s v="VND-020"/>
    <s v="GasNetwork"/>
    <x v="4"/>
    <s v="Central"/>
    <s v="INV-0699"/>
    <d v="2025-02-17T00:00:00"/>
    <d v="2025-03-19T00:00:00"/>
    <n v="30"/>
    <n v="61237.73"/>
    <n v="29383.47"/>
    <n v="31854.26"/>
    <d v="2025-05-22T00:00:00"/>
    <n v="104"/>
    <n v="74"/>
    <s v="Partial"/>
    <n v="0"/>
    <n v="0"/>
  </r>
  <r>
    <s v="VND-020"/>
    <s v="GasNetwork"/>
    <x v="4"/>
    <s v="Central"/>
    <s v="INV-0700"/>
    <d v="2024-12-22T00:00:00"/>
    <d v="2025-01-06T00:00:00"/>
    <n v="15"/>
    <n v="10983.97"/>
    <n v="10983.97"/>
    <n v="0"/>
    <d v="2025-01-05T00:00:00"/>
    <n v="161"/>
    <n v="146"/>
    <s v="Paid"/>
    <n v="0.01"/>
    <n v="0"/>
  </r>
  <r>
    <s v="VND-020"/>
    <s v="GasNetwork"/>
    <x v="4"/>
    <s v="Central"/>
    <s v="INV-0701"/>
    <d v="2025-01-07T00:00:00"/>
    <d v="2025-02-06T00:00:00"/>
    <n v="30"/>
    <n v="72530.73"/>
    <n v="72530.73"/>
    <n v="0"/>
    <d v="2025-02-18T00:00:00"/>
    <n v="145"/>
    <n v="115"/>
    <s v="Paid"/>
    <n v="2.5000000000000001E-2"/>
    <n v="0"/>
  </r>
  <r>
    <s v="VND-020"/>
    <s v="GasNetwork"/>
    <x v="4"/>
    <s v="Central"/>
    <s v="INV-0702"/>
    <d v="2025-03-24T00:00:00"/>
    <d v="2025-04-08T00:00:00"/>
    <n v="15"/>
    <n v="48553.440000000002"/>
    <n v="0"/>
    <n v="48553.440000000002"/>
    <m/>
    <n v="69"/>
    <n v="54"/>
    <s v="Overdue"/>
    <n v="0.0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2">
  <r>
    <s v="VND-001"/>
    <s v="Acero Nacional SA"/>
    <s v="Materials"/>
    <s v="West"/>
    <s v="INV-0001"/>
    <d v="2025-04-06T00:00:00"/>
    <d v="2025-07-05T00:00:00"/>
    <n v="90"/>
    <n v="15125.38"/>
    <n v="0"/>
    <n v="15125.38"/>
    <m/>
    <n v="56"/>
    <n v="0"/>
    <x v="0"/>
    <n v="0.01"/>
    <n v="0"/>
  </r>
  <r>
    <s v="VND-001"/>
    <s v="Acero Nacional SA"/>
    <s v="Materials"/>
    <s v="West"/>
    <s v="INV-0002"/>
    <d v="2025-05-05T00:00:00"/>
    <d v="2025-06-19T00:00:00"/>
    <n v="45"/>
    <n v="58593.45"/>
    <n v="0"/>
    <n v="58593.45"/>
    <m/>
    <n v="27"/>
    <n v="0"/>
    <x v="0"/>
    <n v="0"/>
    <n v="0"/>
  </r>
  <r>
    <s v="VND-001"/>
    <s v="Acero Nacional SA"/>
    <s v="Materials"/>
    <s v="West"/>
    <s v="INV-0003"/>
    <d v="2025-01-22T00:00:00"/>
    <d v="2025-02-21T00:00:00"/>
    <n v="30"/>
    <n v="34309.5"/>
    <n v="34309.5"/>
    <n v="0"/>
    <d v="2025-03-19T00:00:00"/>
    <n v="130"/>
    <n v="100"/>
    <x v="1"/>
    <n v="0.01"/>
    <n v="0"/>
  </r>
  <r>
    <s v="VND-001"/>
    <s v="Acero Nacional SA"/>
    <s v="Materials"/>
    <s v="West"/>
    <s v="INV-0004"/>
    <d v="2025-02-21T00:00:00"/>
    <d v="2025-04-22T00:00:00"/>
    <n v="60"/>
    <n v="69057.88"/>
    <n v="69057.88"/>
    <n v="0"/>
    <d v="2025-04-04T00:00:00"/>
    <n v="100"/>
    <n v="40"/>
    <x v="1"/>
    <n v="0.01"/>
    <n v="690.58"/>
  </r>
  <r>
    <s v="VND-001"/>
    <s v="Acero Nacional SA"/>
    <s v="Materials"/>
    <s v="West"/>
    <s v="INV-0005"/>
    <d v="2025-04-12T00:00:00"/>
    <d v="2025-07-11T00:00:00"/>
    <n v="90"/>
    <n v="27765.73"/>
    <n v="0"/>
    <n v="27765.73"/>
    <m/>
    <n v="50"/>
    <n v="0"/>
    <x v="0"/>
    <n v="0"/>
    <n v="0"/>
  </r>
  <r>
    <s v="VND-001"/>
    <s v="Acero Nacional SA"/>
    <s v="Materials"/>
    <s v="West"/>
    <s v="INV-0006"/>
    <d v="2025-02-13T00:00:00"/>
    <d v="2025-02-28T00:00:00"/>
    <n v="15"/>
    <n v="22282.54"/>
    <n v="7882.94"/>
    <n v="14399.6"/>
    <d v="2025-04-23T00:00:00"/>
    <n v="108"/>
    <n v="93"/>
    <x v="2"/>
    <n v="0"/>
    <n v="0"/>
  </r>
  <r>
    <s v="VND-001"/>
    <s v="Acero Nacional SA"/>
    <s v="Materials"/>
    <s v="West"/>
    <s v="INV-0007"/>
    <d v="2025-05-07T00:00:00"/>
    <d v="2025-07-06T00:00:00"/>
    <n v="60"/>
    <n v="41973.74"/>
    <n v="0"/>
    <n v="41973.74"/>
    <m/>
    <n v="25"/>
    <n v="0"/>
    <x v="0"/>
    <n v="0.01"/>
    <n v="0"/>
  </r>
  <r>
    <s v="VND-001"/>
    <s v="Acero Nacional SA"/>
    <s v="Materials"/>
    <s v="West"/>
    <s v="INV-0008"/>
    <d v="2025-05-14T00:00:00"/>
    <d v="2025-06-28T00:00:00"/>
    <n v="45"/>
    <n v="11202.04"/>
    <n v="0"/>
    <n v="11202.04"/>
    <m/>
    <n v="18"/>
    <n v="0"/>
    <x v="0"/>
    <n v="0.01"/>
    <n v="0"/>
  </r>
  <r>
    <s v="VND-001"/>
    <s v="Acero Nacional SA"/>
    <s v="Materials"/>
    <s v="West"/>
    <s v="INV-0009"/>
    <d v="2025-02-03T00:00:00"/>
    <d v="2025-05-04T00:00:00"/>
    <n v="90"/>
    <n v="74062.91"/>
    <n v="74062.91"/>
    <n v="0"/>
    <d v="2025-05-26T00:00:00"/>
    <n v="118"/>
    <n v="28"/>
    <x v="1"/>
    <n v="0.01"/>
    <n v="0"/>
  </r>
  <r>
    <s v="VND-001"/>
    <s v="Acero Nacional SA"/>
    <s v="Materials"/>
    <s v="West"/>
    <s v="INV-0010"/>
    <d v="2025-04-12T00:00:00"/>
    <d v="2025-04-27T00:00:00"/>
    <n v="15"/>
    <n v="9673.6"/>
    <n v="6517.76"/>
    <n v="3155.84"/>
    <d v="2025-04-18T00:00:00"/>
    <n v="50"/>
    <n v="35"/>
    <x v="2"/>
    <n v="0.01"/>
    <n v="0"/>
  </r>
  <r>
    <s v="VND-001"/>
    <s v="Acero Nacional SA"/>
    <s v="Materials"/>
    <s v="West"/>
    <s v="INV-0011"/>
    <d v="2025-02-08T00:00:00"/>
    <d v="2025-02-23T00:00:00"/>
    <n v="15"/>
    <n v="12290.01"/>
    <n v="12290.01"/>
    <n v="0"/>
    <d v="2025-02-12T00:00:00"/>
    <n v="113"/>
    <n v="98"/>
    <x v="1"/>
    <n v="0"/>
    <n v="0"/>
  </r>
  <r>
    <s v="VND-001"/>
    <s v="Acero Nacional SA"/>
    <s v="Materials"/>
    <s v="West"/>
    <s v="INV-0012"/>
    <d v="2025-01-14T00:00:00"/>
    <d v="2025-03-15T00:00:00"/>
    <n v="60"/>
    <n v="16862.759999999998"/>
    <n v="0"/>
    <n v="16862.759999999998"/>
    <m/>
    <n v="138"/>
    <n v="78"/>
    <x v="3"/>
    <n v="0"/>
    <n v="0"/>
  </r>
  <r>
    <s v="VND-001"/>
    <s v="Acero Nacional SA"/>
    <s v="Materials"/>
    <s v="West"/>
    <s v="INV-0013"/>
    <d v="2025-02-03T00:00:00"/>
    <d v="2025-03-20T00:00:00"/>
    <n v="45"/>
    <n v="44092.2"/>
    <n v="44092.2"/>
    <n v="0"/>
    <d v="2025-03-19T00:00:00"/>
    <n v="118"/>
    <n v="73"/>
    <x v="1"/>
    <n v="0.01"/>
    <n v="0"/>
  </r>
  <r>
    <s v="VND-001"/>
    <s v="Acero Nacional SA"/>
    <s v="Materials"/>
    <s v="West"/>
    <s v="INV-0014"/>
    <d v="2025-01-26T00:00:00"/>
    <d v="2025-02-10T00:00:00"/>
    <n v="15"/>
    <n v="11343.23"/>
    <n v="0"/>
    <n v="11343.23"/>
    <m/>
    <n v="126"/>
    <n v="111"/>
    <x v="3"/>
    <n v="0.01"/>
    <n v="0"/>
  </r>
  <r>
    <s v="VND-001"/>
    <s v="Acero Nacional SA"/>
    <s v="Materials"/>
    <s v="West"/>
    <s v="INV-0015"/>
    <d v="2025-02-12T00:00:00"/>
    <d v="2025-02-27T00:00:00"/>
    <n v="15"/>
    <n v="8622.18"/>
    <n v="8622.18"/>
    <n v="0"/>
    <d v="2025-02-17T00:00:00"/>
    <n v="109"/>
    <n v="94"/>
    <x v="1"/>
    <n v="0.01"/>
    <n v="86.22"/>
  </r>
  <r>
    <s v="VND-001"/>
    <s v="Acero Nacional SA"/>
    <s v="Materials"/>
    <s v="West"/>
    <s v="INV-0016"/>
    <d v="2025-02-12T00:00:00"/>
    <d v="2025-03-14T00:00:00"/>
    <n v="30"/>
    <n v="74006.58"/>
    <n v="74006.58"/>
    <n v="0"/>
    <d v="2025-04-09T00:00:00"/>
    <n v="109"/>
    <n v="79"/>
    <x v="1"/>
    <n v="0.02"/>
    <n v="0"/>
  </r>
  <r>
    <s v="VND-001"/>
    <s v="Acero Nacional SA"/>
    <s v="Materials"/>
    <s v="West"/>
    <s v="INV-0017"/>
    <d v="2025-03-29T00:00:00"/>
    <d v="2025-05-13T00:00:00"/>
    <n v="45"/>
    <n v="10259.85"/>
    <n v="10259.85"/>
    <n v="0"/>
    <d v="2025-04-02T00:00:00"/>
    <n v="64"/>
    <n v="19"/>
    <x v="1"/>
    <n v="0.02"/>
    <n v="205.2"/>
  </r>
  <r>
    <s v="VND-001"/>
    <s v="Acero Nacional SA"/>
    <s v="Materials"/>
    <s v="West"/>
    <s v="INV-0018"/>
    <d v="2025-01-19T00:00:00"/>
    <d v="2025-03-05T00:00:00"/>
    <n v="45"/>
    <n v="1880.73"/>
    <n v="1880.73"/>
    <n v="0"/>
    <d v="2025-02-12T00:00:00"/>
    <n v="133"/>
    <n v="88"/>
    <x v="1"/>
    <n v="0"/>
    <n v="0"/>
  </r>
  <r>
    <s v="VND-001"/>
    <s v="Acero Nacional SA"/>
    <s v="Materials"/>
    <s v="West"/>
    <s v="INV-0019"/>
    <d v="2025-02-14T00:00:00"/>
    <d v="2025-03-31T00:00:00"/>
    <n v="45"/>
    <n v="65967"/>
    <n v="65967"/>
    <n v="0"/>
    <d v="2025-03-09T00:00:00"/>
    <n v="107"/>
    <n v="62"/>
    <x v="1"/>
    <n v="2.5000000000000001E-2"/>
    <n v="1649.18"/>
  </r>
  <r>
    <s v="VND-001"/>
    <s v="Acero Nacional SA"/>
    <s v="Materials"/>
    <s v="West"/>
    <s v="INV-0020"/>
    <d v="2025-01-11T00:00:00"/>
    <d v="2025-01-26T00:00:00"/>
    <n v="15"/>
    <n v="15316.81"/>
    <n v="15316.81"/>
    <n v="0"/>
    <d v="2025-02-19T00:00:00"/>
    <n v="141"/>
    <n v="126"/>
    <x v="1"/>
    <n v="0"/>
    <n v="0"/>
  </r>
  <r>
    <s v="VND-001"/>
    <s v="Acero Nacional SA"/>
    <s v="Materials"/>
    <s v="West"/>
    <s v="INV-0021"/>
    <d v="2025-02-14T00:00:00"/>
    <d v="2025-04-15T00:00:00"/>
    <n v="60"/>
    <n v="19186.57"/>
    <n v="0"/>
    <n v="19186.57"/>
    <m/>
    <n v="107"/>
    <n v="47"/>
    <x v="3"/>
    <n v="0.01"/>
    <n v="0"/>
  </r>
  <r>
    <s v="VND-001"/>
    <s v="Acero Nacional SA"/>
    <s v="Materials"/>
    <s v="West"/>
    <s v="INV-0022"/>
    <d v="2025-03-09T00:00:00"/>
    <d v="2025-03-24T00:00:00"/>
    <n v="15"/>
    <n v="70064.179999999993"/>
    <n v="70064.179999999993"/>
    <n v="0"/>
    <d v="2025-03-16T00:00:00"/>
    <n v="84"/>
    <n v="69"/>
    <x v="1"/>
    <n v="0.02"/>
    <n v="1401.28"/>
  </r>
  <r>
    <s v="VND-001"/>
    <s v="Acero Nacional SA"/>
    <s v="Materials"/>
    <s v="West"/>
    <s v="INV-0023"/>
    <d v="2025-02-18T00:00:00"/>
    <d v="2025-04-04T00:00:00"/>
    <n v="45"/>
    <n v="35611.9"/>
    <n v="35611.9"/>
    <n v="0"/>
    <d v="2025-04-18T00:00:00"/>
    <n v="103"/>
    <n v="58"/>
    <x v="1"/>
    <n v="0"/>
    <n v="0"/>
  </r>
  <r>
    <s v="VND-001"/>
    <s v="Acero Nacional SA"/>
    <s v="Materials"/>
    <s v="West"/>
    <s v="INV-0024"/>
    <d v="2025-03-23T00:00:00"/>
    <d v="2025-04-07T00:00:00"/>
    <n v="15"/>
    <n v="40748.9"/>
    <n v="40748.9"/>
    <n v="0"/>
    <d v="2025-04-25T00:00:00"/>
    <n v="70"/>
    <n v="55"/>
    <x v="1"/>
    <n v="0.02"/>
    <n v="0"/>
  </r>
  <r>
    <s v="VND-001"/>
    <s v="Acero Nacional SA"/>
    <s v="Materials"/>
    <s v="West"/>
    <s v="INV-0025"/>
    <d v="2025-04-25T00:00:00"/>
    <d v="2025-06-09T00:00:00"/>
    <n v="45"/>
    <n v="35042.83"/>
    <n v="0"/>
    <n v="35042.83"/>
    <m/>
    <n v="37"/>
    <n v="0"/>
    <x v="0"/>
    <n v="0.02"/>
    <n v="0"/>
  </r>
  <r>
    <s v="VND-001"/>
    <s v="Acero Nacional SA"/>
    <s v="Materials"/>
    <s v="West"/>
    <s v="INV-0026"/>
    <d v="2024-12-10T00:00:00"/>
    <d v="2025-03-10T00:00:00"/>
    <n v="90"/>
    <n v="13594.17"/>
    <n v="0"/>
    <n v="13594.17"/>
    <m/>
    <n v="173"/>
    <n v="83"/>
    <x v="3"/>
    <n v="2.5000000000000001E-2"/>
    <n v="0"/>
  </r>
  <r>
    <s v="VND-001"/>
    <s v="Acero Nacional SA"/>
    <s v="Materials"/>
    <s v="West"/>
    <s v="INV-0027"/>
    <d v="2024-12-24T00:00:00"/>
    <d v="2025-03-24T00:00:00"/>
    <n v="90"/>
    <n v="53675.75"/>
    <n v="53675.75"/>
    <n v="0"/>
    <d v="2025-02-05T00:00:00"/>
    <n v="159"/>
    <n v="69"/>
    <x v="1"/>
    <n v="2.5000000000000001E-2"/>
    <n v="1341.89"/>
  </r>
  <r>
    <s v="VND-001"/>
    <s v="Acero Nacional SA"/>
    <s v="Materials"/>
    <s v="West"/>
    <s v="INV-0028"/>
    <d v="2025-04-07T00:00:00"/>
    <d v="2025-05-22T00:00:00"/>
    <n v="45"/>
    <n v="1340.59"/>
    <n v="0"/>
    <n v="1340.59"/>
    <m/>
    <n v="55"/>
    <n v="10"/>
    <x v="3"/>
    <n v="0.02"/>
    <n v="0"/>
  </r>
  <r>
    <s v="VND-001"/>
    <s v="Acero Nacional SA"/>
    <s v="Materials"/>
    <s v="West"/>
    <s v="INV-0029"/>
    <d v="2025-04-08T00:00:00"/>
    <d v="2025-05-08T00:00:00"/>
    <n v="30"/>
    <n v="63369.91"/>
    <n v="0"/>
    <n v="63369.91"/>
    <m/>
    <n v="54"/>
    <n v="24"/>
    <x v="3"/>
    <n v="0.02"/>
    <n v="0"/>
  </r>
  <r>
    <s v="VND-001"/>
    <s v="Acero Nacional SA"/>
    <s v="Materials"/>
    <s v="West"/>
    <s v="INV-0030"/>
    <d v="2025-03-29T00:00:00"/>
    <d v="2025-05-28T00:00:00"/>
    <n v="60"/>
    <n v="68979.929999999993"/>
    <n v="0"/>
    <n v="68979.929999999993"/>
    <m/>
    <n v="64"/>
    <n v="4"/>
    <x v="3"/>
    <n v="0.02"/>
    <n v="0"/>
  </r>
  <r>
    <s v="VND-001"/>
    <s v="Acero Nacional SA"/>
    <s v="Materials"/>
    <s v="West"/>
    <s v="INV-0031"/>
    <d v="2025-05-27T00:00:00"/>
    <d v="2025-06-11T00:00:00"/>
    <n v="15"/>
    <n v="40630.839999999997"/>
    <n v="0"/>
    <n v="40630.839999999997"/>
    <m/>
    <n v="5"/>
    <n v="0"/>
    <x v="0"/>
    <n v="0.01"/>
    <n v="0"/>
  </r>
  <r>
    <s v="VND-001"/>
    <s v="Acero Nacional SA"/>
    <s v="Materials"/>
    <s v="West"/>
    <s v="INV-0032"/>
    <d v="2025-03-09T00:00:00"/>
    <d v="2025-04-08T00:00:00"/>
    <n v="30"/>
    <n v="41378.160000000003"/>
    <n v="41378.160000000003"/>
    <n v="0"/>
    <d v="2025-04-17T00:00:00"/>
    <n v="84"/>
    <n v="54"/>
    <x v="1"/>
    <n v="2.5000000000000001E-2"/>
    <n v="0"/>
  </r>
  <r>
    <s v="VND-002"/>
    <s v="TechSupplies Inc"/>
    <s v="IT"/>
    <s v="West"/>
    <s v="INV-0033"/>
    <d v="2025-01-28T00:00:00"/>
    <d v="2025-04-28T00:00:00"/>
    <n v="90"/>
    <n v="42951.45"/>
    <n v="42951.45"/>
    <n v="0"/>
    <d v="2025-01-30T00:00:00"/>
    <n v="124"/>
    <n v="34"/>
    <x v="1"/>
    <n v="0.02"/>
    <n v="859.03"/>
  </r>
  <r>
    <s v="VND-002"/>
    <s v="TechSupplies Inc"/>
    <s v="IT"/>
    <s v="West"/>
    <s v="INV-0034"/>
    <d v="2025-05-01T00:00:00"/>
    <d v="2025-06-15T00:00:00"/>
    <n v="45"/>
    <n v="6970.15"/>
    <n v="0"/>
    <n v="6970.15"/>
    <m/>
    <n v="31"/>
    <n v="0"/>
    <x v="0"/>
    <n v="0"/>
    <n v="0"/>
  </r>
  <r>
    <s v="VND-002"/>
    <s v="TechSupplies Inc"/>
    <s v="IT"/>
    <s v="West"/>
    <s v="INV-0035"/>
    <d v="2025-02-10T00:00:00"/>
    <d v="2025-03-27T00:00:00"/>
    <n v="45"/>
    <n v="30168.89"/>
    <n v="30168.89"/>
    <n v="0"/>
    <d v="2025-02-16T00:00:00"/>
    <n v="111"/>
    <n v="66"/>
    <x v="1"/>
    <n v="0.02"/>
    <n v="603.38"/>
  </r>
  <r>
    <s v="VND-002"/>
    <s v="TechSupplies Inc"/>
    <s v="IT"/>
    <s v="West"/>
    <s v="INV-0036"/>
    <d v="2025-02-15T00:00:00"/>
    <d v="2025-04-16T00:00:00"/>
    <n v="60"/>
    <n v="63350.62"/>
    <n v="12032.06"/>
    <n v="51318.559999999998"/>
    <d v="2025-03-04T00:00:00"/>
    <n v="106"/>
    <n v="46"/>
    <x v="2"/>
    <n v="0.02"/>
    <n v="0"/>
  </r>
  <r>
    <s v="VND-002"/>
    <s v="TechSupplies Inc"/>
    <s v="IT"/>
    <s v="West"/>
    <s v="INV-0037"/>
    <d v="2025-02-02T00:00:00"/>
    <d v="2025-04-03T00:00:00"/>
    <n v="60"/>
    <n v="34034.879999999997"/>
    <n v="34034.879999999997"/>
    <n v="0"/>
    <d v="2025-02-15T00:00:00"/>
    <n v="119"/>
    <n v="59"/>
    <x v="1"/>
    <n v="0.01"/>
    <n v="340.35"/>
  </r>
  <r>
    <s v="VND-002"/>
    <s v="TechSupplies Inc"/>
    <s v="IT"/>
    <s v="West"/>
    <s v="INV-0038"/>
    <d v="2025-03-18T00:00:00"/>
    <d v="2025-05-17T00:00:00"/>
    <n v="60"/>
    <n v="46240.43"/>
    <n v="46240.43"/>
    <n v="0"/>
    <d v="2025-05-15T00:00:00"/>
    <n v="75"/>
    <n v="15"/>
    <x v="1"/>
    <n v="2.5000000000000001E-2"/>
    <n v="0"/>
  </r>
  <r>
    <s v="VND-002"/>
    <s v="TechSupplies Inc"/>
    <s v="IT"/>
    <s v="West"/>
    <s v="INV-0039"/>
    <d v="2025-01-25T00:00:00"/>
    <d v="2025-04-25T00:00:00"/>
    <n v="90"/>
    <n v="71541.42"/>
    <n v="0"/>
    <n v="71541.42"/>
    <m/>
    <n v="127"/>
    <n v="37"/>
    <x v="3"/>
    <n v="2.5000000000000001E-2"/>
    <n v="0"/>
  </r>
  <r>
    <s v="VND-002"/>
    <s v="TechSupplies Inc"/>
    <s v="IT"/>
    <s v="West"/>
    <s v="INV-0040"/>
    <d v="2025-05-08T00:00:00"/>
    <d v="2025-08-06T00:00:00"/>
    <n v="90"/>
    <n v="19926.27"/>
    <n v="0"/>
    <n v="19926.27"/>
    <m/>
    <n v="24"/>
    <n v="0"/>
    <x v="0"/>
    <n v="2.5000000000000001E-2"/>
    <n v="0"/>
  </r>
  <r>
    <s v="VND-002"/>
    <s v="TechSupplies Inc"/>
    <s v="IT"/>
    <s v="West"/>
    <s v="INV-0041"/>
    <d v="2025-04-28T00:00:00"/>
    <d v="2025-06-12T00:00:00"/>
    <n v="45"/>
    <n v="63904.89"/>
    <n v="0"/>
    <n v="63904.89"/>
    <m/>
    <n v="34"/>
    <n v="0"/>
    <x v="0"/>
    <n v="0"/>
    <n v="0"/>
  </r>
  <r>
    <s v="VND-002"/>
    <s v="TechSupplies Inc"/>
    <s v="IT"/>
    <s v="West"/>
    <s v="INV-0042"/>
    <d v="2025-05-26T00:00:00"/>
    <d v="2025-08-24T00:00:00"/>
    <n v="90"/>
    <n v="54769.74"/>
    <n v="0"/>
    <n v="54769.74"/>
    <m/>
    <n v="6"/>
    <n v="0"/>
    <x v="0"/>
    <n v="0.02"/>
    <n v="0"/>
  </r>
  <r>
    <s v="VND-002"/>
    <s v="TechSupplies Inc"/>
    <s v="IT"/>
    <s v="West"/>
    <s v="INV-0043"/>
    <d v="2024-12-29T00:00:00"/>
    <d v="2025-02-12T00:00:00"/>
    <n v="45"/>
    <n v="33701.17"/>
    <n v="33701.17"/>
    <n v="0"/>
    <d v="2025-01-01T00:00:00"/>
    <n v="154"/>
    <n v="109"/>
    <x v="1"/>
    <n v="0.01"/>
    <n v="337.01"/>
  </r>
  <r>
    <s v="VND-002"/>
    <s v="TechSupplies Inc"/>
    <s v="IT"/>
    <s v="West"/>
    <s v="INV-0044"/>
    <d v="2025-02-15T00:00:00"/>
    <d v="2025-03-02T00:00:00"/>
    <n v="15"/>
    <n v="4772.75"/>
    <n v="0"/>
    <n v="4772.75"/>
    <m/>
    <n v="106"/>
    <n v="91"/>
    <x v="3"/>
    <n v="0.01"/>
    <n v="0"/>
  </r>
  <r>
    <s v="VND-002"/>
    <s v="TechSupplies Inc"/>
    <s v="IT"/>
    <s v="West"/>
    <s v="INV-0045"/>
    <d v="2025-03-14T00:00:00"/>
    <d v="2025-04-13T00:00:00"/>
    <n v="30"/>
    <n v="67188.87"/>
    <n v="0"/>
    <n v="67188.87"/>
    <m/>
    <n v="79"/>
    <n v="49"/>
    <x v="3"/>
    <n v="0"/>
    <n v="0"/>
  </r>
  <r>
    <s v="VND-002"/>
    <s v="TechSupplies Inc"/>
    <s v="IT"/>
    <s v="West"/>
    <s v="INV-0046"/>
    <d v="2025-02-10T00:00:00"/>
    <d v="2025-03-12T00:00:00"/>
    <n v="30"/>
    <n v="64622.99"/>
    <n v="18802.77"/>
    <n v="45820.22"/>
    <d v="2025-05-06T00:00:00"/>
    <n v="111"/>
    <n v="81"/>
    <x v="2"/>
    <n v="0"/>
    <n v="0"/>
  </r>
  <r>
    <s v="VND-002"/>
    <s v="TechSupplies Inc"/>
    <s v="IT"/>
    <s v="West"/>
    <s v="INV-0047"/>
    <d v="2025-02-23T00:00:00"/>
    <d v="2025-03-10T00:00:00"/>
    <n v="15"/>
    <n v="45216.38"/>
    <n v="45216.38"/>
    <n v="0"/>
    <d v="2025-03-16T00:00:00"/>
    <n v="98"/>
    <n v="83"/>
    <x v="1"/>
    <n v="0.01"/>
    <n v="0"/>
  </r>
  <r>
    <s v="VND-002"/>
    <s v="TechSupplies Inc"/>
    <s v="IT"/>
    <s v="West"/>
    <s v="INV-0048"/>
    <d v="2025-02-26T00:00:00"/>
    <d v="2025-05-27T00:00:00"/>
    <n v="90"/>
    <n v="7435.58"/>
    <n v="7435.58"/>
    <n v="0"/>
    <d v="2025-06-23T00:00:00"/>
    <n v="95"/>
    <n v="5"/>
    <x v="1"/>
    <n v="0"/>
    <n v="0"/>
  </r>
  <r>
    <s v="VND-002"/>
    <s v="TechSupplies Inc"/>
    <s v="IT"/>
    <s v="West"/>
    <s v="INV-0049"/>
    <d v="2025-04-22T00:00:00"/>
    <d v="2025-05-22T00:00:00"/>
    <n v="30"/>
    <n v="44080.53"/>
    <n v="44080.53"/>
    <n v="0"/>
    <d v="2025-06-12T00:00:00"/>
    <n v="40"/>
    <n v="10"/>
    <x v="1"/>
    <n v="0"/>
    <n v="0"/>
  </r>
  <r>
    <s v="VND-002"/>
    <s v="TechSupplies Inc"/>
    <s v="IT"/>
    <s v="West"/>
    <s v="INV-0050"/>
    <d v="2025-02-19T00:00:00"/>
    <d v="2025-03-21T00:00:00"/>
    <n v="30"/>
    <n v="28958.78"/>
    <n v="0"/>
    <n v="28958.78"/>
    <m/>
    <n v="102"/>
    <n v="72"/>
    <x v="3"/>
    <n v="0.01"/>
    <n v="0"/>
  </r>
  <r>
    <s v="VND-002"/>
    <s v="TechSupplies Inc"/>
    <s v="IT"/>
    <s v="West"/>
    <s v="INV-0051"/>
    <d v="2024-12-22T00:00:00"/>
    <d v="2025-01-21T00:00:00"/>
    <n v="30"/>
    <n v="27867.26"/>
    <n v="27867.26"/>
    <n v="0"/>
    <d v="2025-02-16T00:00:00"/>
    <n v="161"/>
    <n v="131"/>
    <x v="1"/>
    <n v="0"/>
    <n v="0"/>
  </r>
  <r>
    <s v="VND-002"/>
    <s v="TechSupplies Inc"/>
    <s v="IT"/>
    <s v="West"/>
    <s v="INV-0052"/>
    <d v="2024-12-18T00:00:00"/>
    <d v="2025-02-16T00:00:00"/>
    <n v="60"/>
    <n v="15851.23"/>
    <n v="15851.23"/>
    <n v="0"/>
    <d v="2025-02-21T00:00:00"/>
    <n v="165"/>
    <n v="105"/>
    <x v="1"/>
    <n v="0.01"/>
    <n v="0"/>
  </r>
  <r>
    <s v="VND-002"/>
    <s v="TechSupplies Inc"/>
    <s v="IT"/>
    <s v="West"/>
    <s v="INV-0053"/>
    <d v="2025-01-20T00:00:00"/>
    <d v="2025-04-20T00:00:00"/>
    <n v="90"/>
    <n v="58724.66"/>
    <n v="58724.66"/>
    <n v="0"/>
    <d v="2025-04-17T00:00:00"/>
    <n v="132"/>
    <n v="42"/>
    <x v="1"/>
    <n v="0"/>
    <n v="0"/>
  </r>
  <r>
    <s v="VND-002"/>
    <s v="TechSupplies Inc"/>
    <s v="IT"/>
    <s v="West"/>
    <s v="INV-0054"/>
    <d v="2025-05-03T00:00:00"/>
    <d v="2025-06-02T00:00:00"/>
    <n v="30"/>
    <n v="45773.11"/>
    <n v="0"/>
    <n v="45773.11"/>
    <m/>
    <n v="29"/>
    <n v="0"/>
    <x v="0"/>
    <n v="0"/>
    <n v="0"/>
  </r>
  <r>
    <s v="VND-002"/>
    <s v="TechSupplies Inc"/>
    <s v="IT"/>
    <s v="West"/>
    <s v="INV-0055"/>
    <d v="2025-04-16T00:00:00"/>
    <d v="2025-05-16T00:00:00"/>
    <n v="30"/>
    <n v="62149.56"/>
    <n v="62149.56"/>
    <n v="0"/>
    <d v="2025-05-04T00:00:00"/>
    <n v="46"/>
    <n v="16"/>
    <x v="1"/>
    <n v="0.02"/>
    <n v="1242.99"/>
  </r>
  <r>
    <s v="VND-002"/>
    <s v="TechSupplies Inc"/>
    <s v="IT"/>
    <s v="West"/>
    <s v="INV-0056"/>
    <d v="2025-05-16T00:00:00"/>
    <d v="2025-08-14T00:00:00"/>
    <n v="90"/>
    <n v="32325.599999999999"/>
    <n v="0"/>
    <n v="32325.599999999999"/>
    <m/>
    <n v="16"/>
    <n v="0"/>
    <x v="0"/>
    <n v="0.02"/>
    <n v="0"/>
  </r>
  <r>
    <s v="VND-002"/>
    <s v="TechSupplies Inc"/>
    <s v="IT"/>
    <s v="West"/>
    <s v="INV-0057"/>
    <d v="2025-04-24T00:00:00"/>
    <d v="2025-05-09T00:00:00"/>
    <n v="15"/>
    <n v="70595.520000000004"/>
    <n v="70595.520000000004"/>
    <n v="0"/>
    <d v="2025-05-09T00:00:00"/>
    <n v="38"/>
    <n v="23"/>
    <x v="1"/>
    <n v="0.02"/>
    <n v="0"/>
  </r>
  <r>
    <s v="VND-002"/>
    <s v="TechSupplies Inc"/>
    <s v="IT"/>
    <s v="West"/>
    <s v="INV-0058"/>
    <d v="2025-02-07T00:00:00"/>
    <d v="2025-02-22T00:00:00"/>
    <n v="15"/>
    <n v="4183.28"/>
    <n v="0"/>
    <n v="4183.28"/>
    <m/>
    <n v="114"/>
    <n v="99"/>
    <x v="3"/>
    <n v="0.01"/>
    <n v="0"/>
  </r>
  <r>
    <s v="VND-002"/>
    <s v="TechSupplies Inc"/>
    <s v="IT"/>
    <s v="West"/>
    <s v="INV-0059"/>
    <d v="2025-03-07T00:00:00"/>
    <d v="2025-04-21T00:00:00"/>
    <n v="45"/>
    <n v="53455.28"/>
    <n v="53455.28"/>
    <n v="0"/>
    <d v="2025-03-24T00:00:00"/>
    <n v="86"/>
    <n v="41"/>
    <x v="1"/>
    <n v="0"/>
    <n v="0"/>
  </r>
  <r>
    <s v="VND-002"/>
    <s v="TechSupplies Inc"/>
    <s v="IT"/>
    <s v="West"/>
    <s v="INV-0060"/>
    <d v="2024-12-22T00:00:00"/>
    <d v="2025-01-21T00:00:00"/>
    <n v="30"/>
    <n v="44290.13"/>
    <n v="44290.13"/>
    <n v="0"/>
    <d v="2025-01-31T00:00:00"/>
    <n v="161"/>
    <n v="131"/>
    <x v="1"/>
    <n v="0"/>
    <n v="0"/>
  </r>
  <r>
    <s v="VND-002"/>
    <s v="TechSupplies Inc"/>
    <s v="IT"/>
    <s v="West"/>
    <s v="INV-0061"/>
    <d v="2025-02-14T00:00:00"/>
    <d v="2025-04-15T00:00:00"/>
    <n v="60"/>
    <n v="41469.51"/>
    <n v="41469.51"/>
    <n v="0"/>
    <d v="2025-03-12T00:00:00"/>
    <n v="107"/>
    <n v="47"/>
    <x v="1"/>
    <n v="0.01"/>
    <n v="414.7"/>
  </r>
  <r>
    <s v="VND-002"/>
    <s v="TechSupplies Inc"/>
    <s v="IT"/>
    <s v="West"/>
    <s v="INV-0062"/>
    <d v="2025-05-14T00:00:00"/>
    <d v="2025-06-13T00:00:00"/>
    <n v="30"/>
    <n v="20099.45"/>
    <n v="0"/>
    <n v="20099.45"/>
    <m/>
    <n v="18"/>
    <n v="0"/>
    <x v="0"/>
    <n v="0.02"/>
    <n v="0"/>
  </r>
  <r>
    <s v="VND-002"/>
    <s v="TechSupplies Inc"/>
    <s v="IT"/>
    <s v="West"/>
    <s v="INV-0063"/>
    <d v="2025-01-02T00:00:00"/>
    <d v="2025-01-17T00:00:00"/>
    <n v="15"/>
    <n v="35342.199999999997"/>
    <n v="35342.199999999997"/>
    <n v="0"/>
    <d v="2025-01-22T00:00:00"/>
    <n v="150"/>
    <n v="135"/>
    <x v="1"/>
    <n v="0"/>
    <n v="0"/>
  </r>
  <r>
    <s v="VND-002"/>
    <s v="TechSupplies Inc"/>
    <s v="IT"/>
    <s v="West"/>
    <s v="INV-0064"/>
    <d v="2025-04-11T00:00:00"/>
    <d v="2025-05-26T00:00:00"/>
    <n v="45"/>
    <n v="5840.46"/>
    <n v="5840.46"/>
    <n v="0"/>
    <d v="2025-05-08T00:00:00"/>
    <n v="51"/>
    <n v="6"/>
    <x v="1"/>
    <n v="0.02"/>
    <n v="116.81"/>
  </r>
  <r>
    <s v="VND-002"/>
    <s v="TechSupplies Inc"/>
    <s v="IT"/>
    <s v="West"/>
    <s v="INV-0065"/>
    <d v="2025-04-19T00:00:00"/>
    <d v="2025-05-04T00:00:00"/>
    <n v="15"/>
    <n v="74680.759999999995"/>
    <n v="56448.27"/>
    <n v="18232.490000000002"/>
    <d v="2025-05-18T00:00:00"/>
    <n v="43"/>
    <n v="28"/>
    <x v="2"/>
    <n v="0"/>
    <n v="0"/>
  </r>
  <r>
    <s v="VND-002"/>
    <s v="TechSupplies Inc"/>
    <s v="IT"/>
    <s v="West"/>
    <s v="INV-0066"/>
    <d v="2025-05-09T00:00:00"/>
    <d v="2025-06-08T00:00:00"/>
    <n v="30"/>
    <n v="47470.01"/>
    <n v="0"/>
    <n v="47470.01"/>
    <m/>
    <n v="23"/>
    <n v="0"/>
    <x v="0"/>
    <n v="0.02"/>
    <n v="0"/>
  </r>
  <r>
    <s v="VND-002"/>
    <s v="TechSupplies Inc"/>
    <s v="IT"/>
    <s v="West"/>
    <s v="INV-0067"/>
    <d v="2025-01-25T00:00:00"/>
    <d v="2025-04-25T00:00:00"/>
    <n v="90"/>
    <n v="8188.53"/>
    <n v="8188.53"/>
    <n v="0"/>
    <d v="2025-04-08T00:00:00"/>
    <n v="127"/>
    <n v="37"/>
    <x v="1"/>
    <n v="0.01"/>
    <n v="81.89"/>
  </r>
  <r>
    <s v="VND-002"/>
    <s v="TechSupplies Inc"/>
    <s v="IT"/>
    <s v="West"/>
    <s v="INV-0068"/>
    <d v="2025-01-23T00:00:00"/>
    <d v="2025-02-22T00:00:00"/>
    <n v="30"/>
    <n v="57522.03"/>
    <n v="13872.78"/>
    <n v="43649.25"/>
    <d v="2025-03-09T00:00:00"/>
    <n v="129"/>
    <n v="99"/>
    <x v="2"/>
    <n v="0"/>
    <n v="0"/>
  </r>
  <r>
    <s v="VND-002"/>
    <s v="TechSupplies Inc"/>
    <s v="IT"/>
    <s v="West"/>
    <s v="INV-0069"/>
    <d v="2025-04-23T00:00:00"/>
    <d v="2025-06-22T00:00:00"/>
    <n v="60"/>
    <n v="59314.02"/>
    <n v="0"/>
    <n v="59314.02"/>
    <m/>
    <n v="39"/>
    <n v="0"/>
    <x v="0"/>
    <n v="0.01"/>
    <n v="0"/>
  </r>
  <r>
    <s v="VND-002"/>
    <s v="TechSupplies Inc"/>
    <s v="IT"/>
    <s v="West"/>
    <s v="INV-0070"/>
    <d v="2024-12-03T00:00:00"/>
    <d v="2025-01-17T00:00:00"/>
    <n v="45"/>
    <n v="14259.59"/>
    <n v="14259.59"/>
    <n v="0"/>
    <d v="2025-01-05T00:00:00"/>
    <n v="180"/>
    <n v="135"/>
    <x v="1"/>
    <n v="0"/>
    <n v="0"/>
  </r>
  <r>
    <s v="VND-002"/>
    <s v="TechSupplies Inc"/>
    <s v="IT"/>
    <s v="West"/>
    <s v="INV-0071"/>
    <d v="2025-03-30T00:00:00"/>
    <d v="2025-05-29T00:00:00"/>
    <n v="60"/>
    <n v="32238.99"/>
    <n v="32238.99"/>
    <n v="0"/>
    <d v="2025-04-19T00:00:00"/>
    <n v="63"/>
    <n v="3"/>
    <x v="1"/>
    <n v="0"/>
    <n v="0"/>
  </r>
  <r>
    <s v="VND-002"/>
    <s v="TechSupplies Inc"/>
    <s v="IT"/>
    <s v="West"/>
    <s v="INV-0072"/>
    <d v="2025-01-03T00:00:00"/>
    <d v="2025-02-17T00:00:00"/>
    <n v="45"/>
    <n v="40160"/>
    <n v="40160"/>
    <n v="0"/>
    <d v="2025-02-18T00:00:00"/>
    <n v="149"/>
    <n v="104"/>
    <x v="1"/>
    <n v="0"/>
    <n v="0"/>
  </r>
  <r>
    <s v="VND-002"/>
    <s v="TechSupplies Inc"/>
    <s v="IT"/>
    <s v="West"/>
    <s v="INV-0073"/>
    <d v="2025-05-18T00:00:00"/>
    <d v="2025-07-17T00:00:00"/>
    <n v="60"/>
    <n v="5910.12"/>
    <n v="0"/>
    <n v="5910.12"/>
    <m/>
    <n v="14"/>
    <n v="0"/>
    <x v="0"/>
    <n v="0.01"/>
    <n v="0"/>
  </r>
  <r>
    <s v="VND-002"/>
    <s v="TechSupplies Inc"/>
    <s v="IT"/>
    <s v="West"/>
    <s v="INV-0074"/>
    <d v="2024-12-09T00:00:00"/>
    <d v="2025-01-23T00:00:00"/>
    <n v="45"/>
    <n v="15624.27"/>
    <n v="15624.27"/>
    <n v="0"/>
    <d v="2025-01-11T00:00:00"/>
    <n v="174"/>
    <n v="129"/>
    <x v="1"/>
    <n v="0.02"/>
    <n v="312.49"/>
  </r>
  <r>
    <s v="VND-002"/>
    <s v="TechSupplies Inc"/>
    <s v="IT"/>
    <s v="West"/>
    <s v="INV-0075"/>
    <d v="2025-03-13T00:00:00"/>
    <d v="2025-04-12T00:00:00"/>
    <n v="30"/>
    <n v="58329.599999999999"/>
    <n v="58329.599999999999"/>
    <n v="0"/>
    <d v="2025-03-25T00:00:00"/>
    <n v="80"/>
    <n v="50"/>
    <x v="1"/>
    <n v="0"/>
    <n v="0"/>
  </r>
  <r>
    <s v="VND-003"/>
    <s v="LogiExpress"/>
    <s v="Logistics"/>
    <s v="East"/>
    <s v="INV-0076"/>
    <d v="2025-01-12T00:00:00"/>
    <d v="2025-02-26T00:00:00"/>
    <n v="45"/>
    <n v="16650.990000000002"/>
    <n v="16650.990000000002"/>
    <n v="0"/>
    <d v="2025-02-27T00:00:00"/>
    <n v="140"/>
    <n v="95"/>
    <x v="1"/>
    <n v="0"/>
    <n v="0"/>
  </r>
  <r>
    <s v="VND-003"/>
    <s v="LogiExpress"/>
    <s v="Logistics"/>
    <s v="East"/>
    <s v="INV-0077"/>
    <d v="2025-02-26T00:00:00"/>
    <d v="2025-03-28T00:00:00"/>
    <n v="30"/>
    <n v="12149.77"/>
    <n v="12149.77"/>
    <n v="0"/>
    <d v="2025-04-10T00:00:00"/>
    <n v="95"/>
    <n v="65"/>
    <x v="1"/>
    <n v="0"/>
    <n v="0"/>
  </r>
  <r>
    <s v="VND-003"/>
    <s v="LogiExpress"/>
    <s v="Logistics"/>
    <s v="East"/>
    <s v="INV-0078"/>
    <d v="2025-05-23T00:00:00"/>
    <d v="2025-07-07T00:00:00"/>
    <n v="45"/>
    <n v="75367.649999999994"/>
    <n v="0"/>
    <n v="75367.649999999994"/>
    <m/>
    <n v="9"/>
    <n v="0"/>
    <x v="0"/>
    <n v="2.5000000000000001E-2"/>
    <n v="0"/>
  </r>
  <r>
    <s v="VND-003"/>
    <s v="LogiExpress"/>
    <s v="Logistics"/>
    <s v="East"/>
    <s v="INV-0079"/>
    <d v="2025-04-18T00:00:00"/>
    <d v="2025-05-03T00:00:00"/>
    <n v="15"/>
    <n v="2701.38"/>
    <n v="2701.38"/>
    <n v="0"/>
    <d v="2025-04-28T00:00:00"/>
    <n v="44"/>
    <n v="29"/>
    <x v="1"/>
    <n v="0.01"/>
    <n v="27.01"/>
  </r>
  <r>
    <s v="VND-003"/>
    <s v="LogiExpress"/>
    <s v="Logistics"/>
    <s v="East"/>
    <s v="INV-0080"/>
    <d v="2024-12-20T00:00:00"/>
    <d v="2025-02-03T00:00:00"/>
    <n v="45"/>
    <n v="61082.55"/>
    <n v="0"/>
    <n v="61082.55"/>
    <m/>
    <n v="163"/>
    <n v="118"/>
    <x v="3"/>
    <n v="0"/>
    <n v="0"/>
  </r>
  <r>
    <s v="VND-003"/>
    <s v="LogiExpress"/>
    <s v="Logistics"/>
    <s v="East"/>
    <s v="INV-0081"/>
    <d v="2025-02-05T00:00:00"/>
    <d v="2025-02-20T00:00:00"/>
    <n v="15"/>
    <n v="52941.52"/>
    <n v="0"/>
    <n v="52941.52"/>
    <m/>
    <n v="116"/>
    <n v="101"/>
    <x v="3"/>
    <n v="0"/>
    <n v="0"/>
  </r>
  <r>
    <s v="VND-003"/>
    <s v="LogiExpress"/>
    <s v="Logistics"/>
    <s v="East"/>
    <s v="INV-0082"/>
    <d v="2025-02-22T00:00:00"/>
    <d v="2025-04-23T00:00:00"/>
    <n v="60"/>
    <n v="34476.199999999997"/>
    <n v="34476.199999999997"/>
    <n v="0"/>
    <d v="2025-05-22T00:00:00"/>
    <n v="99"/>
    <n v="39"/>
    <x v="1"/>
    <n v="2.5000000000000001E-2"/>
    <n v="0"/>
  </r>
  <r>
    <s v="VND-003"/>
    <s v="LogiExpress"/>
    <s v="Logistics"/>
    <s v="East"/>
    <s v="INV-0083"/>
    <d v="2024-12-13T00:00:00"/>
    <d v="2025-01-27T00:00:00"/>
    <n v="45"/>
    <n v="26839.38"/>
    <n v="26839.38"/>
    <n v="0"/>
    <d v="2025-02-05T00:00:00"/>
    <n v="170"/>
    <n v="125"/>
    <x v="1"/>
    <n v="0.02"/>
    <n v="0"/>
  </r>
  <r>
    <s v="VND-003"/>
    <s v="LogiExpress"/>
    <s v="Logistics"/>
    <s v="East"/>
    <s v="INV-0084"/>
    <d v="2025-01-12T00:00:00"/>
    <d v="2025-02-11T00:00:00"/>
    <n v="30"/>
    <n v="6089.48"/>
    <n v="6089.48"/>
    <n v="0"/>
    <d v="2025-01-22T00:00:00"/>
    <n v="140"/>
    <n v="110"/>
    <x v="1"/>
    <n v="0"/>
    <n v="0"/>
  </r>
  <r>
    <s v="VND-003"/>
    <s v="LogiExpress"/>
    <s v="Logistics"/>
    <s v="East"/>
    <s v="INV-0085"/>
    <d v="2024-12-20T00:00:00"/>
    <d v="2025-01-04T00:00:00"/>
    <n v="15"/>
    <n v="22407.51"/>
    <n v="0"/>
    <n v="22407.51"/>
    <m/>
    <n v="163"/>
    <n v="148"/>
    <x v="3"/>
    <n v="0.02"/>
    <n v="0"/>
  </r>
  <r>
    <s v="VND-003"/>
    <s v="LogiExpress"/>
    <s v="Logistics"/>
    <s v="East"/>
    <s v="INV-0086"/>
    <d v="2025-03-26T00:00:00"/>
    <d v="2025-04-25T00:00:00"/>
    <n v="30"/>
    <n v="35938.93"/>
    <n v="18736.63"/>
    <n v="17202.3"/>
    <d v="2025-04-29T00:00:00"/>
    <n v="67"/>
    <n v="37"/>
    <x v="2"/>
    <n v="2.5000000000000001E-2"/>
    <n v="0"/>
  </r>
  <r>
    <s v="VND-003"/>
    <s v="LogiExpress"/>
    <s v="Logistics"/>
    <s v="East"/>
    <s v="INV-0087"/>
    <d v="2025-05-08T00:00:00"/>
    <d v="2025-07-07T00:00:00"/>
    <n v="60"/>
    <n v="10634.03"/>
    <n v="0"/>
    <n v="10634.03"/>
    <m/>
    <n v="24"/>
    <n v="0"/>
    <x v="0"/>
    <n v="0"/>
    <n v="0"/>
  </r>
  <r>
    <s v="VND-003"/>
    <s v="LogiExpress"/>
    <s v="Logistics"/>
    <s v="East"/>
    <s v="INV-0088"/>
    <d v="2025-02-03T00:00:00"/>
    <d v="2025-04-04T00:00:00"/>
    <n v="60"/>
    <n v="63727.5"/>
    <n v="16864"/>
    <n v="46863.5"/>
    <d v="2025-05-03T00:00:00"/>
    <n v="118"/>
    <n v="58"/>
    <x v="2"/>
    <n v="0.02"/>
    <n v="0"/>
  </r>
  <r>
    <s v="VND-003"/>
    <s v="LogiExpress"/>
    <s v="Logistics"/>
    <s v="East"/>
    <s v="INV-0089"/>
    <d v="2025-01-11T00:00:00"/>
    <d v="2025-01-26T00:00:00"/>
    <n v="15"/>
    <n v="73374.740000000005"/>
    <n v="73374.740000000005"/>
    <n v="0"/>
    <d v="2025-01-29T00:00:00"/>
    <n v="141"/>
    <n v="126"/>
    <x v="1"/>
    <n v="2.5000000000000001E-2"/>
    <n v="0"/>
  </r>
  <r>
    <s v="VND-003"/>
    <s v="LogiExpress"/>
    <s v="Logistics"/>
    <s v="East"/>
    <s v="INV-0090"/>
    <d v="2024-12-27T00:00:00"/>
    <d v="2025-02-10T00:00:00"/>
    <n v="45"/>
    <n v="36847.9"/>
    <n v="36847.9"/>
    <n v="0"/>
    <d v="2025-02-03T00:00:00"/>
    <n v="156"/>
    <n v="111"/>
    <x v="1"/>
    <n v="2.5000000000000001E-2"/>
    <n v="921.2"/>
  </r>
  <r>
    <s v="VND-003"/>
    <s v="LogiExpress"/>
    <s v="Logistics"/>
    <s v="East"/>
    <s v="INV-0091"/>
    <d v="2025-05-06T00:00:00"/>
    <d v="2025-05-21T00:00:00"/>
    <n v="15"/>
    <n v="4756.79"/>
    <n v="0"/>
    <n v="4756.79"/>
    <m/>
    <n v="26"/>
    <n v="11"/>
    <x v="3"/>
    <n v="0"/>
    <n v="0"/>
  </r>
  <r>
    <s v="VND-003"/>
    <s v="LogiExpress"/>
    <s v="Logistics"/>
    <s v="East"/>
    <s v="INV-0092"/>
    <d v="2025-02-12T00:00:00"/>
    <d v="2025-03-14T00:00:00"/>
    <n v="30"/>
    <n v="34445.949999999997"/>
    <n v="34445.949999999997"/>
    <n v="0"/>
    <d v="2025-03-09T00:00:00"/>
    <n v="109"/>
    <n v="79"/>
    <x v="1"/>
    <n v="0"/>
    <n v="0"/>
  </r>
  <r>
    <s v="VND-003"/>
    <s v="LogiExpress"/>
    <s v="Logistics"/>
    <s v="East"/>
    <s v="INV-0093"/>
    <d v="2025-03-06T00:00:00"/>
    <d v="2025-04-05T00:00:00"/>
    <n v="30"/>
    <n v="17090.54"/>
    <n v="17090.54"/>
    <n v="0"/>
    <d v="2025-03-19T00:00:00"/>
    <n v="87"/>
    <n v="57"/>
    <x v="1"/>
    <n v="0"/>
    <n v="0"/>
  </r>
  <r>
    <s v="VND-003"/>
    <s v="LogiExpress"/>
    <s v="Logistics"/>
    <s v="East"/>
    <s v="INV-0094"/>
    <d v="2025-03-15T00:00:00"/>
    <d v="2025-04-14T00:00:00"/>
    <n v="30"/>
    <n v="67194.539999999994"/>
    <n v="67194.539999999994"/>
    <n v="0"/>
    <d v="2025-05-07T00:00:00"/>
    <n v="78"/>
    <n v="48"/>
    <x v="1"/>
    <n v="0.02"/>
    <n v="0"/>
  </r>
  <r>
    <s v="VND-003"/>
    <s v="LogiExpress"/>
    <s v="Logistics"/>
    <s v="East"/>
    <s v="INV-0095"/>
    <d v="2025-02-10T00:00:00"/>
    <d v="2025-02-25T00:00:00"/>
    <n v="15"/>
    <n v="25471.360000000001"/>
    <n v="25471.360000000001"/>
    <n v="0"/>
    <d v="2025-03-10T00:00:00"/>
    <n v="111"/>
    <n v="96"/>
    <x v="1"/>
    <n v="0.01"/>
    <n v="0"/>
  </r>
  <r>
    <s v="VND-003"/>
    <s v="LogiExpress"/>
    <s v="Logistics"/>
    <s v="East"/>
    <s v="INV-0096"/>
    <d v="2024-12-17T00:00:00"/>
    <d v="2025-01-01T00:00:00"/>
    <n v="15"/>
    <n v="7137.34"/>
    <n v="7137.34"/>
    <n v="0"/>
    <d v="2024-12-22T00:00:00"/>
    <n v="166"/>
    <n v="151"/>
    <x v="1"/>
    <n v="0.02"/>
    <n v="142.75"/>
  </r>
  <r>
    <s v="VND-003"/>
    <s v="LogiExpress"/>
    <s v="Logistics"/>
    <s v="East"/>
    <s v="INV-0097"/>
    <d v="2025-03-18T00:00:00"/>
    <d v="2025-04-02T00:00:00"/>
    <n v="15"/>
    <n v="3774.98"/>
    <n v="3774.98"/>
    <n v="0"/>
    <d v="2025-03-30T00:00:00"/>
    <n v="75"/>
    <n v="60"/>
    <x v="1"/>
    <n v="0"/>
    <n v="0"/>
  </r>
  <r>
    <s v="VND-003"/>
    <s v="LogiExpress"/>
    <s v="Logistics"/>
    <s v="East"/>
    <s v="INV-0098"/>
    <d v="2025-04-25T00:00:00"/>
    <d v="2025-06-09T00:00:00"/>
    <n v="45"/>
    <n v="48220.98"/>
    <n v="0"/>
    <n v="48220.98"/>
    <m/>
    <n v="37"/>
    <n v="0"/>
    <x v="0"/>
    <n v="0.01"/>
    <n v="0"/>
  </r>
  <r>
    <s v="VND-003"/>
    <s v="LogiExpress"/>
    <s v="Logistics"/>
    <s v="East"/>
    <s v="INV-0099"/>
    <d v="2025-01-19T00:00:00"/>
    <d v="2025-03-05T00:00:00"/>
    <n v="45"/>
    <n v="66448.490000000005"/>
    <n v="36158.800000000003"/>
    <n v="30289.69"/>
    <d v="2025-05-17T00:00:00"/>
    <n v="133"/>
    <n v="88"/>
    <x v="2"/>
    <n v="0.02"/>
    <n v="0"/>
  </r>
  <r>
    <s v="VND-004"/>
    <s v="Grupo Servicios Pro"/>
    <s v="Services"/>
    <s v="South"/>
    <s v="INV-0100"/>
    <d v="2025-04-09T00:00:00"/>
    <d v="2025-05-24T00:00:00"/>
    <n v="45"/>
    <n v="41321.129999999997"/>
    <n v="0"/>
    <n v="41321.129999999997"/>
    <m/>
    <n v="53"/>
    <n v="8"/>
    <x v="3"/>
    <n v="0.01"/>
    <n v="0"/>
  </r>
  <r>
    <s v="VND-004"/>
    <s v="Grupo Servicios Pro"/>
    <s v="Services"/>
    <s v="South"/>
    <s v="INV-0101"/>
    <d v="2024-12-24T00:00:00"/>
    <d v="2025-03-24T00:00:00"/>
    <n v="90"/>
    <n v="6575.19"/>
    <n v="6575.19"/>
    <n v="0"/>
    <d v="2025-04-12T00:00:00"/>
    <n v="159"/>
    <n v="69"/>
    <x v="1"/>
    <n v="2.5000000000000001E-2"/>
    <n v="0"/>
  </r>
  <r>
    <s v="VND-004"/>
    <s v="Grupo Servicios Pro"/>
    <s v="Services"/>
    <s v="South"/>
    <s v="INV-0102"/>
    <d v="2025-05-27T00:00:00"/>
    <d v="2025-07-11T00:00:00"/>
    <n v="45"/>
    <n v="58268.53"/>
    <n v="0"/>
    <n v="58268.53"/>
    <m/>
    <n v="5"/>
    <n v="0"/>
    <x v="0"/>
    <n v="2.5000000000000001E-2"/>
    <n v="0"/>
  </r>
  <r>
    <s v="VND-004"/>
    <s v="Grupo Servicios Pro"/>
    <s v="Services"/>
    <s v="South"/>
    <s v="INV-0103"/>
    <d v="2025-05-06T00:00:00"/>
    <d v="2025-05-21T00:00:00"/>
    <n v="15"/>
    <n v="34345.269999999997"/>
    <n v="5445.83"/>
    <n v="28899.439999999999"/>
    <d v="2025-05-13T00:00:00"/>
    <n v="26"/>
    <n v="11"/>
    <x v="2"/>
    <n v="2.5000000000000001E-2"/>
    <n v="0"/>
  </r>
  <r>
    <s v="VND-004"/>
    <s v="Grupo Servicios Pro"/>
    <s v="Services"/>
    <s v="South"/>
    <s v="INV-0104"/>
    <d v="2025-05-05T00:00:00"/>
    <d v="2025-06-04T00:00:00"/>
    <n v="30"/>
    <n v="24598.79"/>
    <n v="0"/>
    <n v="24598.79"/>
    <m/>
    <n v="27"/>
    <n v="0"/>
    <x v="0"/>
    <n v="0"/>
    <n v="0"/>
  </r>
  <r>
    <s v="VND-004"/>
    <s v="Grupo Servicios Pro"/>
    <s v="Services"/>
    <s v="South"/>
    <s v="INV-0105"/>
    <d v="2025-03-22T00:00:00"/>
    <d v="2025-05-06T00:00:00"/>
    <n v="45"/>
    <n v="14685.4"/>
    <n v="14685.4"/>
    <n v="0"/>
    <d v="2025-03-29T00:00:00"/>
    <n v="71"/>
    <n v="26"/>
    <x v="1"/>
    <n v="0.01"/>
    <n v="146.85"/>
  </r>
  <r>
    <s v="VND-004"/>
    <s v="Grupo Servicios Pro"/>
    <s v="Services"/>
    <s v="South"/>
    <s v="INV-0106"/>
    <d v="2025-03-06T00:00:00"/>
    <d v="2025-03-21T00:00:00"/>
    <n v="15"/>
    <n v="77291.17"/>
    <n v="77291.17"/>
    <n v="0"/>
    <d v="2025-03-16T00:00:00"/>
    <n v="87"/>
    <n v="72"/>
    <x v="1"/>
    <n v="0.01"/>
    <n v="772.91"/>
  </r>
  <r>
    <s v="VND-004"/>
    <s v="Grupo Servicios Pro"/>
    <s v="Services"/>
    <s v="South"/>
    <s v="INV-0107"/>
    <d v="2025-01-18T00:00:00"/>
    <d v="2025-02-02T00:00:00"/>
    <n v="15"/>
    <n v="35997.519999999997"/>
    <n v="19135.599999999999"/>
    <n v="16861.919999999998"/>
    <d v="2025-03-15T00:00:00"/>
    <n v="134"/>
    <n v="119"/>
    <x v="2"/>
    <n v="0.02"/>
    <n v="0"/>
  </r>
  <r>
    <s v="VND-004"/>
    <s v="Grupo Servicios Pro"/>
    <s v="Services"/>
    <s v="South"/>
    <s v="INV-0108"/>
    <d v="2025-02-27T00:00:00"/>
    <d v="2025-03-29T00:00:00"/>
    <n v="30"/>
    <n v="4398.3100000000004"/>
    <n v="0"/>
    <n v="4398.3100000000004"/>
    <m/>
    <n v="94"/>
    <n v="64"/>
    <x v="3"/>
    <n v="0.02"/>
    <n v="0"/>
  </r>
  <r>
    <s v="VND-004"/>
    <s v="Grupo Servicios Pro"/>
    <s v="Services"/>
    <s v="South"/>
    <s v="INV-0109"/>
    <d v="2025-01-06T00:00:00"/>
    <d v="2025-02-05T00:00:00"/>
    <n v="30"/>
    <n v="68214.84"/>
    <n v="68214.84"/>
    <n v="0"/>
    <d v="2025-02-11T00:00:00"/>
    <n v="146"/>
    <n v="116"/>
    <x v="1"/>
    <n v="2.5000000000000001E-2"/>
    <n v="0"/>
  </r>
  <r>
    <s v="VND-004"/>
    <s v="Grupo Servicios Pro"/>
    <s v="Services"/>
    <s v="South"/>
    <s v="INV-0110"/>
    <d v="2024-12-24T00:00:00"/>
    <d v="2025-02-07T00:00:00"/>
    <n v="45"/>
    <n v="45033.26"/>
    <n v="45033.26"/>
    <n v="0"/>
    <d v="2025-01-31T00:00:00"/>
    <n v="159"/>
    <n v="114"/>
    <x v="1"/>
    <n v="0.02"/>
    <n v="900.67"/>
  </r>
  <r>
    <s v="VND-004"/>
    <s v="Grupo Servicios Pro"/>
    <s v="Services"/>
    <s v="South"/>
    <s v="INV-0111"/>
    <d v="2024-12-27T00:00:00"/>
    <d v="2025-02-10T00:00:00"/>
    <n v="45"/>
    <n v="13072.71"/>
    <n v="13072.71"/>
    <n v="0"/>
    <d v="2025-01-30T00:00:00"/>
    <n v="156"/>
    <n v="111"/>
    <x v="1"/>
    <n v="2.5000000000000001E-2"/>
    <n v="326.82"/>
  </r>
  <r>
    <s v="VND-004"/>
    <s v="Grupo Servicios Pro"/>
    <s v="Services"/>
    <s v="South"/>
    <s v="INV-0112"/>
    <d v="2025-03-07T00:00:00"/>
    <d v="2025-06-05T00:00:00"/>
    <n v="90"/>
    <n v="24138.52"/>
    <n v="0"/>
    <n v="24138.52"/>
    <m/>
    <n v="86"/>
    <n v="0"/>
    <x v="0"/>
    <n v="0.02"/>
    <n v="0"/>
  </r>
  <r>
    <s v="VND-004"/>
    <s v="Grupo Servicios Pro"/>
    <s v="Services"/>
    <s v="South"/>
    <s v="INV-0113"/>
    <d v="2025-03-04T00:00:00"/>
    <d v="2025-03-19T00:00:00"/>
    <n v="15"/>
    <n v="58409.64"/>
    <n v="58409.64"/>
    <n v="0"/>
    <d v="2025-03-14T00:00:00"/>
    <n v="89"/>
    <n v="74"/>
    <x v="1"/>
    <n v="0.02"/>
    <n v="1168.19"/>
  </r>
  <r>
    <s v="VND-004"/>
    <s v="Grupo Servicios Pro"/>
    <s v="Services"/>
    <s v="South"/>
    <s v="INV-0114"/>
    <d v="2025-02-08T00:00:00"/>
    <d v="2025-03-10T00:00:00"/>
    <n v="30"/>
    <n v="51221.25"/>
    <n v="51221.25"/>
    <n v="0"/>
    <d v="2025-02-10T00:00:00"/>
    <n v="113"/>
    <n v="83"/>
    <x v="1"/>
    <n v="0"/>
    <n v="0"/>
  </r>
  <r>
    <s v="VND-004"/>
    <s v="Grupo Servicios Pro"/>
    <s v="Services"/>
    <s v="South"/>
    <s v="INV-0115"/>
    <d v="2025-01-26T00:00:00"/>
    <d v="2025-03-27T00:00:00"/>
    <n v="60"/>
    <n v="34870.03"/>
    <n v="34870.03"/>
    <n v="0"/>
    <d v="2025-03-08T00:00:00"/>
    <n v="126"/>
    <n v="66"/>
    <x v="1"/>
    <n v="2.5000000000000001E-2"/>
    <n v="871.75"/>
  </r>
  <r>
    <s v="VND-004"/>
    <s v="Grupo Servicios Pro"/>
    <s v="Services"/>
    <s v="South"/>
    <s v="INV-0116"/>
    <d v="2025-02-20T00:00:00"/>
    <d v="2025-04-06T00:00:00"/>
    <n v="45"/>
    <n v="9302.01"/>
    <n v="9302.01"/>
    <n v="0"/>
    <d v="2025-04-18T00:00:00"/>
    <n v="101"/>
    <n v="56"/>
    <x v="1"/>
    <n v="0.01"/>
    <n v="0"/>
  </r>
  <r>
    <s v="VND-004"/>
    <s v="Grupo Servicios Pro"/>
    <s v="Services"/>
    <s v="South"/>
    <s v="INV-0117"/>
    <d v="2025-04-23T00:00:00"/>
    <d v="2025-05-08T00:00:00"/>
    <n v="15"/>
    <n v="21676.95"/>
    <n v="21676.95"/>
    <n v="0"/>
    <d v="2025-05-20T00:00:00"/>
    <n v="39"/>
    <n v="24"/>
    <x v="1"/>
    <n v="0"/>
    <n v="0"/>
  </r>
  <r>
    <s v="VND-004"/>
    <s v="Grupo Servicios Pro"/>
    <s v="Services"/>
    <s v="South"/>
    <s v="INV-0118"/>
    <d v="2025-02-17T00:00:00"/>
    <d v="2025-04-03T00:00:00"/>
    <n v="45"/>
    <n v="47880.77"/>
    <n v="0"/>
    <n v="47880.77"/>
    <m/>
    <n v="104"/>
    <n v="59"/>
    <x v="3"/>
    <n v="0"/>
    <n v="0"/>
  </r>
  <r>
    <s v="VND-004"/>
    <s v="Grupo Servicios Pro"/>
    <s v="Services"/>
    <s v="South"/>
    <s v="INV-0119"/>
    <d v="2025-03-14T00:00:00"/>
    <d v="2025-04-28T00:00:00"/>
    <n v="45"/>
    <n v="33218.21"/>
    <n v="33218.21"/>
    <n v="0"/>
    <d v="2025-03-22T00:00:00"/>
    <n v="79"/>
    <n v="34"/>
    <x v="1"/>
    <n v="0.01"/>
    <n v="332.18"/>
  </r>
  <r>
    <s v="VND-004"/>
    <s v="Grupo Servicios Pro"/>
    <s v="Services"/>
    <s v="South"/>
    <s v="INV-0120"/>
    <d v="2025-03-15T00:00:00"/>
    <d v="2025-03-30T00:00:00"/>
    <n v="15"/>
    <n v="44300.83"/>
    <n v="44300.83"/>
    <n v="0"/>
    <d v="2025-03-28T00:00:00"/>
    <n v="78"/>
    <n v="63"/>
    <x v="1"/>
    <n v="0.02"/>
    <n v="0"/>
  </r>
  <r>
    <s v="VND-004"/>
    <s v="Grupo Servicios Pro"/>
    <s v="Services"/>
    <s v="South"/>
    <s v="INV-0121"/>
    <d v="2025-01-13T00:00:00"/>
    <d v="2025-04-13T00:00:00"/>
    <n v="90"/>
    <n v="11138.68"/>
    <n v="4107.1400000000003"/>
    <n v="7031.54"/>
    <d v="2025-04-12T00:00:00"/>
    <n v="139"/>
    <n v="49"/>
    <x v="2"/>
    <n v="0.02"/>
    <n v="0"/>
  </r>
  <r>
    <s v="VND-004"/>
    <s v="Grupo Servicios Pro"/>
    <s v="Services"/>
    <s v="South"/>
    <s v="INV-0122"/>
    <d v="2025-05-20T00:00:00"/>
    <d v="2025-07-19T00:00:00"/>
    <n v="60"/>
    <n v="19049.310000000001"/>
    <n v="0"/>
    <n v="19049.310000000001"/>
    <m/>
    <n v="12"/>
    <n v="0"/>
    <x v="0"/>
    <n v="0"/>
    <n v="0"/>
  </r>
  <r>
    <s v="VND-004"/>
    <s v="Grupo Servicios Pro"/>
    <s v="Services"/>
    <s v="South"/>
    <s v="INV-0123"/>
    <d v="2025-03-11T00:00:00"/>
    <d v="2025-04-10T00:00:00"/>
    <n v="30"/>
    <n v="62579.96"/>
    <n v="62579.96"/>
    <n v="0"/>
    <d v="2025-04-05T00:00:00"/>
    <n v="82"/>
    <n v="52"/>
    <x v="1"/>
    <n v="0"/>
    <n v="0"/>
  </r>
  <r>
    <s v="VND-004"/>
    <s v="Grupo Servicios Pro"/>
    <s v="Services"/>
    <s v="South"/>
    <s v="INV-0124"/>
    <d v="2025-05-10T00:00:00"/>
    <d v="2025-06-24T00:00:00"/>
    <n v="45"/>
    <n v="45360.21"/>
    <n v="0"/>
    <n v="45360.21"/>
    <m/>
    <n v="22"/>
    <n v="0"/>
    <x v="0"/>
    <n v="0.01"/>
    <n v="0"/>
  </r>
  <r>
    <s v="VND-004"/>
    <s v="Grupo Servicios Pro"/>
    <s v="Services"/>
    <s v="South"/>
    <s v="INV-0125"/>
    <d v="2025-02-26T00:00:00"/>
    <d v="2025-05-27T00:00:00"/>
    <n v="90"/>
    <n v="78195.5"/>
    <n v="78195.5"/>
    <n v="0"/>
    <d v="2025-03-25T00:00:00"/>
    <n v="95"/>
    <n v="5"/>
    <x v="1"/>
    <n v="0"/>
    <n v="0"/>
  </r>
  <r>
    <s v="VND-004"/>
    <s v="Grupo Servicios Pro"/>
    <s v="Services"/>
    <s v="South"/>
    <s v="INV-0126"/>
    <d v="2025-05-24T00:00:00"/>
    <d v="2025-07-23T00:00:00"/>
    <n v="60"/>
    <n v="17000.07"/>
    <n v="0"/>
    <n v="17000.07"/>
    <m/>
    <n v="8"/>
    <n v="0"/>
    <x v="0"/>
    <n v="2.5000000000000001E-2"/>
    <n v="0"/>
  </r>
  <r>
    <s v="VND-004"/>
    <s v="Grupo Servicios Pro"/>
    <s v="Services"/>
    <s v="South"/>
    <s v="INV-0127"/>
    <d v="2025-05-27T00:00:00"/>
    <d v="2025-06-26T00:00:00"/>
    <n v="30"/>
    <n v="58527.94"/>
    <n v="0"/>
    <n v="58527.94"/>
    <m/>
    <n v="5"/>
    <n v="0"/>
    <x v="0"/>
    <n v="0.01"/>
    <n v="0"/>
  </r>
  <r>
    <s v="VND-004"/>
    <s v="Grupo Servicios Pro"/>
    <s v="Services"/>
    <s v="South"/>
    <s v="INV-0128"/>
    <d v="2024-12-15T00:00:00"/>
    <d v="2025-02-13T00:00:00"/>
    <n v="60"/>
    <n v="15571.96"/>
    <n v="15571.96"/>
    <n v="0"/>
    <d v="2025-03-15T00:00:00"/>
    <n v="168"/>
    <n v="108"/>
    <x v="1"/>
    <n v="0.01"/>
    <n v="0"/>
  </r>
  <r>
    <s v="VND-005"/>
    <s v="EnergyPlus Corp"/>
    <s v="Utilities"/>
    <s v="Central"/>
    <s v="INV-0129"/>
    <d v="2025-01-30T00:00:00"/>
    <d v="2025-03-16T00:00:00"/>
    <n v="45"/>
    <n v="66911.91"/>
    <n v="66911.91"/>
    <n v="0"/>
    <d v="2025-04-09T00:00:00"/>
    <n v="122"/>
    <n v="77"/>
    <x v="1"/>
    <n v="0"/>
    <n v="0"/>
  </r>
  <r>
    <s v="VND-005"/>
    <s v="EnergyPlus Corp"/>
    <s v="Utilities"/>
    <s v="Central"/>
    <s v="INV-0130"/>
    <d v="2025-05-19T00:00:00"/>
    <d v="2025-07-03T00:00:00"/>
    <n v="45"/>
    <n v="5466.43"/>
    <n v="0"/>
    <n v="5466.43"/>
    <m/>
    <n v="13"/>
    <n v="0"/>
    <x v="0"/>
    <n v="0"/>
    <n v="0"/>
  </r>
  <r>
    <s v="VND-005"/>
    <s v="EnergyPlus Corp"/>
    <s v="Utilities"/>
    <s v="Central"/>
    <s v="INV-0131"/>
    <d v="2025-01-02T00:00:00"/>
    <d v="2025-03-03T00:00:00"/>
    <n v="60"/>
    <n v="68028.149999999994"/>
    <n v="68028.149999999994"/>
    <n v="0"/>
    <d v="2025-03-13T00:00:00"/>
    <n v="150"/>
    <n v="90"/>
    <x v="1"/>
    <n v="2.5000000000000001E-2"/>
    <n v="0"/>
  </r>
  <r>
    <s v="VND-005"/>
    <s v="EnergyPlus Corp"/>
    <s v="Utilities"/>
    <s v="Central"/>
    <s v="INV-0132"/>
    <d v="2025-01-01T00:00:00"/>
    <d v="2025-02-15T00:00:00"/>
    <n v="45"/>
    <n v="56104.83"/>
    <n v="0"/>
    <n v="56104.83"/>
    <m/>
    <n v="151"/>
    <n v="106"/>
    <x v="3"/>
    <n v="0.01"/>
    <n v="0"/>
  </r>
  <r>
    <s v="VND-005"/>
    <s v="EnergyPlus Corp"/>
    <s v="Utilities"/>
    <s v="Central"/>
    <s v="INV-0133"/>
    <d v="2025-05-19T00:00:00"/>
    <d v="2025-07-03T00:00:00"/>
    <n v="45"/>
    <n v="46505.94"/>
    <n v="0"/>
    <n v="46505.94"/>
    <m/>
    <n v="13"/>
    <n v="0"/>
    <x v="0"/>
    <n v="0.02"/>
    <n v="0"/>
  </r>
  <r>
    <s v="VND-005"/>
    <s v="EnergyPlus Corp"/>
    <s v="Utilities"/>
    <s v="Central"/>
    <s v="INV-0134"/>
    <d v="2025-04-06T00:00:00"/>
    <d v="2025-06-05T00:00:00"/>
    <n v="60"/>
    <n v="76533.929999999993"/>
    <n v="0"/>
    <n v="76533.929999999993"/>
    <m/>
    <n v="56"/>
    <n v="0"/>
    <x v="0"/>
    <n v="0.02"/>
    <n v="0"/>
  </r>
  <r>
    <s v="VND-005"/>
    <s v="EnergyPlus Corp"/>
    <s v="Utilities"/>
    <s v="Central"/>
    <s v="INV-0135"/>
    <d v="2025-03-23T00:00:00"/>
    <d v="2025-05-22T00:00:00"/>
    <n v="60"/>
    <n v="67425.899999999994"/>
    <n v="67425.899999999994"/>
    <n v="0"/>
    <d v="2025-06-15T00:00:00"/>
    <n v="70"/>
    <n v="10"/>
    <x v="1"/>
    <n v="2.5000000000000001E-2"/>
    <n v="0"/>
  </r>
  <r>
    <s v="VND-005"/>
    <s v="EnergyPlus Corp"/>
    <s v="Utilities"/>
    <s v="Central"/>
    <s v="INV-0136"/>
    <d v="2025-03-22T00:00:00"/>
    <d v="2025-06-20T00:00:00"/>
    <n v="90"/>
    <n v="24962.400000000001"/>
    <n v="0"/>
    <n v="24962.400000000001"/>
    <m/>
    <n v="71"/>
    <n v="0"/>
    <x v="0"/>
    <n v="0"/>
    <n v="0"/>
  </r>
  <r>
    <s v="VND-005"/>
    <s v="EnergyPlus Corp"/>
    <s v="Utilities"/>
    <s v="Central"/>
    <s v="INV-0137"/>
    <d v="2025-05-20T00:00:00"/>
    <d v="2025-07-04T00:00:00"/>
    <n v="45"/>
    <n v="19311.419999999998"/>
    <n v="0"/>
    <n v="19311.419999999998"/>
    <m/>
    <n v="12"/>
    <n v="0"/>
    <x v="0"/>
    <n v="0"/>
    <n v="0"/>
  </r>
  <r>
    <s v="VND-005"/>
    <s v="EnergyPlus Corp"/>
    <s v="Utilities"/>
    <s v="Central"/>
    <s v="INV-0138"/>
    <d v="2025-04-01T00:00:00"/>
    <d v="2025-05-16T00:00:00"/>
    <n v="45"/>
    <n v="21208.68"/>
    <n v="21208.68"/>
    <n v="0"/>
    <d v="2025-04-11T00:00:00"/>
    <n v="61"/>
    <n v="16"/>
    <x v="1"/>
    <n v="2.5000000000000001E-2"/>
    <n v="530.22"/>
  </r>
  <r>
    <s v="VND-005"/>
    <s v="EnergyPlus Corp"/>
    <s v="Utilities"/>
    <s v="Central"/>
    <s v="INV-0139"/>
    <d v="2025-03-21T00:00:00"/>
    <d v="2025-05-05T00:00:00"/>
    <n v="45"/>
    <n v="62825.17"/>
    <n v="62825.17"/>
    <n v="0"/>
    <d v="2025-04-19T00:00:00"/>
    <n v="72"/>
    <n v="27"/>
    <x v="1"/>
    <n v="0"/>
    <n v="0"/>
  </r>
  <r>
    <s v="VND-005"/>
    <s v="EnergyPlus Corp"/>
    <s v="Utilities"/>
    <s v="Central"/>
    <s v="INV-0140"/>
    <d v="2025-01-29T00:00:00"/>
    <d v="2025-03-15T00:00:00"/>
    <n v="45"/>
    <n v="59131.61"/>
    <n v="0"/>
    <n v="59131.61"/>
    <m/>
    <n v="123"/>
    <n v="78"/>
    <x v="3"/>
    <n v="2.5000000000000001E-2"/>
    <n v="0"/>
  </r>
  <r>
    <s v="VND-005"/>
    <s v="EnergyPlus Corp"/>
    <s v="Utilities"/>
    <s v="Central"/>
    <s v="INV-0141"/>
    <d v="2024-12-17T00:00:00"/>
    <d v="2025-01-16T00:00:00"/>
    <n v="30"/>
    <n v="26891.15"/>
    <n v="0"/>
    <n v="26891.15"/>
    <m/>
    <n v="166"/>
    <n v="136"/>
    <x v="3"/>
    <n v="0.01"/>
    <n v="0"/>
  </r>
  <r>
    <s v="VND-005"/>
    <s v="EnergyPlus Corp"/>
    <s v="Utilities"/>
    <s v="Central"/>
    <s v="INV-0142"/>
    <d v="2025-05-15T00:00:00"/>
    <d v="2025-08-13T00:00:00"/>
    <n v="90"/>
    <n v="32516.400000000001"/>
    <n v="0"/>
    <n v="32516.400000000001"/>
    <m/>
    <n v="17"/>
    <n v="0"/>
    <x v="0"/>
    <n v="0.01"/>
    <n v="0"/>
  </r>
  <r>
    <s v="VND-005"/>
    <s v="EnergyPlus Corp"/>
    <s v="Utilities"/>
    <s v="Central"/>
    <s v="INV-0143"/>
    <d v="2025-01-28T00:00:00"/>
    <d v="2025-02-27T00:00:00"/>
    <n v="30"/>
    <n v="40510.85"/>
    <n v="40510.85"/>
    <n v="0"/>
    <d v="2025-03-24T00:00:00"/>
    <n v="124"/>
    <n v="94"/>
    <x v="1"/>
    <n v="2.5000000000000001E-2"/>
    <n v="0"/>
  </r>
  <r>
    <s v="VND-005"/>
    <s v="EnergyPlus Corp"/>
    <s v="Utilities"/>
    <s v="Central"/>
    <s v="INV-0144"/>
    <d v="2025-02-08T00:00:00"/>
    <d v="2025-05-09T00:00:00"/>
    <n v="90"/>
    <n v="25981.8"/>
    <n v="25981.8"/>
    <n v="0"/>
    <d v="2025-05-12T00:00:00"/>
    <n v="113"/>
    <n v="23"/>
    <x v="1"/>
    <n v="0.01"/>
    <n v="0"/>
  </r>
  <r>
    <s v="VND-005"/>
    <s v="EnergyPlus Corp"/>
    <s v="Utilities"/>
    <s v="Central"/>
    <s v="INV-0145"/>
    <d v="2025-03-31T00:00:00"/>
    <d v="2025-04-30T00:00:00"/>
    <n v="30"/>
    <n v="63784.11"/>
    <n v="63784.11"/>
    <n v="0"/>
    <d v="2025-04-07T00:00:00"/>
    <n v="62"/>
    <n v="32"/>
    <x v="1"/>
    <n v="2.5000000000000001E-2"/>
    <n v="1594.6"/>
  </r>
  <r>
    <s v="VND-005"/>
    <s v="EnergyPlus Corp"/>
    <s v="Utilities"/>
    <s v="Central"/>
    <s v="INV-0146"/>
    <d v="2025-02-12T00:00:00"/>
    <d v="2025-03-14T00:00:00"/>
    <n v="30"/>
    <n v="27949.1"/>
    <n v="27949.1"/>
    <n v="0"/>
    <d v="2025-02-13T00:00:00"/>
    <n v="109"/>
    <n v="79"/>
    <x v="1"/>
    <n v="0.01"/>
    <n v="279.49"/>
  </r>
  <r>
    <s v="VND-005"/>
    <s v="EnergyPlus Corp"/>
    <s v="Utilities"/>
    <s v="Central"/>
    <s v="INV-0147"/>
    <d v="2025-05-05T00:00:00"/>
    <d v="2025-07-04T00:00:00"/>
    <n v="60"/>
    <n v="31000.82"/>
    <n v="0"/>
    <n v="31000.82"/>
    <m/>
    <n v="27"/>
    <n v="0"/>
    <x v="0"/>
    <n v="0.02"/>
    <n v="0"/>
  </r>
  <r>
    <s v="VND-005"/>
    <s v="EnergyPlus Corp"/>
    <s v="Utilities"/>
    <s v="Central"/>
    <s v="INV-0148"/>
    <d v="2025-01-18T00:00:00"/>
    <d v="2025-02-02T00:00:00"/>
    <n v="15"/>
    <n v="76531.14"/>
    <n v="0"/>
    <n v="76531.14"/>
    <m/>
    <n v="134"/>
    <n v="119"/>
    <x v="3"/>
    <n v="2.5000000000000001E-2"/>
    <n v="0"/>
  </r>
  <r>
    <s v="VND-005"/>
    <s v="EnergyPlus Corp"/>
    <s v="Utilities"/>
    <s v="Central"/>
    <s v="INV-0149"/>
    <d v="2024-12-14T00:00:00"/>
    <d v="2025-02-12T00:00:00"/>
    <n v="60"/>
    <n v="26205.4"/>
    <n v="0"/>
    <n v="26205.4"/>
    <m/>
    <n v="169"/>
    <n v="109"/>
    <x v="3"/>
    <n v="0.01"/>
    <n v="0"/>
  </r>
  <r>
    <s v="VND-005"/>
    <s v="EnergyPlus Corp"/>
    <s v="Utilities"/>
    <s v="Central"/>
    <s v="INV-0150"/>
    <d v="2025-04-21T00:00:00"/>
    <d v="2025-06-20T00:00:00"/>
    <n v="60"/>
    <n v="45928.09"/>
    <n v="0"/>
    <n v="45928.09"/>
    <m/>
    <n v="41"/>
    <n v="0"/>
    <x v="0"/>
    <n v="0.01"/>
    <n v="0"/>
  </r>
  <r>
    <s v="VND-005"/>
    <s v="EnergyPlus Corp"/>
    <s v="Utilities"/>
    <s v="Central"/>
    <s v="INV-0151"/>
    <d v="2025-02-03T00:00:00"/>
    <d v="2025-04-04T00:00:00"/>
    <n v="60"/>
    <n v="15479.78"/>
    <n v="0"/>
    <n v="15479.78"/>
    <m/>
    <n v="118"/>
    <n v="58"/>
    <x v="3"/>
    <n v="2.5000000000000001E-2"/>
    <n v="0"/>
  </r>
  <r>
    <s v="VND-005"/>
    <s v="EnergyPlus Corp"/>
    <s v="Utilities"/>
    <s v="Central"/>
    <s v="INV-0152"/>
    <d v="2025-03-12T00:00:00"/>
    <d v="2025-06-10T00:00:00"/>
    <n v="90"/>
    <n v="36288.28"/>
    <n v="0"/>
    <n v="36288.28"/>
    <m/>
    <n v="81"/>
    <n v="0"/>
    <x v="0"/>
    <n v="2.5000000000000001E-2"/>
    <n v="0"/>
  </r>
  <r>
    <s v="VND-005"/>
    <s v="EnergyPlus Corp"/>
    <s v="Utilities"/>
    <s v="Central"/>
    <s v="INV-0153"/>
    <d v="2025-01-24T00:00:00"/>
    <d v="2025-02-08T00:00:00"/>
    <n v="15"/>
    <n v="77232.39"/>
    <n v="77232.39"/>
    <n v="0"/>
    <d v="2025-02-04T00:00:00"/>
    <n v="128"/>
    <n v="113"/>
    <x v="1"/>
    <n v="2.5000000000000001E-2"/>
    <n v="0"/>
  </r>
  <r>
    <s v="VND-005"/>
    <s v="EnergyPlus Corp"/>
    <s v="Utilities"/>
    <s v="Central"/>
    <s v="INV-0154"/>
    <d v="2025-01-22T00:00:00"/>
    <d v="2025-02-06T00:00:00"/>
    <n v="15"/>
    <n v="31098.720000000001"/>
    <n v="31098.720000000001"/>
    <n v="0"/>
    <d v="2025-03-02T00:00:00"/>
    <n v="130"/>
    <n v="115"/>
    <x v="1"/>
    <n v="0.02"/>
    <n v="0"/>
  </r>
  <r>
    <s v="VND-005"/>
    <s v="EnergyPlus Corp"/>
    <s v="Utilities"/>
    <s v="Central"/>
    <s v="INV-0155"/>
    <d v="2025-04-07T00:00:00"/>
    <d v="2025-05-07T00:00:00"/>
    <n v="30"/>
    <n v="70350.31"/>
    <n v="70350.31"/>
    <n v="0"/>
    <d v="2025-05-25T00:00:00"/>
    <n v="55"/>
    <n v="25"/>
    <x v="1"/>
    <n v="0"/>
    <n v="0"/>
  </r>
  <r>
    <s v="VND-005"/>
    <s v="EnergyPlus Corp"/>
    <s v="Utilities"/>
    <s v="Central"/>
    <s v="INV-0156"/>
    <d v="2025-02-07T00:00:00"/>
    <d v="2025-05-08T00:00:00"/>
    <n v="90"/>
    <n v="74493.820000000007"/>
    <n v="74493.820000000007"/>
    <n v="0"/>
    <d v="2025-04-23T00:00:00"/>
    <n v="114"/>
    <n v="24"/>
    <x v="1"/>
    <n v="0"/>
    <n v="0"/>
  </r>
  <r>
    <s v="VND-005"/>
    <s v="EnergyPlus Corp"/>
    <s v="Utilities"/>
    <s v="Central"/>
    <s v="INV-0157"/>
    <d v="2025-04-09T00:00:00"/>
    <d v="2025-05-09T00:00:00"/>
    <n v="30"/>
    <n v="76418.7"/>
    <n v="76418.7"/>
    <n v="0"/>
    <d v="2025-05-01T00:00:00"/>
    <n v="53"/>
    <n v="23"/>
    <x v="1"/>
    <n v="0.02"/>
    <n v="1528.37"/>
  </r>
  <r>
    <s v="VND-005"/>
    <s v="EnergyPlus Corp"/>
    <s v="Utilities"/>
    <s v="Central"/>
    <s v="INV-0158"/>
    <d v="2025-05-12T00:00:00"/>
    <d v="2025-05-27T00:00:00"/>
    <n v="15"/>
    <n v="61592.84"/>
    <n v="61592.84"/>
    <n v="0"/>
    <d v="2025-05-18T00:00:00"/>
    <n v="20"/>
    <n v="5"/>
    <x v="1"/>
    <n v="0"/>
    <n v="0"/>
  </r>
  <r>
    <s v="VND-005"/>
    <s v="EnergyPlus Corp"/>
    <s v="Utilities"/>
    <s v="Central"/>
    <s v="INV-0159"/>
    <d v="2025-04-03T00:00:00"/>
    <d v="2025-07-02T00:00:00"/>
    <n v="90"/>
    <n v="60514.93"/>
    <n v="0"/>
    <n v="60514.93"/>
    <m/>
    <n v="59"/>
    <n v="0"/>
    <x v="0"/>
    <n v="0.01"/>
    <n v="0"/>
  </r>
  <r>
    <s v="VND-005"/>
    <s v="EnergyPlus Corp"/>
    <s v="Utilities"/>
    <s v="Central"/>
    <s v="INV-0160"/>
    <d v="2025-01-26T00:00:00"/>
    <d v="2025-03-12T00:00:00"/>
    <n v="45"/>
    <n v="66464.7"/>
    <n v="66464.7"/>
    <n v="0"/>
    <d v="2025-03-23T00:00:00"/>
    <n v="126"/>
    <n v="81"/>
    <x v="1"/>
    <n v="0.02"/>
    <n v="0"/>
  </r>
  <r>
    <s v="VND-005"/>
    <s v="EnergyPlus Corp"/>
    <s v="Utilities"/>
    <s v="Central"/>
    <s v="INV-0161"/>
    <d v="2025-03-26T00:00:00"/>
    <d v="2025-05-10T00:00:00"/>
    <n v="45"/>
    <n v="2373.9"/>
    <n v="2373.9"/>
    <n v="0"/>
    <d v="2025-05-02T00:00:00"/>
    <n v="67"/>
    <n v="22"/>
    <x v="1"/>
    <n v="2.5000000000000001E-2"/>
    <n v="59.35"/>
  </r>
  <r>
    <s v="VND-005"/>
    <s v="EnergyPlus Corp"/>
    <s v="Utilities"/>
    <s v="Central"/>
    <s v="INV-0162"/>
    <d v="2025-05-17T00:00:00"/>
    <d v="2025-06-16T00:00:00"/>
    <n v="30"/>
    <n v="64075.53"/>
    <n v="0"/>
    <n v="64075.53"/>
    <m/>
    <n v="15"/>
    <n v="0"/>
    <x v="0"/>
    <n v="2.5000000000000001E-2"/>
    <n v="0"/>
  </r>
  <r>
    <s v="VND-005"/>
    <s v="EnergyPlus Corp"/>
    <s v="Utilities"/>
    <s v="Central"/>
    <s v="INV-0163"/>
    <d v="2025-03-16T00:00:00"/>
    <d v="2025-04-30T00:00:00"/>
    <n v="45"/>
    <n v="27871.59"/>
    <n v="27871.59"/>
    <n v="0"/>
    <d v="2025-04-04T00:00:00"/>
    <n v="77"/>
    <n v="32"/>
    <x v="1"/>
    <n v="2.5000000000000001E-2"/>
    <n v="696.79"/>
  </r>
  <r>
    <s v="VND-005"/>
    <s v="EnergyPlus Corp"/>
    <s v="Utilities"/>
    <s v="Central"/>
    <s v="INV-0164"/>
    <d v="2024-12-13T00:00:00"/>
    <d v="2025-02-11T00:00:00"/>
    <n v="60"/>
    <n v="52218.17"/>
    <n v="14542.39"/>
    <n v="37675.78"/>
    <d v="2025-05-17T00:00:00"/>
    <n v="170"/>
    <n v="110"/>
    <x v="2"/>
    <n v="0"/>
    <n v="0"/>
  </r>
  <r>
    <s v="VND-005"/>
    <s v="EnergyPlus Corp"/>
    <s v="Utilities"/>
    <s v="Central"/>
    <s v="INV-0165"/>
    <d v="2025-05-04T00:00:00"/>
    <d v="2025-06-18T00:00:00"/>
    <n v="45"/>
    <n v="9538.9500000000007"/>
    <n v="0"/>
    <n v="9538.9500000000007"/>
    <m/>
    <n v="28"/>
    <n v="0"/>
    <x v="0"/>
    <n v="0"/>
    <n v="0"/>
  </r>
  <r>
    <s v="VND-005"/>
    <s v="EnergyPlus Corp"/>
    <s v="Utilities"/>
    <s v="Central"/>
    <s v="INV-0166"/>
    <d v="2025-02-21T00:00:00"/>
    <d v="2025-03-08T00:00:00"/>
    <n v="15"/>
    <n v="14818.2"/>
    <n v="14818.2"/>
    <n v="0"/>
    <d v="2025-03-03T00:00:00"/>
    <n v="100"/>
    <n v="85"/>
    <x v="1"/>
    <n v="0.02"/>
    <n v="296.36"/>
  </r>
  <r>
    <s v="VND-005"/>
    <s v="EnergyPlus Corp"/>
    <s v="Utilities"/>
    <s v="Central"/>
    <s v="INV-0167"/>
    <d v="2024-12-06T00:00:00"/>
    <d v="2025-01-20T00:00:00"/>
    <n v="45"/>
    <n v="76804.42"/>
    <n v="76804.42"/>
    <n v="0"/>
    <d v="2025-01-13T00:00:00"/>
    <n v="177"/>
    <n v="132"/>
    <x v="1"/>
    <n v="0.02"/>
    <n v="1536.09"/>
  </r>
  <r>
    <s v="VND-005"/>
    <s v="EnergyPlus Corp"/>
    <s v="Utilities"/>
    <s v="Central"/>
    <s v="INV-0168"/>
    <d v="2025-03-29T00:00:00"/>
    <d v="2025-05-13T00:00:00"/>
    <n v="45"/>
    <n v="66979.100000000006"/>
    <n v="66979.100000000006"/>
    <n v="0"/>
    <d v="2025-04-28T00:00:00"/>
    <n v="64"/>
    <n v="19"/>
    <x v="1"/>
    <n v="0"/>
    <n v="0"/>
  </r>
  <r>
    <s v="VND-005"/>
    <s v="EnergyPlus Corp"/>
    <s v="Utilities"/>
    <s v="Central"/>
    <s v="INV-0169"/>
    <d v="2025-05-09T00:00:00"/>
    <d v="2025-05-24T00:00:00"/>
    <n v="15"/>
    <n v="54787.38"/>
    <n v="54787.38"/>
    <n v="0"/>
    <d v="2025-05-19T00:00:00"/>
    <n v="23"/>
    <n v="8"/>
    <x v="1"/>
    <n v="0"/>
    <n v="0"/>
  </r>
  <r>
    <s v="VND-005"/>
    <s v="EnergyPlus Corp"/>
    <s v="Utilities"/>
    <s v="Central"/>
    <s v="INV-0170"/>
    <d v="2025-04-01T00:00:00"/>
    <d v="2025-05-01T00:00:00"/>
    <n v="30"/>
    <n v="5243.19"/>
    <n v="0"/>
    <n v="5243.19"/>
    <m/>
    <n v="61"/>
    <n v="31"/>
    <x v="3"/>
    <n v="0.01"/>
    <n v="0"/>
  </r>
  <r>
    <s v="VND-005"/>
    <s v="EnergyPlus Corp"/>
    <s v="Utilities"/>
    <s v="Central"/>
    <s v="INV-0171"/>
    <d v="2025-01-04T00:00:00"/>
    <d v="2025-03-05T00:00:00"/>
    <n v="60"/>
    <n v="14262.78"/>
    <n v="14262.78"/>
    <n v="0"/>
    <d v="2025-03-16T00:00:00"/>
    <n v="148"/>
    <n v="88"/>
    <x v="1"/>
    <n v="0"/>
    <n v="0"/>
  </r>
  <r>
    <s v="VND-005"/>
    <s v="EnergyPlus Corp"/>
    <s v="Utilities"/>
    <s v="Central"/>
    <s v="INV-0172"/>
    <d v="2025-04-09T00:00:00"/>
    <d v="2025-06-08T00:00:00"/>
    <n v="60"/>
    <n v="22217.08"/>
    <n v="0"/>
    <n v="22217.08"/>
    <m/>
    <n v="53"/>
    <n v="0"/>
    <x v="0"/>
    <n v="0.01"/>
    <n v="0"/>
  </r>
  <r>
    <s v="VND-005"/>
    <s v="EnergyPlus Corp"/>
    <s v="Utilities"/>
    <s v="Central"/>
    <s v="INV-0173"/>
    <d v="2024-12-30T00:00:00"/>
    <d v="2025-01-14T00:00:00"/>
    <n v="15"/>
    <n v="52855.25"/>
    <n v="52855.25"/>
    <n v="0"/>
    <d v="2025-01-10T00:00:00"/>
    <n v="153"/>
    <n v="138"/>
    <x v="1"/>
    <n v="0.01"/>
    <n v="0"/>
  </r>
  <r>
    <s v="VND-006"/>
    <s v="MegaParts Ltd"/>
    <s v="Materials"/>
    <s v="South"/>
    <s v="INV-0174"/>
    <d v="2025-05-12T00:00:00"/>
    <d v="2025-06-11T00:00:00"/>
    <n v="30"/>
    <n v="23721.06"/>
    <n v="0"/>
    <n v="23721.06"/>
    <m/>
    <n v="20"/>
    <n v="0"/>
    <x v="0"/>
    <n v="0.02"/>
    <n v="0"/>
  </r>
  <r>
    <s v="VND-006"/>
    <s v="MegaParts Ltd"/>
    <s v="Materials"/>
    <s v="South"/>
    <s v="INV-0175"/>
    <d v="2025-03-25T00:00:00"/>
    <d v="2025-05-09T00:00:00"/>
    <n v="45"/>
    <n v="74136.73"/>
    <n v="74136.73"/>
    <n v="0"/>
    <d v="2025-04-21T00:00:00"/>
    <n v="68"/>
    <n v="23"/>
    <x v="1"/>
    <n v="0"/>
    <n v="0"/>
  </r>
  <r>
    <s v="VND-006"/>
    <s v="MegaParts Ltd"/>
    <s v="Materials"/>
    <s v="South"/>
    <s v="INV-0176"/>
    <d v="2025-04-29T00:00:00"/>
    <d v="2025-07-28T00:00:00"/>
    <n v="90"/>
    <n v="7629.33"/>
    <n v="0"/>
    <n v="7629.33"/>
    <m/>
    <n v="33"/>
    <n v="0"/>
    <x v="0"/>
    <n v="0.01"/>
    <n v="0"/>
  </r>
  <r>
    <s v="VND-006"/>
    <s v="MegaParts Ltd"/>
    <s v="Materials"/>
    <s v="South"/>
    <s v="INV-0177"/>
    <d v="2024-12-27T00:00:00"/>
    <d v="2025-01-26T00:00:00"/>
    <n v="30"/>
    <n v="26020.959999999999"/>
    <n v="26020.959999999999"/>
    <n v="0"/>
    <d v="2025-01-15T00:00:00"/>
    <n v="156"/>
    <n v="126"/>
    <x v="1"/>
    <n v="2.5000000000000001E-2"/>
    <n v="650.52"/>
  </r>
  <r>
    <s v="VND-006"/>
    <s v="MegaParts Ltd"/>
    <s v="Materials"/>
    <s v="South"/>
    <s v="INV-0178"/>
    <d v="2025-03-29T00:00:00"/>
    <d v="2025-04-28T00:00:00"/>
    <n v="30"/>
    <n v="74447.259999999995"/>
    <n v="74447.259999999995"/>
    <n v="0"/>
    <d v="2025-04-28T00:00:00"/>
    <n v="64"/>
    <n v="34"/>
    <x v="1"/>
    <n v="2.5000000000000001E-2"/>
    <n v="0"/>
  </r>
  <r>
    <s v="VND-006"/>
    <s v="MegaParts Ltd"/>
    <s v="Materials"/>
    <s v="South"/>
    <s v="INV-0179"/>
    <d v="2025-04-07T00:00:00"/>
    <d v="2025-06-06T00:00:00"/>
    <n v="60"/>
    <n v="75392.25"/>
    <n v="0"/>
    <n v="75392.25"/>
    <m/>
    <n v="55"/>
    <n v="0"/>
    <x v="0"/>
    <n v="0.02"/>
    <n v="0"/>
  </r>
  <r>
    <s v="VND-006"/>
    <s v="MegaParts Ltd"/>
    <s v="Materials"/>
    <s v="South"/>
    <s v="INV-0180"/>
    <d v="2025-04-02T00:00:00"/>
    <d v="2025-05-17T00:00:00"/>
    <n v="45"/>
    <n v="77755.08"/>
    <n v="77755.08"/>
    <n v="0"/>
    <d v="2025-05-17T00:00:00"/>
    <n v="60"/>
    <n v="15"/>
    <x v="1"/>
    <n v="0.01"/>
    <n v="0"/>
  </r>
  <r>
    <s v="VND-006"/>
    <s v="MegaParts Ltd"/>
    <s v="Materials"/>
    <s v="South"/>
    <s v="INV-0181"/>
    <d v="2025-05-18T00:00:00"/>
    <d v="2025-06-17T00:00:00"/>
    <n v="30"/>
    <n v="3473.44"/>
    <n v="0"/>
    <n v="3473.44"/>
    <m/>
    <n v="14"/>
    <n v="0"/>
    <x v="0"/>
    <n v="0.01"/>
    <n v="0"/>
  </r>
  <r>
    <s v="VND-006"/>
    <s v="MegaParts Ltd"/>
    <s v="Materials"/>
    <s v="South"/>
    <s v="INV-0182"/>
    <d v="2025-02-05T00:00:00"/>
    <d v="2025-02-20T00:00:00"/>
    <n v="15"/>
    <n v="6583.85"/>
    <n v="6583.85"/>
    <n v="0"/>
    <d v="2025-02-07T00:00:00"/>
    <n v="116"/>
    <n v="101"/>
    <x v="1"/>
    <n v="0.01"/>
    <n v="65.84"/>
  </r>
  <r>
    <s v="VND-006"/>
    <s v="MegaParts Ltd"/>
    <s v="Materials"/>
    <s v="South"/>
    <s v="INV-0183"/>
    <d v="2025-04-26T00:00:00"/>
    <d v="2025-05-11T00:00:00"/>
    <n v="15"/>
    <n v="6440"/>
    <n v="6440"/>
    <n v="0"/>
    <d v="2025-06-10T00:00:00"/>
    <n v="36"/>
    <n v="21"/>
    <x v="1"/>
    <n v="0"/>
    <n v="0"/>
  </r>
  <r>
    <s v="VND-006"/>
    <s v="MegaParts Ltd"/>
    <s v="Materials"/>
    <s v="South"/>
    <s v="INV-0184"/>
    <d v="2025-03-20T00:00:00"/>
    <d v="2025-05-04T00:00:00"/>
    <n v="45"/>
    <n v="62560.35"/>
    <n v="32510.66"/>
    <n v="30049.69"/>
    <d v="2025-05-14T00:00:00"/>
    <n v="73"/>
    <n v="28"/>
    <x v="2"/>
    <n v="0.01"/>
    <n v="0"/>
  </r>
  <r>
    <s v="VND-006"/>
    <s v="MegaParts Ltd"/>
    <s v="Materials"/>
    <s v="South"/>
    <s v="INV-0185"/>
    <d v="2025-04-11T00:00:00"/>
    <d v="2025-06-10T00:00:00"/>
    <n v="60"/>
    <n v="16479.36"/>
    <n v="0"/>
    <n v="16479.36"/>
    <m/>
    <n v="51"/>
    <n v="0"/>
    <x v="0"/>
    <n v="2.5000000000000001E-2"/>
    <n v="0"/>
  </r>
  <r>
    <s v="VND-006"/>
    <s v="MegaParts Ltd"/>
    <s v="Materials"/>
    <s v="South"/>
    <s v="INV-0186"/>
    <d v="2025-05-08T00:00:00"/>
    <d v="2025-06-22T00:00:00"/>
    <n v="45"/>
    <n v="14752.22"/>
    <n v="0"/>
    <n v="14752.22"/>
    <m/>
    <n v="24"/>
    <n v="0"/>
    <x v="0"/>
    <n v="0.02"/>
    <n v="0"/>
  </r>
  <r>
    <s v="VND-006"/>
    <s v="MegaParts Ltd"/>
    <s v="Materials"/>
    <s v="South"/>
    <s v="INV-0187"/>
    <d v="2025-03-10T00:00:00"/>
    <d v="2025-06-08T00:00:00"/>
    <n v="90"/>
    <n v="4374.08"/>
    <n v="0"/>
    <n v="4374.08"/>
    <m/>
    <n v="83"/>
    <n v="0"/>
    <x v="0"/>
    <n v="0.01"/>
    <n v="0"/>
  </r>
  <r>
    <s v="VND-006"/>
    <s v="MegaParts Ltd"/>
    <s v="Materials"/>
    <s v="South"/>
    <s v="INV-0188"/>
    <d v="2025-05-16T00:00:00"/>
    <d v="2025-08-14T00:00:00"/>
    <n v="90"/>
    <n v="44565.19"/>
    <n v="0"/>
    <n v="44565.19"/>
    <m/>
    <n v="16"/>
    <n v="0"/>
    <x v="0"/>
    <n v="0.01"/>
    <n v="0"/>
  </r>
  <r>
    <s v="VND-006"/>
    <s v="MegaParts Ltd"/>
    <s v="Materials"/>
    <s v="South"/>
    <s v="INV-0189"/>
    <d v="2025-04-29T00:00:00"/>
    <d v="2025-06-13T00:00:00"/>
    <n v="45"/>
    <n v="68937.3"/>
    <n v="0"/>
    <n v="68937.3"/>
    <m/>
    <n v="33"/>
    <n v="0"/>
    <x v="0"/>
    <n v="2.5000000000000001E-2"/>
    <n v="0"/>
  </r>
  <r>
    <s v="VND-006"/>
    <s v="MegaParts Ltd"/>
    <s v="Materials"/>
    <s v="South"/>
    <s v="INV-0190"/>
    <d v="2025-04-26T00:00:00"/>
    <d v="2025-05-11T00:00:00"/>
    <n v="15"/>
    <n v="13911.6"/>
    <n v="13911.6"/>
    <n v="0"/>
    <d v="2025-05-17T00:00:00"/>
    <n v="36"/>
    <n v="21"/>
    <x v="1"/>
    <n v="0"/>
    <n v="0"/>
  </r>
  <r>
    <s v="VND-006"/>
    <s v="MegaParts Ltd"/>
    <s v="Materials"/>
    <s v="South"/>
    <s v="INV-0191"/>
    <d v="2025-04-06T00:00:00"/>
    <d v="2025-05-06T00:00:00"/>
    <n v="30"/>
    <n v="14528.95"/>
    <n v="14528.95"/>
    <n v="0"/>
    <d v="2025-05-25T00:00:00"/>
    <n v="56"/>
    <n v="26"/>
    <x v="1"/>
    <n v="2.5000000000000001E-2"/>
    <n v="0"/>
  </r>
  <r>
    <s v="VND-006"/>
    <s v="MegaParts Ltd"/>
    <s v="Materials"/>
    <s v="South"/>
    <s v="INV-0192"/>
    <d v="2025-03-21T00:00:00"/>
    <d v="2025-04-05T00:00:00"/>
    <n v="15"/>
    <n v="62882.59"/>
    <n v="62882.59"/>
    <n v="0"/>
    <d v="2025-04-30T00:00:00"/>
    <n v="72"/>
    <n v="57"/>
    <x v="1"/>
    <n v="0.01"/>
    <n v="0"/>
  </r>
  <r>
    <s v="VND-006"/>
    <s v="MegaParts Ltd"/>
    <s v="Materials"/>
    <s v="South"/>
    <s v="INV-0193"/>
    <d v="2025-01-10T00:00:00"/>
    <d v="2025-01-25T00:00:00"/>
    <n v="15"/>
    <n v="54479.72"/>
    <n v="0"/>
    <n v="54479.72"/>
    <m/>
    <n v="142"/>
    <n v="127"/>
    <x v="3"/>
    <n v="2.5000000000000001E-2"/>
    <n v="0"/>
  </r>
  <r>
    <s v="VND-006"/>
    <s v="MegaParts Ltd"/>
    <s v="Materials"/>
    <s v="South"/>
    <s v="INV-0194"/>
    <d v="2025-01-31T00:00:00"/>
    <d v="2025-05-01T00:00:00"/>
    <n v="90"/>
    <n v="22399.65"/>
    <n v="4276.91"/>
    <n v="18122.740000000002"/>
    <d v="2025-05-10T00:00:00"/>
    <n v="121"/>
    <n v="31"/>
    <x v="2"/>
    <n v="0.02"/>
    <n v="0"/>
  </r>
  <r>
    <s v="VND-006"/>
    <s v="MegaParts Ltd"/>
    <s v="Materials"/>
    <s v="South"/>
    <s v="INV-0195"/>
    <d v="2025-01-29T00:00:00"/>
    <d v="2025-04-29T00:00:00"/>
    <n v="90"/>
    <n v="28197.42"/>
    <n v="28197.42"/>
    <n v="0"/>
    <d v="2025-05-25T00:00:00"/>
    <n v="123"/>
    <n v="33"/>
    <x v="1"/>
    <n v="2.5000000000000001E-2"/>
    <n v="0"/>
  </r>
  <r>
    <s v="VND-006"/>
    <s v="MegaParts Ltd"/>
    <s v="Materials"/>
    <s v="South"/>
    <s v="INV-0196"/>
    <d v="2025-01-16T00:00:00"/>
    <d v="2025-04-16T00:00:00"/>
    <n v="90"/>
    <n v="69570.600000000006"/>
    <n v="69570.600000000006"/>
    <n v="0"/>
    <d v="2025-04-08T00:00:00"/>
    <n v="136"/>
    <n v="46"/>
    <x v="1"/>
    <n v="0.01"/>
    <n v="695.71"/>
  </r>
  <r>
    <s v="VND-006"/>
    <s v="MegaParts Ltd"/>
    <s v="Materials"/>
    <s v="South"/>
    <s v="INV-0197"/>
    <d v="2025-05-10T00:00:00"/>
    <d v="2025-06-09T00:00:00"/>
    <n v="30"/>
    <n v="48580.07"/>
    <n v="0"/>
    <n v="48580.07"/>
    <m/>
    <n v="22"/>
    <n v="0"/>
    <x v="0"/>
    <n v="0.01"/>
    <n v="0"/>
  </r>
  <r>
    <s v="VND-006"/>
    <s v="MegaParts Ltd"/>
    <s v="Materials"/>
    <s v="South"/>
    <s v="INV-0198"/>
    <d v="2025-02-09T00:00:00"/>
    <d v="2025-03-26T00:00:00"/>
    <n v="45"/>
    <n v="64123.39"/>
    <n v="64123.39"/>
    <n v="0"/>
    <d v="2025-03-23T00:00:00"/>
    <n v="112"/>
    <n v="67"/>
    <x v="1"/>
    <n v="0.02"/>
    <n v="0"/>
  </r>
  <r>
    <s v="VND-006"/>
    <s v="MegaParts Ltd"/>
    <s v="Materials"/>
    <s v="South"/>
    <s v="INV-0199"/>
    <d v="2025-02-24T00:00:00"/>
    <d v="2025-05-25T00:00:00"/>
    <n v="90"/>
    <n v="5127.84"/>
    <n v="5127.84"/>
    <n v="0"/>
    <d v="2025-06-18T00:00:00"/>
    <n v="97"/>
    <n v="7"/>
    <x v="1"/>
    <n v="0.01"/>
    <n v="0"/>
  </r>
  <r>
    <s v="VND-006"/>
    <s v="MegaParts Ltd"/>
    <s v="Materials"/>
    <s v="South"/>
    <s v="INV-0200"/>
    <d v="2025-03-24T00:00:00"/>
    <d v="2025-05-08T00:00:00"/>
    <n v="45"/>
    <n v="11482.27"/>
    <n v="0"/>
    <n v="11482.27"/>
    <m/>
    <n v="69"/>
    <n v="24"/>
    <x v="3"/>
    <n v="0.01"/>
    <n v="0"/>
  </r>
  <r>
    <s v="VND-006"/>
    <s v="MegaParts Ltd"/>
    <s v="Materials"/>
    <s v="South"/>
    <s v="INV-0201"/>
    <d v="2025-01-24T00:00:00"/>
    <d v="2025-03-10T00:00:00"/>
    <n v="45"/>
    <n v="45933.29"/>
    <n v="45933.29"/>
    <n v="0"/>
    <d v="2025-03-21T00:00:00"/>
    <n v="128"/>
    <n v="83"/>
    <x v="1"/>
    <n v="2.5000000000000001E-2"/>
    <n v="0"/>
  </r>
  <r>
    <s v="VND-006"/>
    <s v="MegaParts Ltd"/>
    <s v="Materials"/>
    <s v="South"/>
    <s v="INV-0202"/>
    <d v="2025-02-21T00:00:00"/>
    <d v="2025-03-23T00:00:00"/>
    <n v="30"/>
    <n v="17569.509999999998"/>
    <n v="17569.509999999998"/>
    <n v="0"/>
    <d v="2025-03-12T00:00:00"/>
    <n v="100"/>
    <n v="70"/>
    <x v="1"/>
    <n v="0.02"/>
    <n v="351.39"/>
  </r>
  <r>
    <s v="VND-006"/>
    <s v="MegaParts Ltd"/>
    <s v="Materials"/>
    <s v="South"/>
    <s v="INV-0203"/>
    <d v="2025-01-18T00:00:00"/>
    <d v="2025-04-18T00:00:00"/>
    <n v="90"/>
    <n v="9027.98"/>
    <n v="0"/>
    <n v="9027.98"/>
    <m/>
    <n v="134"/>
    <n v="44"/>
    <x v="3"/>
    <n v="2.5000000000000001E-2"/>
    <n v="0"/>
  </r>
  <r>
    <s v="VND-006"/>
    <s v="MegaParts Ltd"/>
    <s v="Materials"/>
    <s v="South"/>
    <s v="INV-0204"/>
    <d v="2025-04-25T00:00:00"/>
    <d v="2025-06-24T00:00:00"/>
    <n v="60"/>
    <n v="22979.48"/>
    <n v="0"/>
    <n v="22979.48"/>
    <m/>
    <n v="37"/>
    <n v="0"/>
    <x v="0"/>
    <n v="0.02"/>
    <n v="0"/>
  </r>
  <r>
    <s v="VND-006"/>
    <s v="MegaParts Ltd"/>
    <s v="Materials"/>
    <s v="South"/>
    <s v="INV-0205"/>
    <d v="2025-04-13T00:00:00"/>
    <d v="2025-05-13T00:00:00"/>
    <n v="30"/>
    <n v="74091.78"/>
    <n v="74091.78"/>
    <n v="0"/>
    <d v="2025-05-30T00:00:00"/>
    <n v="49"/>
    <n v="19"/>
    <x v="1"/>
    <n v="0.02"/>
    <n v="0"/>
  </r>
  <r>
    <s v="VND-006"/>
    <s v="MegaParts Ltd"/>
    <s v="Materials"/>
    <s v="South"/>
    <s v="INV-0206"/>
    <d v="2025-01-30T00:00:00"/>
    <d v="2025-03-16T00:00:00"/>
    <n v="45"/>
    <n v="2390.66"/>
    <n v="2390.66"/>
    <n v="0"/>
    <d v="2025-02-23T00:00:00"/>
    <n v="122"/>
    <n v="77"/>
    <x v="1"/>
    <n v="0.02"/>
    <n v="47.81"/>
  </r>
  <r>
    <s v="VND-006"/>
    <s v="MegaParts Ltd"/>
    <s v="Materials"/>
    <s v="South"/>
    <s v="INV-0207"/>
    <d v="2025-04-25T00:00:00"/>
    <d v="2025-07-24T00:00:00"/>
    <n v="90"/>
    <n v="43397.57"/>
    <n v="0"/>
    <n v="43397.57"/>
    <m/>
    <n v="37"/>
    <n v="0"/>
    <x v="0"/>
    <n v="0"/>
    <n v="0"/>
  </r>
  <r>
    <s v="VND-006"/>
    <s v="MegaParts Ltd"/>
    <s v="Materials"/>
    <s v="South"/>
    <s v="INV-0208"/>
    <d v="2025-01-16T00:00:00"/>
    <d v="2025-04-16T00:00:00"/>
    <n v="90"/>
    <n v="48850.7"/>
    <n v="48850.7"/>
    <n v="0"/>
    <d v="2025-01-19T00:00:00"/>
    <n v="136"/>
    <n v="46"/>
    <x v="1"/>
    <n v="0.02"/>
    <n v="977.01"/>
  </r>
  <r>
    <s v="VND-007"/>
    <s v="CloudSoft Solutions"/>
    <s v="IT"/>
    <s v="Central"/>
    <s v="INV-0209"/>
    <d v="2025-05-01T00:00:00"/>
    <d v="2025-06-30T00:00:00"/>
    <n v="60"/>
    <n v="9265.61"/>
    <n v="0"/>
    <n v="9265.61"/>
    <m/>
    <n v="31"/>
    <n v="0"/>
    <x v="0"/>
    <n v="2.5000000000000001E-2"/>
    <n v="0"/>
  </r>
  <r>
    <s v="VND-007"/>
    <s v="CloudSoft Solutions"/>
    <s v="IT"/>
    <s v="Central"/>
    <s v="INV-0210"/>
    <d v="2025-01-18T00:00:00"/>
    <d v="2025-03-19T00:00:00"/>
    <n v="60"/>
    <n v="62370.09"/>
    <n v="62370.09"/>
    <n v="0"/>
    <d v="2025-04-08T00:00:00"/>
    <n v="134"/>
    <n v="74"/>
    <x v="1"/>
    <n v="2.5000000000000001E-2"/>
    <n v="0"/>
  </r>
  <r>
    <s v="VND-007"/>
    <s v="CloudSoft Solutions"/>
    <s v="IT"/>
    <s v="Central"/>
    <s v="INV-0211"/>
    <d v="2025-05-06T00:00:00"/>
    <d v="2025-07-05T00:00:00"/>
    <n v="60"/>
    <n v="46689.87"/>
    <n v="0"/>
    <n v="46689.87"/>
    <m/>
    <n v="26"/>
    <n v="0"/>
    <x v="0"/>
    <n v="0.02"/>
    <n v="0"/>
  </r>
  <r>
    <s v="VND-007"/>
    <s v="CloudSoft Solutions"/>
    <s v="IT"/>
    <s v="Central"/>
    <s v="INV-0212"/>
    <d v="2025-03-06T00:00:00"/>
    <d v="2025-03-21T00:00:00"/>
    <n v="15"/>
    <n v="55490.99"/>
    <n v="0"/>
    <n v="55490.99"/>
    <m/>
    <n v="87"/>
    <n v="72"/>
    <x v="3"/>
    <n v="0"/>
    <n v="0"/>
  </r>
  <r>
    <s v="VND-007"/>
    <s v="CloudSoft Solutions"/>
    <s v="IT"/>
    <s v="Central"/>
    <s v="INV-0213"/>
    <d v="2025-04-27T00:00:00"/>
    <d v="2025-05-27T00:00:00"/>
    <n v="30"/>
    <n v="59980.37"/>
    <n v="59980.37"/>
    <n v="0"/>
    <d v="2025-06-03T00:00:00"/>
    <n v="35"/>
    <n v="5"/>
    <x v="1"/>
    <n v="0.02"/>
    <n v="0"/>
  </r>
  <r>
    <s v="VND-007"/>
    <s v="CloudSoft Solutions"/>
    <s v="IT"/>
    <s v="Central"/>
    <s v="INV-0214"/>
    <d v="2025-03-30T00:00:00"/>
    <d v="2025-06-28T00:00:00"/>
    <n v="90"/>
    <n v="38690.86"/>
    <n v="0"/>
    <n v="38690.86"/>
    <m/>
    <n v="63"/>
    <n v="0"/>
    <x v="0"/>
    <n v="0"/>
    <n v="0"/>
  </r>
  <r>
    <s v="VND-007"/>
    <s v="CloudSoft Solutions"/>
    <s v="IT"/>
    <s v="Central"/>
    <s v="INV-0215"/>
    <d v="2025-02-19T00:00:00"/>
    <d v="2025-04-20T00:00:00"/>
    <n v="60"/>
    <n v="67269.429999999993"/>
    <n v="67269.429999999993"/>
    <n v="0"/>
    <d v="2025-03-28T00:00:00"/>
    <n v="102"/>
    <n v="42"/>
    <x v="1"/>
    <n v="0"/>
    <n v="0"/>
  </r>
  <r>
    <s v="VND-007"/>
    <s v="CloudSoft Solutions"/>
    <s v="IT"/>
    <s v="Central"/>
    <s v="INV-0216"/>
    <d v="2025-05-05T00:00:00"/>
    <d v="2025-05-20T00:00:00"/>
    <n v="15"/>
    <n v="31142.35"/>
    <n v="0"/>
    <n v="31142.35"/>
    <m/>
    <n v="27"/>
    <n v="12"/>
    <x v="3"/>
    <n v="2.5000000000000001E-2"/>
    <n v="0"/>
  </r>
  <r>
    <s v="VND-007"/>
    <s v="CloudSoft Solutions"/>
    <s v="IT"/>
    <s v="Central"/>
    <s v="INV-0217"/>
    <d v="2025-04-20T00:00:00"/>
    <d v="2025-05-20T00:00:00"/>
    <n v="30"/>
    <n v="45955.07"/>
    <n v="45955.07"/>
    <n v="0"/>
    <d v="2025-05-23T00:00:00"/>
    <n v="42"/>
    <n v="12"/>
    <x v="1"/>
    <n v="0.02"/>
    <n v="0"/>
  </r>
  <r>
    <s v="VND-007"/>
    <s v="CloudSoft Solutions"/>
    <s v="IT"/>
    <s v="Central"/>
    <s v="INV-0218"/>
    <d v="2025-05-10T00:00:00"/>
    <d v="2025-06-24T00:00:00"/>
    <n v="45"/>
    <n v="63004.71"/>
    <n v="0"/>
    <n v="63004.71"/>
    <m/>
    <n v="22"/>
    <n v="0"/>
    <x v="0"/>
    <n v="0.01"/>
    <n v="0"/>
  </r>
  <r>
    <s v="VND-007"/>
    <s v="CloudSoft Solutions"/>
    <s v="IT"/>
    <s v="Central"/>
    <s v="INV-0219"/>
    <d v="2025-01-18T00:00:00"/>
    <d v="2025-02-02T00:00:00"/>
    <n v="15"/>
    <n v="6454.49"/>
    <n v="2783.45"/>
    <n v="3671.04"/>
    <d v="2025-04-13T00:00:00"/>
    <n v="134"/>
    <n v="119"/>
    <x v="2"/>
    <n v="0.01"/>
    <n v="0"/>
  </r>
  <r>
    <s v="VND-007"/>
    <s v="CloudSoft Solutions"/>
    <s v="IT"/>
    <s v="Central"/>
    <s v="INV-0220"/>
    <d v="2024-12-28T00:00:00"/>
    <d v="2025-02-26T00:00:00"/>
    <n v="60"/>
    <n v="71878.720000000001"/>
    <n v="71878.720000000001"/>
    <n v="0"/>
    <d v="2025-03-13T00:00:00"/>
    <n v="155"/>
    <n v="95"/>
    <x v="1"/>
    <n v="0.02"/>
    <n v="0"/>
  </r>
  <r>
    <s v="VND-007"/>
    <s v="CloudSoft Solutions"/>
    <s v="IT"/>
    <s v="Central"/>
    <s v="INV-0221"/>
    <d v="2025-04-23T00:00:00"/>
    <d v="2025-05-23T00:00:00"/>
    <n v="30"/>
    <n v="12197.68"/>
    <n v="8752.36"/>
    <n v="3445.32"/>
    <d v="2025-05-18T00:00:00"/>
    <n v="39"/>
    <n v="9"/>
    <x v="2"/>
    <n v="2.5000000000000001E-2"/>
    <n v="0"/>
  </r>
  <r>
    <s v="VND-007"/>
    <s v="CloudSoft Solutions"/>
    <s v="IT"/>
    <s v="Central"/>
    <s v="INV-0222"/>
    <d v="2025-02-27T00:00:00"/>
    <d v="2025-03-14T00:00:00"/>
    <n v="15"/>
    <n v="50046.84"/>
    <n v="50046.84"/>
    <n v="0"/>
    <d v="2025-02-27T00:00:00"/>
    <n v="94"/>
    <n v="79"/>
    <x v="1"/>
    <n v="0"/>
    <n v="0"/>
  </r>
  <r>
    <s v="VND-007"/>
    <s v="CloudSoft Solutions"/>
    <s v="IT"/>
    <s v="Central"/>
    <s v="INV-0223"/>
    <d v="2025-02-03T00:00:00"/>
    <d v="2025-04-04T00:00:00"/>
    <n v="60"/>
    <n v="42986.26"/>
    <n v="42986.26"/>
    <n v="0"/>
    <d v="2025-04-19T00:00:00"/>
    <n v="118"/>
    <n v="58"/>
    <x v="1"/>
    <n v="0.01"/>
    <n v="0"/>
  </r>
  <r>
    <s v="VND-007"/>
    <s v="CloudSoft Solutions"/>
    <s v="IT"/>
    <s v="Central"/>
    <s v="INV-0224"/>
    <d v="2024-12-27T00:00:00"/>
    <d v="2025-02-25T00:00:00"/>
    <n v="60"/>
    <n v="38910.44"/>
    <n v="38910.44"/>
    <n v="0"/>
    <d v="2025-01-11T00:00:00"/>
    <n v="156"/>
    <n v="96"/>
    <x v="1"/>
    <n v="0.01"/>
    <n v="389.1"/>
  </r>
  <r>
    <s v="VND-007"/>
    <s v="CloudSoft Solutions"/>
    <s v="IT"/>
    <s v="Central"/>
    <s v="INV-0225"/>
    <d v="2025-01-11T00:00:00"/>
    <d v="2025-03-12T00:00:00"/>
    <n v="60"/>
    <n v="14540.75"/>
    <n v="14540.75"/>
    <n v="0"/>
    <d v="2025-02-21T00:00:00"/>
    <n v="141"/>
    <n v="81"/>
    <x v="1"/>
    <n v="0.01"/>
    <n v="145.41"/>
  </r>
  <r>
    <s v="VND-007"/>
    <s v="CloudSoft Solutions"/>
    <s v="IT"/>
    <s v="Central"/>
    <s v="INV-0226"/>
    <d v="2024-12-10T00:00:00"/>
    <d v="2025-01-24T00:00:00"/>
    <n v="45"/>
    <n v="56048.62"/>
    <n v="56048.62"/>
    <n v="0"/>
    <d v="2024-12-22T00:00:00"/>
    <n v="173"/>
    <n v="128"/>
    <x v="1"/>
    <n v="2.5000000000000001E-2"/>
    <n v="1401.22"/>
  </r>
  <r>
    <s v="VND-007"/>
    <s v="CloudSoft Solutions"/>
    <s v="IT"/>
    <s v="Central"/>
    <s v="INV-0227"/>
    <d v="2025-02-11T00:00:00"/>
    <d v="2025-05-12T00:00:00"/>
    <n v="90"/>
    <n v="32904.199999999997"/>
    <n v="32904.199999999997"/>
    <n v="0"/>
    <d v="2025-03-23T00:00:00"/>
    <n v="110"/>
    <n v="20"/>
    <x v="1"/>
    <n v="0.01"/>
    <n v="329.04"/>
  </r>
  <r>
    <s v="VND-007"/>
    <s v="CloudSoft Solutions"/>
    <s v="IT"/>
    <s v="Central"/>
    <s v="INV-0228"/>
    <d v="2025-01-10T00:00:00"/>
    <d v="2025-02-24T00:00:00"/>
    <n v="45"/>
    <n v="16400.72"/>
    <n v="16400.72"/>
    <n v="0"/>
    <d v="2025-02-09T00:00:00"/>
    <n v="142"/>
    <n v="97"/>
    <x v="1"/>
    <n v="0.02"/>
    <n v="328.01"/>
  </r>
  <r>
    <s v="VND-007"/>
    <s v="CloudSoft Solutions"/>
    <s v="IT"/>
    <s v="Central"/>
    <s v="INV-0229"/>
    <d v="2025-03-13T00:00:00"/>
    <d v="2025-05-12T00:00:00"/>
    <n v="60"/>
    <n v="30178.39"/>
    <n v="30178.39"/>
    <n v="0"/>
    <d v="2025-06-03T00:00:00"/>
    <n v="80"/>
    <n v="20"/>
    <x v="1"/>
    <n v="2.5000000000000001E-2"/>
    <n v="0"/>
  </r>
  <r>
    <s v="VND-007"/>
    <s v="CloudSoft Solutions"/>
    <s v="IT"/>
    <s v="Central"/>
    <s v="INV-0230"/>
    <d v="2025-04-17T00:00:00"/>
    <d v="2025-05-02T00:00:00"/>
    <n v="15"/>
    <n v="6827.21"/>
    <n v="5017.72"/>
    <n v="1809.49"/>
    <d v="2025-05-08T00:00:00"/>
    <n v="45"/>
    <n v="30"/>
    <x v="2"/>
    <n v="0"/>
    <n v="0"/>
  </r>
  <r>
    <s v="VND-007"/>
    <s v="CloudSoft Solutions"/>
    <s v="IT"/>
    <s v="Central"/>
    <s v="INV-0231"/>
    <d v="2025-01-19T00:00:00"/>
    <d v="2025-03-05T00:00:00"/>
    <n v="45"/>
    <n v="37591.06"/>
    <n v="7882.01"/>
    <n v="29709.05"/>
    <d v="2025-04-03T00:00:00"/>
    <n v="133"/>
    <n v="88"/>
    <x v="2"/>
    <n v="0"/>
    <n v="0"/>
  </r>
  <r>
    <s v="VND-007"/>
    <s v="CloudSoft Solutions"/>
    <s v="IT"/>
    <s v="Central"/>
    <s v="INV-0232"/>
    <d v="2024-12-16T00:00:00"/>
    <d v="2025-02-14T00:00:00"/>
    <n v="60"/>
    <n v="26955.599999999999"/>
    <n v="0"/>
    <n v="26955.599999999999"/>
    <m/>
    <n v="167"/>
    <n v="107"/>
    <x v="3"/>
    <n v="0.01"/>
    <n v="0"/>
  </r>
  <r>
    <s v="VND-007"/>
    <s v="CloudSoft Solutions"/>
    <s v="IT"/>
    <s v="Central"/>
    <s v="INV-0233"/>
    <d v="2025-01-01T00:00:00"/>
    <d v="2025-03-02T00:00:00"/>
    <n v="60"/>
    <n v="45974.65"/>
    <n v="45974.65"/>
    <n v="0"/>
    <d v="2025-02-08T00:00:00"/>
    <n v="151"/>
    <n v="91"/>
    <x v="1"/>
    <n v="2.5000000000000001E-2"/>
    <n v="1149.3699999999999"/>
  </r>
  <r>
    <s v="VND-007"/>
    <s v="CloudSoft Solutions"/>
    <s v="IT"/>
    <s v="Central"/>
    <s v="INV-0234"/>
    <d v="2025-05-05T00:00:00"/>
    <d v="2025-07-04T00:00:00"/>
    <n v="60"/>
    <n v="42876.18"/>
    <n v="0"/>
    <n v="42876.18"/>
    <m/>
    <n v="27"/>
    <n v="0"/>
    <x v="0"/>
    <n v="0.01"/>
    <n v="0"/>
  </r>
  <r>
    <s v="VND-007"/>
    <s v="CloudSoft Solutions"/>
    <s v="IT"/>
    <s v="Central"/>
    <s v="INV-0235"/>
    <d v="2025-01-26T00:00:00"/>
    <d v="2025-03-12T00:00:00"/>
    <n v="45"/>
    <n v="10264.870000000001"/>
    <n v="6143.25"/>
    <n v="4121.62"/>
    <d v="2025-05-22T00:00:00"/>
    <n v="126"/>
    <n v="81"/>
    <x v="2"/>
    <n v="0"/>
    <n v="0"/>
  </r>
  <r>
    <s v="VND-007"/>
    <s v="CloudSoft Solutions"/>
    <s v="IT"/>
    <s v="Central"/>
    <s v="INV-0236"/>
    <d v="2024-12-19T00:00:00"/>
    <d v="2025-01-18T00:00:00"/>
    <n v="30"/>
    <n v="5618.83"/>
    <n v="5618.83"/>
    <n v="0"/>
    <d v="2025-01-14T00:00:00"/>
    <n v="164"/>
    <n v="134"/>
    <x v="1"/>
    <n v="0.01"/>
    <n v="0"/>
  </r>
  <r>
    <s v="VND-007"/>
    <s v="CloudSoft Solutions"/>
    <s v="IT"/>
    <s v="Central"/>
    <s v="INV-0237"/>
    <d v="2025-03-31T00:00:00"/>
    <d v="2025-05-15T00:00:00"/>
    <n v="45"/>
    <n v="71841.61"/>
    <n v="0"/>
    <n v="71841.61"/>
    <m/>
    <n v="62"/>
    <n v="17"/>
    <x v="3"/>
    <n v="0.01"/>
    <n v="0"/>
  </r>
  <r>
    <s v="VND-007"/>
    <s v="CloudSoft Solutions"/>
    <s v="IT"/>
    <s v="Central"/>
    <s v="INV-0238"/>
    <d v="2025-05-22T00:00:00"/>
    <d v="2025-07-06T00:00:00"/>
    <n v="45"/>
    <n v="23057.22"/>
    <n v="0"/>
    <n v="23057.22"/>
    <m/>
    <n v="10"/>
    <n v="0"/>
    <x v="0"/>
    <n v="2.5000000000000001E-2"/>
    <n v="0"/>
  </r>
  <r>
    <s v="VND-007"/>
    <s v="CloudSoft Solutions"/>
    <s v="IT"/>
    <s v="Central"/>
    <s v="INV-0239"/>
    <d v="2025-02-19T00:00:00"/>
    <d v="2025-04-20T00:00:00"/>
    <n v="60"/>
    <n v="45746.63"/>
    <n v="45746.63"/>
    <n v="0"/>
    <d v="2025-03-22T00:00:00"/>
    <n v="102"/>
    <n v="42"/>
    <x v="1"/>
    <n v="0.02"/>
    <n v="914.93"/>
  </r>
  <r>
    <s v="VND-007"/>
    <s v="CloudSoft Solutions"/>
    <s v="IT"/>
    <s v="Central"/>
    <s v="INV-0240"/>
    <d v="2024-12-15T00:00:00"/>
    <d v="2024-12-30T00:00:00"/>
    <n v="15"/>
    <n v="54233.48"/>
    <n v="0"/>
    <n v="54233.48"/>
    <m/>
    <n v="168"/>
    <n v="153"/>
    <x v="3"/>
    <n v="0.01"/>
    <n v="0"/>
  </r>
  <r>
    <s v="VND-007"/>
    <s v="CloudSoft Solutions"/>
    <s v="IT"/>
    <s v="Central"/>
    <s v="INV-0241"/>
    <d v="2025-04-25T00:00:00"/>
    <d v="2025-06-09T00:00:00"/>
    <n v="45"/>
    <n v="1869.74"/>
    <n v="0"/>
    <n v="1869.74"/>
    <m/>
    <n v="37"/>
    <n v="0"/>
    <x v="0"/>
    <n v="0.01"/>
    <n v="0"/>
  </r>
  <r>
    <s v="VND-007"/>
    <s v="CloudSoft Solutions"/>
    <s v="IT"/>
    <s v="Central"/>
    <s v="INV-0242"/>
    <d v="2025-05-25T00:00:00"/>
    <d v="2025-07-09T00:00:00"/>
    <n v="45"/>
    <n v="42190.95"/>
    <n v="0"/>
    <n v="42190.95"/>
    <m/>
    <n v="7"/>
    <n v="0"/>
    <x v="0"/>
    <n v="2.5000000000000001E-2"/>
    <n v="0"/>
  </r>
  <r>
    <s v="VND-007"/>
    <s v="CloudSoft Solutions"/>
    <s v="IT"/>
    <s v="Central"/>
    <s v="INV-0243"/>
    <d v="2025-02-21T00:00:00"/>
    <d v="2025-03-23T00:00:00"/>
    <n v="30"/>
    <n v="61649.09"/>
    <n v="61649.09"/>
    <n v="0"/>
    <d v="2025-03-15T00:00:00"/>
    <n v="100"/>
    <n v="70"/>
    <x v="1"/>
    <n v="0"/>
    <n v="0"/>
  </r>
  <r>
    <s v="VND-007"/>
    <s v="CloudSoft Solutions"/>
    <s v="IT"/>
    <s v="Central"/>
    <s v="INV-0244"/>
    <d v="2025-04-15T00:00:00"/>
    <d v="2025-07-14T00:00:00"/>
    <n v="90"/>
    <n v="72218.33"/>
    <n v="0"/>
    <n v="72218.33"/>
    <m/>
    <n v="47"/>
    <n v="0"/>
    <x v="0"/>
    <n v="0"/>
    <n v="0"/>
  </r>
  <r>
    <s v="VND-007"/>
    <s v="CloudSoft Solutions"/>
    <s v="IT"/>
    <s v="Central"/>
    <s v="INV-0245"/>
    <d v="2025-01-08T00:00:00"/>
    <d v="2025-02-22T00:00:00"/>
    <n v="45"/>
    <n v="32674.62"/>
    <n v="0"/>
    <n v="32674.62"/>
    <m/>
    <n v="144"/>
    <n v="99"/>
    <x v="3"/>
    <n v="0.02"/>
    <n v="0"/>
  </r>
  <r>
    <s v="VND-007"/>
    <s v="CloudSoft Solutions"/>
    <s v="IT"/>
    <s v="Central"/>
    <s v="INV-0246"/>
    <d v="2025-03-14T00:00:00"/>
    <d v="2025-04-28T00:00:00"/>
    <n v="45"/>
    <n v="12709.02"/>
    <n v="12709.02"/>
    <n v="0"/>
    <d v="2025-03-17T00:00:00"/>
    <n v="79"/>
    <n v="34"/>
    <x v="1"/>
    <n v="0"/>
    <n v="0"/>
  </r>
  <r>
    <s v="VND-007"/>
    <s v="CloudSoft Solutions"/>
    <s v="IT"/>
    <s v="Central"/>
    <s v="INV-0247"/>
    <d v="2025-03-15T00:00:00"/>
    <d v="2025-03-30T00:00:00"/>
    <n v="15"/>
    <n v="43024.94"/>
    <n v="13374.49"/>
    <n v="29650.45"/>
    <d v="2025-03-28T00:00:00"/>
    <n v="78"/>
    <n v="63"/>
    <x v="2"/>
    <n v="2.5000000000000001E-2"/>
    <n v="0"/>
  </r>
  <r>
    <s v="VND-007"/>
    <s v="CloudSoft Solutions"/>
    <s v="IT"/>
    <s v="Central"/>
    <s v="INV-0248"/>
    <d v="2025-01-29T00:00:00"/>
    <d v="2025-02-28T00:00:00"/>
    <n v="30"/>
    <n v="13245.81"/>
    <n v="13245.81"/>
    <n v="0"/>
    <d v="2025-03-12T00:00:00"/>
    <n v="123"/>
    <n v="93"/>
    <x v="1"/>
    <n v="0.01"/>
    <n v="0"/>
  </r>
  <r>
    <s v="VND-007"/>
    <s v="CloudSoft Solutions"/>
    <s v="IT"/>
    <s v="Central"/>
    <s v="INV-0249"/>
    <d v="2024-12-03T00:00:00"/>
    <d v="2024-12-18T00:00:00"/>
    <n v="15"/>
    <n v="26738.81"/>
    <n v="26738.81"/>
    <n v="0"/>
    <d v="2025-01-01T00:00:00"/>
    <n v="180"/>
    <n v="165"/>
    <x v="1"/>
    <n v="0.02"/>
    <n v="0"/>
  </r>
  <r>
    <s v="VND-007"/>
    <s v="CloudSoft Solutions"/>
    <s v="IT"/>
    <s v="Central"/>
    <s v="INV-0250"/>
    <d v="2025-05-09T00:00:00"/>
    <d v="2025-06-08T00:00:00"/>
    <n v="30"/>
    <n v="70480.070000000007"/>
    <n v="0"/>
    <n v="70480.070000000007"/>
    <m/>
    <n v="23"/>
    <n v="0"/>
    <x v="0"/>
    <n v="2.5000000000000001E-2"/>
    <n v="0"/>
  </r>
  <r>
    <s v="VND-007"/>
    <s v="CloudSoft Solutions"/>
    <s v="IT"/>
    <s v="Central"/>
    <s v="INV-0251"/>
    <d v="2025-02-28T00:00:00"/>
    <d v="2025-05-29T00:00:00"/>
    <n v="90"/>
    <n v="47268.51"/>
    <n v="47268.51"/>
    <n v="0"/>
    <d v="2025-06-02T00:00:00"/>
    <n v="93"/>
    <n v="3"/>
    <x v="1"/>
    <n v="2.5000000000000001E-2"/>
    <n v="0"/>
  </r>
  <r>
    <s v="VND-007"/>
    <s v="CloudSoft Solutions"/>
    <s v="IT"/>
    <s v="Central"/>
    <s v="INV-0252"/>
    <d v="2024-12-25T00:00:00"/>
    <d v="2025-01-09T00:00:00"/>
    <n v="15"/>
    <n v="13762.57"/>
    <n v="13762.57"/>
    <n v="0"/>
    <d v="2025-01-01T00:00:00"/>
    <n v="158"/>
    <n v="143"/>
    <x v="1"/>
    <n v="0"/>
    <n v="0"/>
  </r>
  <r>
    <s v="VND-007"/>
    <s v="CloudSoft Solutions"/>
    <s v="IT"/>
    <s v="Central"/>
    <s v="INV-0253"/>
    <d v="2025-02-28T00:00:00"/>
    <d v="2025-05-29T00:00:00"/>
    <n v="90"/>
    <n v="36360.58"/>
    <n v="36360.58"/>
    <n v="0"/>
    <d v="2025-06-19T00:00:00"/>
    <n v="93"/>
    <n v="3"/>
    <x v="1"/>
    <n v="0.01"/>
    <n v="0"/>
  </r>
  <r>
    <s v="VND-008"/>
    <s v="Rapi Cargo SA"/>
    <s v="Logistics"/>
    <s v="West"/>
    <s v="INV-0254"/>
    <d v="2025-02-02T00:00:00"/>
    <d v="2025-03-04T00:00:00"/>
    <n v="30"/>
    <n v="16617.5"/>
    <n v="16617.5"/>
    <n v="0"/>
    <d v="2025-02-27T00:00:00"/>
    <n v="119"/>
    <n v="89"/>
    <x v="1"/>
    <n v="0.02"/>
    <n v="332.35"/>
  </r>
  <r>
    <s v="VND-008"/>
    <s v="Rapi Cargo SA"/>
    <s v="Logistics"/>
    <s v="West"/>
    <s v="INV-0255"/>
    <d v="2025-02-02T00:00:00"/>
    <d v="2025-02-17T00:00:00"/>
    <n v="15"/>
    <n v="1068.49"/>
    <n v="1068.49"/>
    <n v="0"/>
    <d v="2025-02-10T00:00:00"/>
    <n v="119"/>
    <n v="104"/>
    <x v="1"/>
    <n v="0"/>
    <n v="0"/>
  </r>
  <r>
    <s v="VND-008"/>
    <s v="Rapi Cargo SA"/>
    <s v="Logistics"/>
    <s v="West"/>
    <s v="INV-0256"/>
    <d v="2025-03-27T00:00:00"/>
    <d v="2025-05-11T00:00:00"/>
    <n v="45"/>
    <n v="25041.55"/>
    <n v="25041.55"/>
    <n v="0"/>
    <d v="2025-05-30T00:00:00"/>
    <n v="66"/>
    <n v="21"/>
    <x v="1"/>
    <n v="0"/>
    <n v="0"/>
  </r>
  <r>
    <s v="VND-008"/>
    <s v="Rapi Cargo SA"/>
    <s v="Logistics"/>
    <s v="West"/>
    <s v="INV-0257"/>
    <d v="2025-05-14T00:00:00"/>
    <d v="2025-05-29T00:00:00"/>
    <n v="15"/>
    <n v="26804.16"/>
    <n v="0"/>
    <n v="26804.16"/>
    <m/>
    <n v="18"/>
    <n v="3"/>
    <x v="3"/>
    <n v="0.02"/>
    <n v="0"/>
  </r>
  <r>
    <s v="VND-008"/>
    <s v="Rapi Cargo SA"/>
    <s v="Logistics"/>
    <s v="West"/>
    <s v="INV-0258"/>
    <d v="2025-04-08T00:00:00"/>
    <d v="2025-05-08T00:00:00"/>
    <n v="30"/>
    <n v="18969.71"/>
    <n v="18969.71"/>
    <n v="0"/>
    <d v="2025-05-15T00:00:00"/>
    <n v="54"/>
    <n v="24"/>
    <x v="1"/>
    <n v="2.5000000000000001E-2"/>
    <n v="0"/>
  </r>
  <r>
    <s v="VND-008"/>
    <s v="Rapi Cargo SA"/>
    <s v="Logistics"/>
    <s v="West"/>
    <s v="INV-0259"/>
    <d v="2025-05-15T00:00:00"/>
    <d v="2025-08-13T00:00:00"/>
    <n v="90"/>
    <n v="4649.6000000000004"/>
    <n v="0"/>
    <n v="4649.6000000000004"/>
    <m/>
    <n v="17"/>
    <n v="0"/>
    <x v="0"/>
    <n v="0"/>
    <n v="0"/>
  </r>
  <r>
    <s v="VND-008"/>
    <s v="Rapi Cargo SA"/>
    <s v="Logistics"/>
    <s v="West"/>
    <s v="INV-0260"/>
    <d v="2025-02-06T00:00:00"/>
    <d v="2025-04-07T00:00:00"/>
    <n v="60"/>
    <n v="21442.06"/>
    <n v="21442.06"/>
    <n v="0"/>
    <d v="2025-02-20T00:00:00"/>
    <n v="115"/>
    <n v="55"/>
    <x v="1"/>
    <n v="0.02"/>
    <n v="428.84"/>
  </r>
  <r>
    <s v="VND-008"/>
    <s v="Rapi Cargo SA"/>
    <s v="Logistics"/>
    <s v="West"/>
    <s v="INV-0261"/>
    <d v="2025-02-09T00:00:00"/>
    <d v="2025-03-11T00:00:00"/>
    <n v="30"/>
    <n v="59613.75"/>
    <n v="59613.75"/>
    <n v="0"/>
    <d v="2025-03-19T00:00:00"/>
    <n v="112"/>
    <n v="82"/>
    <x v="1"/>
    <n v="0.02"/>
    <n v="0"/>
  </r>
  <r>
    <s v="VND-008"/>
    <s v="Rapi Cargo SA"/>
    <s v="Logistics"/>
    <s v="West"/>
    <s v="INV-0262"/>
    <d v="2025-04-30T00:00:00"/>
    <d v="2025-06-14T00:00:00"/>
    <n v="45"/>
    <n v="76000.39"/>
    <n v="0"/>
    <n v="76000.39"/>
    <m/>
    <n v="32"/>
    <n v="0"/>
    <x v="0"/>
    <n v="0"/>
    <n v="0"/>
  </r>
  <r>
    <s v="VND-008"/>
    <s v="Rapi Cargo SA"/>
    <s v="Logistics"/>
    <s v="West"/>
    <s v="INV-0263"/>
    <d v="2025-05-08T00:00:00"/>
    <d v="2025-08-06T00:00:00"/>
    <n v="90"/>
    <n v="54595.37"/>
    <n v="0"/>
    <n v="54595.37"/>
    <m/>
    <n v="24"/>
    <n v="0"/>
    <x v="0"/>
    <n v="0"/>
    <n v="0"/>
  </r>
  <r>
    <s v="VND-008"/>
    <s v="Rapi Cargo SA"/>
    <s v="Logistics"/>
    <s v="West"/>
    <s v="INV-0264"/>
    <d v="2024-12-09T00:00:00"/>
    <d v="2025-02-07T00:00:00"/>
    <n v="60"/>
    <n v="15398.52"/>
    <n v="15398.52"/>
    <n v="0"/>
    <d v="2025-03-02T00:00:00"/>
    <n v="174"/>
    <n v="114"/>
    <x v="1"/>
    <n v="0"/>
    <n v="0"/>
  </r>
  <r>
    <s v="VND-008"/>
    <s v="Rapi Cargo SA"/>
    <s v="Logistics"/>
    <s v="West"/>
    <s v="INV-0265"/>
    <d v="2025-03-25T00:00:00"/>
    <d v="2025-05-09T00:00:00"/>
    <n v="45"/>
    <n v="35884.89"/>
    <n v="35884.89"/>
    <n v="0"/>
    <d v="2025-04-19T00:00:00"/>
    <n v="68"/>
    <n v="23"/>
    <x v="1"/>
    <n v="2.5000000000000001E-2"/>
    <n v="897.12"/>
  </r>
  <r>
    <s v="VND-008"/>
    <s v="Rapi Cargo SA"/>
    <s v="Logistics"/>
    <s v="West"/>
    <s v="INV-0266"/>
    <d v="2025-04-06T00:00:00"/>
    <d v="2025-06-05T00:00:00"/>
    <n v="60"/>
    <n v="25365.48"/>
    <n v="0"/>
    <n v="25365.48"/>
    <m/>
    <n v="56"/>
    <n v="0"/>
    <x v="0"/>
    <n v="2.5000000000000001E-2"/>
    <n v="0"/>
  </r>
  <r>
    <s v="VND-008"/>
    <s v="Rapi Cargo SA"/>
    <s v="Logistics"/>
    <s v="West"/>
    <s v="INV-0267"/>
    <d v="2025-03-22T00:00:00"/>
    <d v="2025-05-06T00:00:00"/>
    <n v="45"/>
    <n v="39766.44"/>
    <n v="39766.44"/>
    <n v="0"/>
    <d v="2025-05-29T00:00:00"/>
    <n v="71"/>
    <n v="26"/>
    <x v="1"/>
    <n v="0.01"/>
    <n v="0"/>
  </r>
  <r>
    <s v="VND-008"/>
    <s v="Rapi Cargo SA"/>
    <s v="Logistics"/>
    <s v="West"/>
    <s v="INV-0268"/>
    <d v="2024-12-15T00:00:00"/>
    <d v="2025-03-15T00:00:00"/>
    <n v="90"/>
    <n v="11989.86"/>
    <n v="0"/>
    <n v="11989.86"/>
    <m/>
    <n v="168"/>
    <n v="78"/>
    <x v="3"/>
    <n v="0.01"/>
    <n v="0"/>
  </r>
  <r>
    <s v="VND-008"/>
    <s v="Rapi Cargo SA"/>
    <s v="Logistics"/>
    <s v="West"/>
    <s v="INV-0269"/>
    <d v="2025-01-04T00:00:00"/>
    <d v="2025-03-05T00:00:00"/>
    <n v="60"/>
    <n v="69554.2"/>
    <n v="21288.31"/>
    <n v="48265.89"/>
    <d v="2025-03-24T00:00:00"/>
    <n v="148"/>
    <n v="88"/>
    <x v="2"/>
    <n v="0.02"/>
    <n v="0"/>
  </r>
  <r>
    <s v="VND-008"/>
    <s v="Rapi Cargo SA"/>
    <s v="Logistics"/>
    <s v="West"/>
    <s v="INV-0270"/>
    <d v="2025-02-25T00:00:00"/>
    <d v="2025-03-27T00:00:00"/>
    <n v="30"/>
    <n v="21552.35"/>
    <n v="21552.35"/>
    <n v="0"/>
    <d v="2025-02-26T00:00:00"/>
    <n v="96"/>
    <n v="66"/>
    <x v="1"/>
    <n v="0.02"/>
    <n v="431.05"/>
  </r>
  <r>
    <s v="VND-008"/>
    <s v="Rapi Cargo SA"/>
    <s v="Logistics"/>
    <s v="West"/>
    <s v="INV-0271"/>
    <d v="2025-03-13T00:00:00"/>
    <d v="2025-05-12T00:00:00"/>
    <n v="60"/>
    <n v="54177.93"/>
    <n v="54177.93"/>
    <n v="0"/>
    <d v="2025-06-09T00:00:00"/>
    <n v="80"/>
    <n v="20"/>
    <x v="1"/>
    <n v="0.01"/>
    <n v="0"/>
  </r>
  <r>
    <s v="VND-008"/>
    <s v="Rapi Cargo SA"/>
    <s v="Logistics"/>
    <s v="West"/>
    <s v="INV-0272"/>
    <d v="2025-04-26T00:00:00"/>
    <d v="2025-06-25T00:00:00"/>
    <n v="60"/>
    <n v="14913.24"/>
    <n v="0"/>
    <n v="14913.24"/>
    <m/>
    <n v="36"/>
    <n v="0"/>
    <x v="0"/>
    <n v="0"/>
    <n v="0"/>
  </r>
  <r>
    <s v="VND-008"/>
    <s v="Rapi Cargo SA"/>
    <s v="Logistics"/>
    <s v="West"/>
    <s v="INV-0273"/>
    <d v="2024-12-26T00:00:00"/>
    <d v="2025-02-24T00:00:00"/>
    <n v="60"/>
    <n v="19291.68"/>
    <n v="0"/>
    <n v="19291.68"/>
    <m/>
    <n v="157"/>
    <n v="97"/>
    <x v="3"/>
    <n v="0"/>
    <n v="0"/>
  </r>
  <r>
    <s v="VND-008"/>
    <s v="Rapi Cargo SA"/>
    <s v="Logistics"/>
    <s v="West"/>
    <s v="INV-0274"/>
    <d v="2024-12-29T00:00:00"/>
    <d v="2025-03-29T00:00:00"/>
    <n v="90"/>
    <n v="55084.05"/>
    <n v="55084.05"/>
    <n v="0"/>
    <d v="2025-01-05T00:00:00"/>
    <n v="154"/>
    <n v="64"/>
    <x v="1"/>
    <n v="0.01"/>
    <n v="550.84"/>
  </r>
  <r>
    <s v="VND-008"/>
    <s v="Rapi Cargo SA"/>
    <s v="Logistics"/>
    <s v="West"/>
    <s v="INV-0275"/>
    <d v="2025-03-08T00:00:00"/>
    <d v="2025-05-07T00:00:00"/>
    <n v="60"/>
    <n v="42274.06"/>
    <n v="42274.06"/>
    <n v="0"/>
    <d v="2025-03-24T00:00:00"/>
    <n v="85"/>
    <n v="25"/>
    <x v="1"/>
    <n v="0.02"/>
    <n v="845.48"/>
  </r>
  <r>
    <s v="VND-008"/>
    <s v="Rapi Cargo SA"/>
    <s v="Logistics"/>
    <s v="West"/>
    <s v="INV-0276"/>
    <d v="2025-03-04T00:00:00"/>
    <d v="2025-06-02T00:00:00"/>
    <n v="90"/>
    <n v="66113.98"/>
    <n v="0"/>
    <n v="66113.98"/>
    <m/>
    <n v="89"/>
    <n v="0"/>
    <x v="0"/>
    <n v="0"/>
    <n v="0"/>
  </r>
  <r>
    <s v="VND-008"/>
    <s v="Rapi Cargo SA"/>
    <s v="Logistics"/>
    <s v="West"/>
    <s v="INV-0277"/>
    <d v="2025-01-30T00:00:00"/>
    <d v="2025-03-01T00:00:00"/>
    <n v="30"/>
    <n v="70852.89"/>
    <n v="0"/>
    <n v="70852.89"/>
    <m/>
    <n v="122"/>
    <n v="92"/>
    <x v="3"/>
    <n v="0.01"/>
    <n v="0"/>
  </r>
  <r>
    <s v="VND-008"/>
    <s v="Rapi Cargo SA"/>
    <s v="Logistics"/>
    <s v="West"/>
    <s v="INV-0278"/>
    <d v="2024-12-10T00:00:00"/>
    <d v="2024-12-25T00:00:00"/>
    <n v="15"/>
    <n v="12504.64"/>
    <n v="12504.64"/>
    <n v="0"/>
    <d v="2025-01-06T00:00:00"/>
    <n v="173"/>
    <n v="158"/>
    <x v="1"/>
    <n v="0.01"/>
    <n v="0"/>
  </r>
  <r>
    <s v="VND-008"/>
    <s v="Rapi Cargo SA"/>
    <s v="Logistics"/>
    <s v="West"/>
    <s v="INV-0279"/>
    <d v="2025-04-19T00:00:00"/>
    <d v="2025-06-03T00:00:00"/>
    <n v="45"/>
    <n v="15656.8"/>
    <n v="0"/>
    <n v="15656.8"/>
    <m/>
    <n v="43"/>
    <n v="0"/>
    <x v="0"/>
    <n v="0"/>
    <n v="0"/>
  </r>
  <r>
    <s v="VND-008"/>
    <s v="Rapi Cargo SA"/>
    <s v="Logistics"/>
    <s v="West"/>
    <s v="INV-0280"/>
    <d v="2025-03-21T00:00:00"/>
    <d v="2025-04-05T00:00:00"/>
    <n v="15"/>
    <n v="6117.05"/>
    <n v="0"/>
    <n v="6117.05"/>
    <m/>
    <n v="72"/>
    <n v="57"/>
    <x v="3"/>
    <n v="0.02"/>
    <n v="0"/>
  </r>
  <r>
    <s v="VND-008"/>
    <s v="Rapi Cargo SA"/>
    <s v="Logistics"/>
    <s v="West"/>
    <s v="INV-0281"/>
    <d v="2025-02-13T00:00:00"/>
    <d v="2025-03-15T00:00:00"/>
    <n v="30"/>
    <n v="26612.79"/>
    <n v="26612.79"/>
    <n v="0"/>
    <d v="2025-03-02T00:00:00"/>
    <n v="108"/>
    <n v="78"/>
    <x v="1"/>
    <n v="2.5000000000000001E-2"/>
    <n v="665.32"/>
  </r>
  <r>
    <s v="VND-008"/>
    <s v="Rapi Cargo SA"/>
    <s v="Logistics"/>
    <s v="West"/>
    <s v="INV-0282"/>
    <d v="2025-05-05T00:00:00"/>
    <d v="2025-08-03T00:00:00"/>
    <n v="90"/>
    <n v="32863.870000000003"/>
    <n v="0"/>
    <n v="32863.870000000003"/>
    <m/>
    <n v="27"/>
    <n v="0"/>
    <x v="0"/>
    <n v="0"/>
    <n v="0"/>
  </r>
  <r>
    <s v="VND-008"/>
    <s v="Rapi Cargo SA"/>
    <s v="Logistics"/>
    <s v="West"/>
    <s v="INV-0283"/>
    <d v="2025-05-27T00:00:00"/>
    <d v="2025-07-26T00:00:00"/>
    <n v="60"/>
    <n v="67871.17"/>
    <n v="0"/>
    <n v="67871.17"/>
    <m/>
    <n v="5"/>
    <n v="0"/>
    <x v="0"/>
    <n v="0"/>
    <n v="0"/>
  </r>
  <r>
    <s v="VND-008"/>
    <s v="Rapi Cargo SA"/>
    <s v="Logistics"/>
    <s v="West"/>
    <s v="INV-0284"/>
    <d v="2025-04-22T00:00:00"/>
    <d v="2025-05-22T00:00:00"/>
    <n v="30"/>
    <n v="66784.460000000006"/>
    <n v="9752.7800000000007"/>
    <n v="57031.68"/>
    <d v="2025-05-04T00:00:00"/>
    <n v="40"/>
    <n v="10"/>
    <x v="2"/>
    <n v="2.5000000000000001E-2"/>
    <n v="0"/>
  </r>
  <r>
    <s v="VND-008"/>
    <s v="Rapi Cargo SA"/>
    <s v="Logistics"/>
    <s v="West"/>
    <s v="INV-0285"/>
    <d v="2025-01-24T00:00:00"/>
    <d v="2025-03-25T00:00:00"/>
    <n v="60"/>
    <n v="31246.97"/>
    <n v="0"/>
    <n v="31246.97"/>
    <m/>
    <n v="128"/>
    <n v="68"/>
    <x v="3"/>
    <n v="2.5000000000000001E-2"/>
    <n v="0"/>
  </r>
  <r>
    <s v="VND-008"/>
    <s v="Rapi Cargo SA"/>
    <s v="Logistics"/>
    <s v="West"/>
    <s v="INV-0286"/>
    <d v="2025-02-05T00:00:00"/>
    <d v="2025-03-07T00:00:00"/>
    <n v="30"/>
    <n v="47385.85"/>
    <n v="47385.85"/>
    <n v="0"/>
    <d v="2025-02-08T00:00:00"/>
    <n v="116"/>
    <n v="86"/>
    <x v="1"/>
    <n v="0.02"/>
    <n v="947.72"/>
  </r>
  <r>
    <s v="VND-008"/>
    <s v="Rapi Cargo SA"/>
    <s v="Logistics"/>
    <s v="West"/>
    <s v="INV-0287"/>
    <d v="2024-12-29T00:00:00"/>
    <d v="2025-01-28T00:00:00"/>
    <n v="30"/>
    <n v="39954.699999999997"/>
    <n v="39954.699999999997"/>
    <n v="0"/>
    <d v="2025-01-26T00:00:00"/>
    <n v="154"/>
    <n v="124"/>
    <x v="1"/>
    <n v="0.02"/>
    <n v="0"/>
  </r>
  <r>
    <s v="VND-008"/>
    <s v="Rapi Cargo SA"/>
    <s v="Logistics"/>
    <s v="West"/>
    <s v="INV-0288"/>
    <d v="2025-02-03T00:00:00"/>
    <d v="2025-05-04T00:00:00"/>
    <n v="90"/>
    <n v="31560.68"/>
    <n v="0"/>
    <n v="31560.68"/>
    <m/>
    <n v="118"/>
    <n v="28"/>
    <x v="3"/>
    <n v="0"/>
    <n v="0"/>
  </r>
  <r>
    <s v="VND-008"/>
    <s v="Rapi Cargo SA"/>
    <s v="Logistics"/>
    <s v="West"/>
    <s v="INV-0289"/>
    <d v="2025-03-09T00:00:00"/>
    <d v="2025-03-24T00:00:00"/>
    <n v="15"/>
    <n v="1009.81"/>
    <n v="0"/>
    <n v="1009.81"/>
    <m/>
    <n v="84"/>
    <n v="69"/>
    <x v="3"/>
    <n v="0"/>
    <n v="0"/>
  </r>
  <r>
    <s v="VND-008"/>
    <s v="Rapi Cargo SA"/>
    <s v="Logistics"/>
    <s v="West"/>
    <s v="INV-0290"/>
    <d v="2025-05-14T00:00:00"/>
    <d v="2025-07-13T00:00:00"/>
    <n v="60"/>
    <n v="30771.57"/>
    <n v="0"/>
    <n v="30771.57"/>
    <m/>
    <n v="18"/>
    <n v="0"/>
    <x v="0"/>
    <n v="0.02"/>
    <n v="0"/>
  </r>
  <r>
    <s v="VND-008"/>
    <s v="Rapi Cargo SA"/>
    <s v="Logistics"/>
    <s v="West"/>
    <s v="INV-0291"/>
    <d v="2024-12-10T00:00:00"/>
    <d v="2025-02-08T00:00:00"/>
    <n v="60"/>
    <n v="10756.16"/>
    <n v="2015.08"/>
    <n v="8741.08"/>
    <d v="2025-04-05T00:00:00"/>
    <n v="173"/>
    <n v="113"/>
    <x v="2"/>
    <n v="0.01"/>
    <n v="0"/>
  </r>
  <r>
    <s v="VND-008"/>
    <s v="Rapi Cargo SA"/>
    <s v="Logistics"/>
    <s v="West"/>
    <s v="INV-0292"/>
    <d v="2025-04-03T00:00:00"/>
    <d v="2025-05-03T00:00:00"/>
    <n v="30"/>
    <n v="53942.65"/>
    <n v="53942.65"/>
    <n v="0"/>
    <d v="2025-04-11T00:00:00"/>
    <n v="59"/>
    <n v="29"/>
    <x v="1"/>
    <n v="2.5000000000000001E-2"/>
    <n v="1348.57"/>
  </r>
  <r>
    <s v="VND-008"/>
    <s v="Rapi Cargo SA"/>
    <s v="Logistics"/>
    <s v="West"/>
    <s v="INV-0293"/>
    <d v="2025-05-18T00:00:00"/>
    <d v="2025-06-02T00:00:00"/>
    <n v="15"/>
    <n v="4842.09"/>
    <n v="0"/>
    <n v="4842.09"/>
    <m/>
    <n v="14"/>
    <n v="0"/>
    <x v="0"/>
    <n v="0.01"/>
    <n v="0"/>
  </r>
  <r>
    <s v="VND-008"/>
    <s v="Rapi Cargo SA"/>
    <s v="Logistics"/>
    <s v="West"/>
    <s v="INV-0294"/>
    <d v="2025-01-01T00:00:00"/>
    <d v="2025-01-16T00:00:00"/>
    <n v="15"/>
    <n v="26499.99"/>
    <n v="0"/>
    <n v="26499.99"/>
    <m/>
    <n v="151"/>
    <n v="136"/>
    <x v="3"/>
    <n v="0.01"/>
    <n v="0"/>
  </r>
  <r>
    <s v="VND-008"/>
    <s v="Rapi Cargo SA"/>
    <s v="Logistics"/>
    <s v="West"/>
    <s v="INV-0295"/>
    <d v="2024-12-09T00:00:00"/>
    <d v="2025-03-09T00:00:00"/>
    <n v="90"/>
    <n v="60063.9"/>
    <n v="35876.269999999997"/>
    <n v="24187.63"/>
    <d v="2024-12-25T00:00:00"/>
    <n v="174"/>
    <n v="84"/>
    <x v="2"/>
    <n v="0"/>
    <n v="0"/>
  </r>
  <r>
    <s v="VND-008"/>
    <s v="Rapi Cargo SA"/>
    <s v="Logistics"/>
    <s v="West"/>
    <s v="INV-0296"/>
    <d v="2025-03-03T00:00:00"/>
    <d v="2025-04-02T00:00:00"/>
    <n v="30"/>
    <n v="29312.37"/>
    <n v="14985.24"/>
    <n v="14327.13"/>
    <d v="2025-05-12T00:00:00"/>
    <n v="90"/>
    <n v="60"/>
    <x v="2"/>
    <n v="0"/>
    <n v="0"/>
  </r>
  <r>
    <s v="VND-009"/>
    <s v="Consulting Masters"/>
    <s v="Services"/>
    <s v="West"/>
    <s v="INV-0297"/>
    <d v="2025-05-03T00:00:00"/>
    <d v="2025-05-18T00:00:00"/>
    <n v="15"/>
    <n v="5257.34"/>
    <n v="5257.34"/>
    <n v="0"/>
    <d v="2025-06-11T00:00:00"/>
    <n v="29"/>
    <n v="14"/>
    <x v="1"/>
    <n v="0.02"/>
    <n v="0"/>
  </r>
  <r>
    <s v="VND-009"/>
    <s v="Consulting Masters"/>
    <s v="Services"/>
    <s v="West"/>
    <s v="INV-0298"/>
    <d v="2025-05-08T00:00:00"/>
    <d v="2025-07-07T00:00:00"/>
    <n v="60"/>
    <n v="31946.41"/>
    <n v="0"/>
    <n v="31946.41"/>
    <m/>
    <n v="24"/>
    <n v="0"/>
    <x v="0"/>
    <n v="0.02"/>
    <n v="0"/>
  </r>
  <r>
    <s v="VND-009"/>
    <s v="Consulting Masters"/>
    <s v="Services"/>
    <s v="West"/>
    <s v="INV-0299"/>
    <d v="2025-05-21T00:00:00"/>
    <d v="2025-06-20T00:00:00"/>
    <n v="30"/>
    <n v="24868.959999999999"/>
    <n v="0"/>
    <n v="24868.959999999999"/>
    <m/>
    <n v="11"/>
    <n v="0"/>
    <x v="0"/>
    <n v="2.5000000000000001E-2"/>
    <n v="0"/>
  </r>
  <r>
    <s v="VND-009"/>
    <s v="Consulting Masters"/>
    <s v="Services"/>
    <s v="West"/>
    <s v="INV-0300"/>
    <d v="2025-05-13T00:00:00"/>
    <d v="2025-08-11T00:00:00"/>
    <n v="90"/>
    <n v="74429.78"/>
    <n v="0"/>
    <n v="74429.78"/>
    <m/>
    <n v="19"/>
    <n v="0"/>
    <x v="0"/>
    <n v="0"/>
    <n v="0"/>
  </r>
  <r>
    <s v="VND-009"/>
    <s v="Consulting Masters"/>
    <s v="Services"/>
    <s v="West"/>
    <s v="INV-0301"/>
    <d v="2024-12-19T00:00:00"/>
    <d v="2025-02-02T00:00:00"/>
    <n v="45"/>
    <n v="51228.77"/>
    <n v="51228.77"/>
    <n v="0"/>
    <d v="2025-02-07T00:00:00"/>
    <n v="164"/>
    <n v="119"/>
    <x v="1"/>
    <n v="0"/>
    <n v="0"/>
  </r>
  <r>
    <s v="VND-009"/>
    <s v="Consulting Masters"/>
    <s v="Services"/>
    <s v="West"/>
    <s v="INV-0302"/>
    <d v="2025-02-21T00:00:00"/>
    <d v="2025-04-07T00:00:00"/>
    <n v="45"/>
    <n v="23594.240000000002"/>
    <n v="23594.240000000002"/>
    <n v="0"/>
    <d v="2025-03-01T00:00:00"/>
    <n v="100"/>
    <n v="55"/>
    <x v="1"/>
    <n v="0.02"/>
    <n v="471.88"/>
  </r>
  <r>
    <s v="VND-009"/>
    <s v="Consulting Masters"/>
    <s v="Services"/>
    <s v="West"/>
    <s v="INV-0303"/>
    <d v="2024-12-10T00:00:00"/>
    <d v="2025-02-08T00:00:00"/>
    <n v="60"/>
    <n v="56814.47"/>
    <n v="0"/>
    <n v="56814.47"/>
    <m/>
    <n v="173"/>
    <n v="113"/>
    <x v="3"/>
    <n v="0.01"/>
    <n v="0"/>
  </r>
  <r>
    <s v="VND-009"/>
    <s v="Consulting Masters"/>
    <s v="Services"/>
    <s v="West"/>
    <s v="INV-0304"/>
    <d v="2025-04-07T00:00:00"/>
    <d v="2025-05-22T00:00:00"/>
    <n v="45"/>
    <n v="39289.72"/>
    <n v="39289.72"/>
    <n v="0"/>
    <d v="2025-04-16T00:00:00"/>
    <n v="55"/>
    <n v="10"/>
    <x v="1"/>
    <n v="0"/>
    <n v="0"/>
  </r>
  <r>
    <s v="VND-009"/>
    <s v="Consulting Masters"/>
    <s v="Services"/>
    <s v="West"/>
    <s v="INV-0305"/>
    <d v="2025-02-10T00:00:00"/>
    <d v="2025-03-27T00:00:00"/>
    <n v="45"/>
    <n v="56792.76"/>
    <n v="56792.76"/>
    <n v="0"/>
    <d v="2025-03-25T00:00:00"/>
    <n v="111"/>
    <n v="66"/>
    <x v="1"/>
    <n v="0"/>
    <n v="0"/>
  </r>
  <r>
    <s v="VND-009"/>
    <s v="Consulting Masters"/>
    <s v="Services"/>
    <s v="West"/>
    <s v="INV-0306"/>
    <d v="2025-04-13T00:00:00"/>
    <d v="2025-07-12T00:00:00"/>
    <n v="90"/>
    <n v="30756.11"/>
    <n v="0"/>
    <n v="30756.11"/>
    <m/>
    <n v="49"/>
    <n v="0"/>
    <x v="0"/>
    <n v="2.5000000000000001E-2"/>
    <n v="0"/>
  </r>
  <r>
    <s v="VND-009"/>
    <s v="Consulting Masters"/>
    <s v="Services"/>
    <s v="West"/>
    <s v="INV-0307"/>
    <d v="2025-04-23T00:00:00"/>
    <d v="2025-06-07T00:00:00"/>
    <n v="45"/>
    <n v="35327.97"/>
    <n v="0"/>
    <n v="35327.97"/>
    <m/>
    <n v="39"/>
    <n v="0"/>
    <x v="0"/>
    <n v="2.5000000000000001E-2"/>
    <n v="0"/>
  </r>
  <r>
    <s v="VND-009"/>
    <s v="Consulting Masters"/>
    <s v="Services"/>
    <s v="West"/>
    <s v="INV-0308"/>
    <d v="2024-12-03T00:00:00"/>
    <d v="2024-12-18T00:00:00"/>
    <n v="15"/>
    <n v="20253.71"/>
    <n v="20253.71"/>
    <n v="0"/>
    <d v="2024-12-22T00:00:00"/>
    <n v="180"/>
    <n v="165"/>
    <x v="1"/>
    <n v="2.5000000000000001E-2"/>
    <n v="0"/>
  </r>
  <r>
    <s v="VND-009"/>
    <s v="Consulting Masters"/>
    <s v="Services"/>
    <s v="West"/>
    <s v="INV-0309"/>
    <d v="2025-03-14T00:00:00"/>
    <d v="2025-04-13T00:00:00"/>
    <n v="30"/>
    <n v="59868.2"/>
    <n v="0"/>
    <n v="59868.2"/>
    <m/>
    <n v="79"/>
    <n v="49"/>
    <x v="3"/>
    <n v="0.01"/>
    <n v="0"/>
  </r>
  <r>
    <s v="VND-009"/>
    <s v="Consulting Masters"/>
    <s v="Services"/>
    <s v="West"/>
    <s v="INV-0310"/>
    <d v="2024-12-24T00:00:00"/>
    <d v="2025-03-24T00:00:00"/>
    <n v="90"/>
    <n v="38858.160000000003"/>
    <n v="38858.160000000003"/>
    <n v="0"/>
    <d v="2025-03-01T00:00:00"/>
    <n v="159"/>
    <n v="69"/>
    <x v="1"/>
    <n v="2.5000000000000001E-2"/>
    <n v="971.45"/>
  </r>
  <r>
    <s v="VND-009"/>
    <s v="Consulting Masters"/>
    <s v="Services"/>
    <s v="West"/>
    <s v="INV-0311"/>
    <d v="2025-03-10T00:00:00"/>
    <d v="2025-04-09T00:00:00"/>
    <n v="30"/>
    <n v="56497.23"/>
    <n v="56497.23"/>
    <n v="0"/>
    <d v="2025-03-15T00:00:00"/>
    <n v="83"/>
    <n v="53"/>
    <x v="1"/>
    <n v="0"/>
    <n v="0"/>
  </r>
  <r>
    <s v="VND-009"/>
    <s v="Consulting Masters"/>
    <s v="Services"/>
    <s v="West"/>
    <s v="INV-0312"/>
    <d v="2025-05-19T00:00:00"/>
    <d v="2025-08-17T00:00:00"/>
    <n v="90"/>
    <n v="26131.84"/>
    <n v="0"/>
    <n v="26131.84"/>
    <m/>
    <n v="13"/>
    <n v="0"/>
    <x v="0"/>
    <n v="0.02"/>
    <n v="0"/>
  </r>
  <r>
    <s v="VND-009"/>
    <s v="Consulting Masters"/>
    <s v="Services"/>
    <s v="West"/>
    <s v="INV-0313"/>
    <d v="2025-04-05T00:00:00"/>
    <d v="2025-05-20T00:00:00"/>
    <n v="45"/>
    <n v="33241.82"/>
    <n v="33241.82"/>
    <n v="0"/>
    <d v="2025-05-16T00:00:00"/>
    <n v="57"/>
    <n v="12"/>
    <x v="1"/>
    <n v="2.5000000000000001E-2"/>
    <n v="0"/>
  </r>
  <r>
    <s v="VND-009"/>
    <s v="Consulting Masters"/>
    <s v="Services"/>
    <s v="West"/>
    <s v="INV-0314"/>
    <d v="2025-04-11T00:00:00"/>
    <d v="2025-06-10T00:00:00"/>
    <n v="60"/>
    <n v="8444.86"/>
    <n v="0"/>
    <n v="8444.86"/>
    <m/>
    <n v="51"/>
    <n v="0"/>
    <x v="0"/>
    <n v="0.01"/>
    <n v="0"/>
  </r>
  <r>
    <s v="VND-009"/>
    <s v="Consulting Masters"/>
    <s v="Services"/>
    <s v="West"/>
    <s v="INV-0315"/>
    <d v="2025-03-26T00:00:00"/>
    <d v="2025-05-25T00:00:00"/>
    <n v="60"/>
    <n v="29841.59"/>
    <n v="29841.59"/>
    <n v="0"/>
    <d v="2025-06-02T00:00:00"/>
    <n v="67"/>
    <n v="7"/>
    <x v="1"/>
    <n v="2.5000000000000001E-2"/>
    <n v="0"/>
  </r>
  <r>
    <s v="VND-009"/>
    <s v="Consulting Masters"/>
    <s v="Services"/>
    <s v="West"/>
    <s v="INV-0316"/>
    <d v="2025-04-19T00:00:00"/>
    <d v="2025-05-19T00:00:00"/>
    <n v="30"/>
    <n v="63490.96"/>
    <n v="41075.919999999998"/>
    <n v="22415.040000000001"/>
    <d v="2025-05-06T00:00:00"/>
    <n v="43"/>
    <n v="13"/>
    <x v="2"/>
    <n v="0.02"/>
    <n v="0"/>
  </r>
  <r>
    <s v="VND-009"/>
    <s v="Consulting Masters"/>
    <s v="Services"/>
    <s v="West"/>
    <s v="INV-0317"/>
    <d v="2025-05-03T00:00:00"/>
    <d v="2025-08-01T00:00:00"/>
    <n v="90"/>
    <n v="20056.62"/>
    <n v="0"/>
    <n v="20056.62"/>
    <m/>
    <n v="29"/>
    <n v="0"/>
    <x v="0"/>
    <n v="0.02"/>
    <n v="0"/>
  </r>
  <r>
    <s v="VND-009"/>
    <s v="Consulting Masters"/>
    <s v="Services"/>
    <s v="West"/>
    <s v="INV-0318"/>
    <d v="2025-05-22T00:00:00"/>
    <d v="2025-08-20T00:00:00"/>
    <n v="90"/>
    <n v="65875.19"/>
    <n v="0"/>
    <n v="65875.19"/>
    <m/>
    <n v="10"/>
    <n v="0"/>
    <x v="0"/>
    <n v="0.01"/>
    <n v="0"/>
  </r>
  <r>
    <s v="VND-009"/>
    <s v="Consulting Masters"/>
    <s v="Services"/>
    <s v="West"/>
    <s v="INV-0319"/>
    <d v="2025-05-06T00:00:00"/>
    <d v="2025-07-05T00:00:00"/>
    <n v="60"/>
    <n v="68017.72"/>
    <n v="0"/>
    <n v="68017.72"/>
    <m/>
    <n v="26"/>
    <n v="0"/>
    <x v="0"/>
    <n v="2.5000000000000001E-2"/>
    <n v="0"/>
  </r>
  <r>
    <s v="VND-009"/>
    <s v="Consulting Masters"/>
    <s v="Services"/>
    <s v="West"/>
    <s v="INV-0320"/>
    <d v="2025-03-30T00:00:00"/>
    <d v="2025-06-28T00:00:00"/>
    <n v="90"/>
    <n v="65516.5"/>
    <n v="0"/>
    <n v="65516.5"/>
    <m/>
    <n v="63"/>
    <n v="0"/>
    <x v="0"/>
    <n v="0"/>
    <n v="0"/>
  </r>
  <r>
    <s v="VND-009"/>
    <s v="Consulting Masters"/>
    <s v="Services"/>
    <s v="West"/>
    <s v="INV-0321"/>
    <d v="2025-04-05T00:00:00"/>
    <d v="2025-07-04T00:00:00"/>
    <n v="90"/>
    <n v="30387.599999999999"/>
    <n v="0"/>
    <n v="30387.599999999999"/>
    <m/>
    <n v="57"/>
    <n v="0"/>
    <x v="0"/>
    <n v="2.5000000000000001E-2"/>
    <n v="0"/>
  </r>
  <r>
    <s v="VND-010"/>
    <s v="AquaServ"/>
    <s v="Utilities"/>
    <s v="East"/>
    <s v="INV-0322"/>
    <d v="2025-03-06T00:00:00"/>
    <d v="2025-03-21T00:00:00"/>
    <n v="15"/>
    <n v="59872.639999999999"/>
    <n v="59872.639999999999"/>
    <n v="0"/>
    <d v="2025-03-19T00:00:00"/>
    <n v="87"/>
    <n v="72"/>
    <x v="1"/>
    <n v="2.5000000000000001E-2"/>
    <n v="0"/>
  </r>
  <r>
    <s v="VND-010"/>
    <s v="AquaServ"/>
    <s v="Utilities"/>
    <s v="East"/>
    <s v="INV-0323"/>
    <d v="2025-03-25T00:00:00"/>
    <d v="2025-05-24T00:00:00"/>
    <n v="60"/>
    <n v="34116.39"/>
    <n v="34116.39"/>
    <n v="0"/>
    <d v="2025-04-28T00:00:00"/>
    <n v="68"/>
    <n v="8"/>
    <x v="1"/>
    <n v="0"/>
    <n v="0"/>
  </r>
  <r>
    <s v="VND-010"/>
    <s v="AquaServ"/>
    <s v="Utilities"/>
    <s v="East"/>
    <s v="INV-0324"/>
    <d v="2025-05-10T00:00:00"/>
    <d v="2025-06-09T00:00:00"/>
    <n v="30"/>
    <n v="6817.94"/>
    <n v="0"/>
    <n v="6817.94"/>
    <m/>
    <n v="22"/>
    <n v="0"/>
    <x v="0"/>
    <n v="0.01"/>
    <n v="0"/>
  </r>
  <r>
    <s v="VND-010"/>
    <s v="AquaServ"/>
    <s v="Utilities"/>
    <s v="East"/>
    <s v="INV-0325"/>
    <d v="2025-03-07T00:00:00"/>
    <d v="2025-06-05T00:00:00"/>
    <n v="90"/>
    <n v="77335.539999999994"/>
    <n v="0"/>
    <n v="77335.539999999994"/>
    <m/>
    <n v="86"/>
    <n v="0"/>
    <x v="0"/>
    <n v="0.02"/>
    <n v="0"/>
  </r>
  <r>
    <s v="VND-010"/>
    <s v="AquaServ"/>
    <s v="Utilities"/>
    <s v="East"/>
    <s v="INV-0326"/>
    <d v="2025-05-12T00:00:00"/>
    <d v="2025-06-26T00:00:00"/>
    <n v="45"/>
    <n v="7028.26"/>
    <n v="0"/>
    <n v="7028.26"/>
    <m/>
    <n v="20"/>
    <n v="0"/>
    <x v="0"/>
    <n v="0.01"/>
    <n v="0"/>
  </r>
  <r>
    <s v="VND-010"/>
    <s v="AquaServ"/>
    <s v="Utilities"/>
    <s v="East"/>
    <s v="INV-0327"/>
    <d v="2025-05-17T00:00:00"/>
    <d v="2025-07-01T00:00:00"/>
    <n v="45"/>
    <n v="38955.64"/>
    <n v="0"/>
    <n v="38955.64"/>
    <m/>
    <n v="15"/>
    <n v="0"/>
    <x v="0"/>
    <n v="2.5000000000000001E-2"/>
    <n v="0"/>
  </r>
  <r>
    <s v="VND-010"/>
    <s v="AquaServ"/>
    <s v="Utilities"/>
    <s v="East"/>
    <s v="INV-0328"/>
    <d v="2024-12-11T00:00:00"/>
    <d v="2025-02-09T00:00:00"/>
    <n v="60"/>
    <n v="69228.740000000005"/>
    <n v="69228.740000000005"/>
    <n v="0"/>
    <d v="2025-01-21T00:00:00"/>
    <n v="172"/>
    <n v="112"/>
    <x v="1"/>
    <n v="0.01"/>
    <n v="692.29"/>
  </r>
  <r>
    <s v="VND-010"/>
    <s v="AquaServ"/>
    <s v="Utilities"/>
    <s v="East"/>
    <s v="INV-0329"/>
    <d v="2024-12-09T00:00:00"/>
    <d v="2025-01-23T00:00:00"/>
    <n v="45"/>
    <n v="61434.61"/>
    <n v="61434.61"/>
    <n v="0"/>
    <d v="2025-01-30T00:00:00"/>
    <n v="174"/>
    <n v="129"/>
    <x v="1"/>
    <n v="0"/>
    <n v="0"/>
  </r>
  <r>
    <s v="VND-010"/>
    <s v="AquaServ"/>
    <s v="Utilities"/>
    <s v="East"/>
    <s v="INV-0330"/>
    <d v="2025-02-03T00:00:00"/>
    <d v="2025-04-04T00:00:00"/>
    <n v="60"/>
    <n v="69678.86"/>
    <n v="69678.86"/>
    <n v="0"/>
    <d v="2025-03-21T00:00:00"/>
    <n v="118"/>
    <n v="58"/>
    <x v="1"/>
    <n v="0.02"/>
    <n v="1393.58"/>
  </r>
  <r>
    <s v="VND-010"/>
    <s v="AquaServ"/>
    <s v="Utilities"/>
    <s v="East"/>
    <s v="INV-0331"/>
    <d v="2025-02-18T00:00:00"/>
    <d v="2025-04-19T00:00:00"/>
    <n v="60"/>
    <n v="2987.29"/>
    <n v="2987.29"/>
    <n v="0"/>
    <d v="2025-05-14T00:00:00"/>
    <n v="103"/>
    <n v="43"/>
    <x v="1"/>
    <n v="0.02"/>
    <n v="0"/>
  </r>
  <r>
    <s v="VND-010"/>
    <s v="AquaServ"/>
    <s v="Utilities"/>
    <s v="East"/>
    <s v="INV-0332"/>
    <d v="2025-02-07T00:00:00"/>
    <d v="2025-04-08T00:00:00"/>
    <n v="60"/>
    <n v="17575.03"/>
    <n v="17575.03"/>
    <n v="0"/>
    <d v="2025-02-18T00:00:00"/>
    <n v="114"/>
    <n v="54"/>
    <x v="1"/>
    <n v="2.5000000000000001E-2"/>
    <n v="439.38"/>
  </r>
  <r>
    <s v="VND-010"/>
    <s v="AquaServ"/>
    <s v="Utilities"/>
    <s v="East"/>
    <s v="INV-0333"/>
    <d v="2025-03-09T00:00:00"/>
    <d v="2025-04-23T00:00:00"/>
    <n v="45"/>
    <n v="49959.54"/>
    <n v="49959.54"/>
    <n v="0"/>
    <d v="2025-03-21T00:00:00"/>
    <n v="84"/>
    <n v="39"/>
    <x v="1"/>
    <n v="2.5000000000000001E-2"/>
    <n v="1248.99"/>
  </r>
  <r>
    <s v="VND-010"/>
    <s v="AquaServ"/>
    <s v="Utilities"/>
    <s v="East"/>
    <s v="INV-0334"/>
    <d v="2025-02-11T00:00:00"/>
    <d v="2025-04-12T00:00:00"/>
    <n v="60"/>
    <n v="6038.53"/>
    <n v="0"/>
    <n v="6038.53"/>
    <m/>
    <n v="110"/>
    <n v="50"/>
    <x v="3"/>
    <n v="2.5000000000000001E-2"/>
    <n v="0"/>
  </r>
  <r>
    <s v="VND-010"/>
    <s v="AquaServ"/>
    <s v="Utilities"/>
    <s v="East"/>
    <s v="INV-0335"/>
    <d v="2025-02-04T00:00:00"/>
    <d v="2025-03-06T00:00:00"/>
    <n v="30"/>
    <n v="43529"/>
    <n v="43529"/>
    <n v="0"/>
    <d v="2025-02-09T00:00:00"/>
    <n v="117"/>
    <n v="87"/>
    <x v="1"/>
    <n v="0.02"/>
    <n v="870.58"/>
  </r>
  <r>
    <s v="VND-010"/>
    <s v="AquaServ"/>
    <s v="Utilities"/>
    <s v="East"/>
    <s v="INV-0336"/>
    <d v="2025-05-18T00:00:00"/>
    <d v="2025-06-17T00:00:00"/>
    <n v="30"/>
    <n v="3652.05"/>
    <n v="0"/>
    <n v="3652.05"/>
    <m/>
    <n v="14"/>
    <n v="0"/>
    <x v="0"/>
    <n v="0.02"/>
    <n v="0"/>
  </r>
  <r>
    <s v="VND-010"/>
    <s v="AquaServ"/>
    <s v="Utilities"/>
    <s v="East"/>
    <s v="INV-0337"/>
    <d v="2025-03-27T00:00:00"/>
    <d v="2025-05-26T00:00:00"/>
    <n v="60"/>
    <n v="9721.98"/>
    <n v="9721.98"/>
    <n v="0"/>
    <d v="2025-04-12T00:00:00"/>
    <n v="66"/>
    <n v="6"/>
    <x v="1"/>
    <n v="0.02"/>
    <n v="194.44"/>
  </r>
  <r>
    <s v="VND-010"/>
    <s v="AquaServ"/>
    <s v="Utilities"/>
    <s v="East"/>
    <s v="INV-0338"/>
    <d v="2025-05-10T00:00:00"/>
    <d v="2025-05-25T00:00:00"/>
    <n v="15"/>
    <n v="67298.14"/>
    <n v="67298.14"/>
    <n v="0"/>
    <d v="2025-06-03T00:00:00"/>
    <n v="22"/>
    <n v="7"/>
    <x v="1"/>
    <n v="0.01"/>
    <n v="0"/>
  </r>
  <r>
    <s v="VND-010"/>
    <s v="AquaServ"/>
    <s v="Utilities"/>
    <s v="East"/>
    <s v="INV-0339"/>
    <d v="2024-12-19T00:00:00"/>
    <d v="2025-02-02T00:00:00"/>
    <n v="45"/>
    <n v="36912.92"/>
    <n v="0"/>
    <n v="36912.92"/>
    <m/>
    <n v="164"/>
    <n v="119"/>
    <x v="3"/>
    <n v="2.5000000000000001E-2"/>
    <n v="0"/>
  </r>
  <r>
    <s v="VND-010"/>
    <s v="AquaServ"/>
    <s v="Utilities"/>
    <s v="East"/>
    <s v="INV-0340"/>
    <d v="2025-03-12T00:00:00"/>
    <d v="2025-04-11T00:00:00"/>
    <n v="30"/>
    <n v="32226.34"/>
    <n v="32226.34"/>
    <n v="0"/>
    <d v="2025-05-04T00:00:00"/>
    <n v="81"/>
    <n v="51"/>
    <x v="1"/>
    <n v="0"/>
    <n v="0"/>
  </r>
  <r>
    <s v="VND-010"/>
    <s v="AquaServ"/>
    <s v="Utilities"/>
    <s v="East"/>
    <s v="INV-0341"/>
    <d v="2024-12-09T00:00:00"/>
    <d v="2024-12-24T00:00:00"/>
    <n v="15"/>
    <n v="68512.37"/>
    <n v="68512.37"/>
    <n v="0"/>
    <d v="2024-12-16T00:00:00"/>
    <n v="174"/>
    <n v="159"/>
    <x v="1"/>
    <n v="2.5000000000000001E-2"/>
    <n v="1712.81"/>
  </r>
  <r>
    <s v="VND-010"/>
    <s v="AquaServ"/>
    <s v="Utilities"/>
    <s v="East"/>
    <s v="INV-0342"/>
    <d v="2025-05-14T00:00:00"/>
    <d v="2025-07-13T00:00:00"/>
    <n v="60"/>
    <n v="1685.41"/>
    <n v="0"/>
    <n v="1685.41"/>
    <m/>
    <n v="18"/>
    <n v="0"/>
    <x v="0"/>
    <n v="0.01"/>
    <n v="0"/>
  </r>
  <r>
    <s v="VND-010"/>
    <s v="AquaServ"/>
    <s v="Utilities"/>
    <s v="East"/>
    <s v="INV-0343"/>
    <d v="2025-03-17T00:00:00"/>
    <d v="2025-06-15T00:00:00"/>
    <n v="90"/>
    <n v="8375.85"/>
    <n v="0"/>
    <n v="8375.85"/>
    <m/>
    <n v="76"/>
    <n v="0"/>
    <x v="0"/>
    <n v="0"/>
    <n v="0"/>
  </r>
  <r>
    <s v="VND-010"/>
    <s v="AquaServ"/>
    <s v="Utilities"/>
    <s v="East"/>
    <s v="INV-0344"/>
    <d v="2025-03-08T00:00:00"/>
    <d v="2025-06-06T00:00:00"/>
    <n v="90"/>
    <n v="79380.179999999993"/>
    <n v="0"/>
    <n v="79380.179999999993"/>
    <m/>
    <n v="85"/>
    <n v="0"/>
    <x v="0"/>
    <n v="0.01"/>
    <n v="0"/>
  </r>
  <r>
    <s v="VND-010"/>
    <s v="AquaServ"/>
    <s v="Utilities"/>
    <s v="East"/>
    <s v="INV-0345"/>
    <d v="2025-04-13T00:00:00"/>
    <d v="2025-07-12T00:00:00"/>
    <n v="90"/>
    <n v="8591.83"/>
    <n v="0"/>
    <n v="8591.83"/>
    <m/>
    <n v="49"/>
    <n v="0"/>
    <x v="0"/>
    <n v="2.5000000000000001E-2"/>
    <n v="0"/>
  </r>
  <r>
    <s v="VND-010"/>
    <s v="AquaServ"/>
    <s v="Utilities"/>
    <s v="East"/>
    <s v="INV-0346"/>
    <d v="2025-05-20T00:00:00"/>
    <d v="2025-06-19T00:00:00"/>
    <n v="30"/>
    <n v="64602.38"/>
    <n v="0"/>
    <n v="64602.38"/>
    <m/>
    <n v="12"/>
    <n v="0"/>
    <x v="0"/>
    <n v="0"/>
    <n v="0"/>
  </r>
  <r>
    <s v="VND-011"/>
    <s v="SteelBuild Co"/>
    <s v="Materials"/>
    <s v="South"/>
    <s v="INV-0347"/>
    <d v="2025-05-06T00:00:00"/>
    <d v="2025-06-20T00:00:00"/>
    <n v="45"/>
    <n v="66420.59"/>
    <n v="0"/>
    <n v="66420.59"/>
    <m/>
    <n v="26"/>
    <n v="0"/>
    <x v="0"/>
    <n v="0"/>
    <n v="0"/>
  </r>
  <r>
    <s v="VND-011"/>
    <s v="SteelBuild Co"/>
    <s v="Materials"/>
    <s v="South"/>
    <s v="INV-0348"/>
    <d v="2025-05-04T00:00:00"/>
    <d v="2025-07-03T00:00:00"/>
    <n v="60"/>
    <n v="3291.62"/>
    <n v="0"/>
    <n v="3291.62"/>
    <m/>
    <n v="28"/>
    <n v="0"/>
    <x v="0"/>
    <n v="0"/>
    <n v="0"/>
  </r>
  <r>
    <s v="VND-011"/>
    <s v="SteelBuild Co"/>
    <s v="Materials"/>
    <s v="South"/>
    <s v="INV-0349"/>
    <d v="2025-02-17T00:00:00"/>
    <d v="2025-03-04T00:00:00"/>
    <n v="15"/>
    <n v="38911.89"/>
    <n v="38911.89"/>
    <n v="0"/>
    <d v="2025-02-18T00:00:00"/>
    <n v="104"/>
    <n v="89"/>
    <x v="1"/>
    <n v="0.02"/>
    <n v="778.24"/>
  </r>
  <r>
    <s v="VND-011"/>
    <s v="SteelBuild Co"/>
    <s v="Materials"/>
    <s v="South"/>
    <s v="INV-0350"/>
    <d v="2025-01-29T00:00:00"/>
    <d v="2025-02-13T00:00:00"/>
    <n v="15"/>
    <n v="65630.31"/>
    <n v="65630.31"/>
    <n v="0"/>
    <d v="2025-03-12T00:00:00"/>
    <n v="123"/>
    <n v="108"/>
    <x v="1"/>
    <n v="2.5000000000000001E-2"/>
    <n v="0"/>
  </r>
  <r>
    <s v="VND-011"/>
    <s v="SteelBuild Co"/>
    <s v="Materials"/>
    <s v="South"/>
    <s v="INV-0351"/>
    <d v="2024-12-06T00:00:00"/>
    <d v="2025-01-05T00:00:00"/>
    <n v="30"/>
    <n v="67352.88"/>
    <n v="67352.88"/>
    <n v="0"/>
    <d v="2025-01-03T00:00:00"/>
    <n v="177"/>
    <n v="147"/>
    <x v="1"/>
    <n v="0.01"/>
    <n v="0"/>
  </r>
  <r>
    <s v="VND-011"/>
    <s v="SteelBuild Co"/>
    <s v="Materials"/>
    <s v="South"/>
    <s v="INV-0352"/>
    <d v="2025-05-25T00:00:00"/>
    <d v="2025-07-09T00:00:00"/>
    <n v="45"/>
    <n v="42114.2"/>
    <n v="0"/>
    <n v="42114.2"/>
    <m/>
    <n v="7"/>
    <n v="0"/>
    <x v="0"/>
    <n v="0.01"/>
    <n v="0"/>
  </r>
  <r>
    <s v="VND-011"/>
    <s v="SteelBuild Co"/>
    <s v="Materials"/>
    <s v="South"/>
    <s v="INV-0353"/>
    <d v="2024-12-16T00:00:00"/>
    <d v="2025-02-14T00:00:00"/>
    <n v="60"/>
    <n v="77399.399999999994"/>
    <n v="57581.87"/>
    <n v="19817.53"/>
    <d v="2025-05-31T00:00:00"/>
    <n v="167"/>
    <n v="107"/>
    <x v="2"/>
    <n v="2.5000000000000001E-2"/>
    <n v="0"/>
  </r>
  <r>
    <s v="VND-011"/>
    <s v="SteelBuild Co"/>
    <s v="Materials"/>
    <s v="South"/>
    <s v="INV-0354"/>
    <d v="2024-12-14T00:00:00"/>
    <d v="2024-12-29T00:00:00"/>
    <n v="15"/>
    <n v="45865.279999999999"/>
    <n v="0"/>
    <n v="45865.279999999999"/>
    <m/>
    <n v="169"/>
    <n v="154"/>
    <x v="3"/>
    <n v="0.02"/>
    <n v="0"/>
  </r>
  <r>
    <s v="VND-011"/>
    <s v="SteelBuild Co"/>
    <s v="Materials"/>
    <s v="South"/>
    <s v="INV-0355"/>
    <d v="2025-04-07T00:00:00"/>
    <d v="2025-05-22T00:00:00"/>
    <n v="45"/>
    <n v="33793.81"/>
    <n v="33793.81"/>
    <n v="0"/>
    <d v="2025-05-09T00:00:00"/>
    <n v="55"/>
    <n v="10"/>
    <x v="1"/>
    <n v="0.01"/>
    <n v="337.94"/>
  </r>
  <r>
    <s v="VND-011"/>
    <s v="SteelBuild Co"/>
    <s v="Materials"/>
    <s v="South"/>
    <s v="INV-0356"/>
    <d v="2025-02-22T00:00:00"/>
    <d v="2025-03-09T00:00:00"/>
    <n v="15"/>
    <n v="27425.95"/>
    <n v="27425.95"/>
    <n v="0"/>
    <d v="2025-03-21T00:00:00"/>
    <n v="99"/>
    <n v="84"/>
    <x v="1"/>
    <n v="0.01"/>
    <n v="0"/>
  </r>
  <r>
    <s v="VND-011"/>
    <s v="SteelBuild Co"/>
    <s v="Materials"/>
    <s v="South"/>
    <s v="INV-0357"/>
    <d v="2024-12-09T00:00:00"/>
    <d v="2025-03-09T00:00:00"/>
    <n v="90"/>
    <n v="29988.01"/>
    <n v="0"/>
    <n v="29988.01"/>
    <m/>
    <n v="174"/>
    <n v="84"/>
    <x v="3"/>
    <n v="0.02"/>
    <n v="0"/>
  </r>
  <r>
    <s v="VND-011"/>
    <s v="SteelBuild Co"/>
    <s v="Materials"/>
    <s v="South"/>
    <s v="INV-0358"/>
    <d v="2024-12-26T00:00:00"/>
    <d v="2025-01-10T00:00:00"/>
    <n v="15"/>
    <n v="13367.9"/>
    <n v="0"/>
    <n v="13367.9"/>
    <m/>
    <n v="157"/>
    <n v="142"/>
    <x v="3"/>
    <n v="0"/>
    <n v="0"/>
  </r>
  <r>
    <s v="VND-011"/>
    <s v="SteelBuild Co"/>
    <s v="Materials"/>
    <s v="South"/>
    <s v="INV-0359"/>
    <d v="2024-12-27T00:00:00"/>
    <d v="2025-02-10T00:00:00"/>
    <n v="45"/>
    <n v="19553.96"/>
    <n v="0"/>
    <n v="19553.96"/>
    <m/>
    <n v="156"/>
    <n v="111"/>
    <x v="3"/>
    <n v="0"/>
    <n v="0"/>
  </r>
  <r>
    <s v="VND-011"/>
    <s v="SteelBuild Co"/>
    <s v="Materials"/>
    <s v="South"/>
    <s v="INV-0360"/>
    <d v="2025-02-15T00:00:00"/>
    <d v="2025-04-16T00:00:00"/>
    <n v="60"/>
    <n v="23792.79"/>
    <n v="23792.79"/>
    <n v="0"/>
    <d v="2025-04-10T00:00:00"/>
    <n v="106"/>
    <n v="46"/>
    <x v="1"/>
    <n v="0.02"/>
    <n v="475.86"/>
  </r>
  <r>
    <s v="VND-011"/>
    <s v="SteelBuild Co"/>
    <s v="Materials"/>
    <s v="South"/>
    <s v="INV-0361"/>
    <d v="2025-03-22T00:00:00"/>
    <d v="2025-05-21T00:00:00"/>
    <n v="60"/>
    <n v="79167.02"/>
    <n v="0"/>
    <n v="79167.02"/>
    <m/>
    <n v="71"/>
    <n v="11"/>
    <x v="3"/>
    <n v="0.02"/>
    <n v="0"/>
  </r>
  <r>
    <s v="VND-011"/>
    <s v="SteelBuild Co"/>
    <s v="Materials"/>
    <s v="South"/>
    <s v="INV-0362"/>
    <d v="2025-03-23T00:00:00"/>
    <d v="2025-06-21T00:00:00"/>
    <n v="90"/>
    <n v="17875.62"/>
    <n v="0"/>
    <n v="17875.62"/>
    <m/>
    <n v="70"/>
    <n v="0"/>
    <x v="0"/>
    <n v="0.01"/>
    <n v="0"/>
  </r>
  <r>
    <s v="VND-011"/>
    <s v="SteelBuild Co"/>
    <s v="Materials"/>
    <s v="South"/>
    <s v="INV-0363"/>
    <d v="2024-12-22T00:00:00"/>
    <d v="2025-02-20T00:00:00"/>
    <n v="60"/>
    <n v="4820.4799999999996"/>
    <n v="3745.11"/>
    <n v="1075.3699999999999"/>
    <d v="2024-12-25T00:00:00"/>
    <n v="161"/>
    <n v="101"/>
    <x v="2"/>
    <n v="0.02"/>
    <n v="0"/>
  </r>
  <r>
    <s v="VND-011"/>
    <s v="SteelBuild Co"/>
    <s v="Materials"/>
    <s v="South"/>
    <s v="INV-0364"/>
    <d v="2025-04-25T00:00:00"/>
    <d v="2025-06-24T00:00:00"/>
    <n v="60"/>
    <n v="19223.61"/>
    <n v="0"/>
    <n v="19223.61"/>
    <m/>
    <n v="37"/>
    <n v="0"/>
    <x v="0"/>
    <n v="0.01"/>
    <n v="0"/>
  </r>
  <r>
    <s v="VND-011"/>
    <s v="SteelBuild Co"/>
    <s v="Materials"/>
    <s v="South"/>
    <s v="INV-0365"/>
    <d v="2025-01-17T00:00:00"/>
    <d v="2025-03-03T00:00:00"/>
    <n v="45"/>
    <n v="30005.66"/>
    <n v="30005.66"/>
    <n v="0"/>
    <d v="2025-04-02T00:00:00"/>
    <n v="135"/>
    <n v="90"/>
    <x v="1"/>
    <n v="2.5000000000000001E-2"/>
    <n v="0"/>
  </r>
  <r>
    <s v="VND-011"/>
    <s v="SteelBuild Co"/>
    <s v="Materials"/>
    <s v="South"/>
    <s v="INV-0366"/>
    <d v="2025-03-23T00:00:00"/>
    <d v="2025-05-07T00:00:00"/>
    <n v="45"/>
    <n v="75963.13"/>
    <n v="75963.13"/>
    <n v="0"/>
    <d v="2025-06-03T00:00:00"/>
    <n v="70"/>
    <n v="25"/>
    <x v="1"/>
    <n v="0.01"/>
    <n v="0"/>
  </r>
  <r>
    <s v="VND-011"/>
    <s v="SteelBuild Co"/>
    <s v="Materials"/>
    <s v="South"/>
    <s v="INV-0367"/>
    <d v="2025-01-10T00:00:00"/>
    <d v="2025-03-11T00:00:00"/>
    <n v="60"/>
    <n v="44271.25"/>
    <n v="8056.16"/>
    <n v="36215.089999999997"/>
    <d v="2025-02-24T00:00:00"/>
    <n v="142"/>
    <n v="82"/>
    <x v="2"/>
    <n v="0.01"/>
    <n v="0"/>
  </r>
  <r>
    <s v="VND-011"/>
    <s v="SteelBuild Co"/>
    <s v="Materials"/>
    <s v="South"/>
    <s v="INV-0368"/>
    <d v="2025-01-05T00:00:00"/>
    <d v="2025-03-06T00:00:00"/>
    <n v="60"/>
    <n v="24453.03"/>
    <n v="18895.38"/>
    <n v="5557.65"/>
    <d v="2025-04-19T00:00:00"/>
    <n v="147"/>
    <n v="87"/>
    <x v="2"/>
    <n v="0"/>
    <n v="0"/>
  </r>
  <r>
    <s v="VND-011"/>
    <s v="SteelBuild Co"/>
    <s v="Materials"/>
    <s v="South"/>
    <s v="INV-0369"/>
    <d v="2024-12-13T00:00:00"/>
    <d v="2025-03-13T00:00:00"/>
    <n v="90"/>
    <n v="57002.9"/>
    <n v="57002.9"/>
    <n v="0"/>
    <d v="2025-02-23T00:00:00"/>
    <n v="170"/>
    <n v="80"/>
    <x v="1"/>
    <n v="2.5000000000000001E-2"/>
    <n v="1425.07"/>
  </r>
  <r>
    <s v="VND-011"/>
    <s v="SteelBuild Co"/>
    <s v="Materials"/>
    <s v="South"/>
    <s v="INV-0370"/>
    <d v="2025-04-13T00:00:00"/>
    <d v="2025-05-28T00:00:00"/>
    <n v="45"/>
    <n v="6520.16"/>
    <n v="6520.16"/>
    <n v="0"/>
    <d v="2025-04-29T00:00:00"/>
    <n v="49"/>
    <n v="4"/>
    <x v="1"/>
    <n v="0.01"/>
    <n v="65.2"/>
  </r>
  <r>
    <s v="VND-011"/>
    <s v="SteelBuild Co"/>
    <s v="Materials"/>
    <s v="South"/>
    <s v="INV-0371"/>
    <d v="2025-02-27T00:00:00"/>
    <d v="2025-03-29T00:00:00"/>
    <n v="30"/>
    <n v="2780.36"/>
    <n v="2780.36"/>
    <n v="0"/>
    <d v="2025-04-12T00:00:00"/>
    <n v="94"/>
    <n v="64"/>
    <x v="1"/>
    <n v="0.01"/>
    <n v="0"/>
  </r>
  <r>
    <s v="VND-011"/>
    <s v="SteelBuild Co"/>
    <s v="Materials"/>
    <s v="South"/>
    <s v="INV-0372"/>
    <d v="2025-03-25T00:00:00"/>
    <d v="2025-06-23T00:00:00"/>
    <n v="90"/>
    <n v="69699.899999999994"/>
    <n v="0"/>
    <n v="69699.899999999994"/>
    <m/>
    <n v="68"/>
    <n v="0"/>
    <x v="0"/>
    <n v="0.02"/>
    <n v="0"/>
  </r>
  <r>
    <s v="VND-011"/>
    <s v="SteelBuild Co"/>
    <s v="Materials"/>
    <s v="South"/>
    <s v="INV-0373"/>
    <d v="2025-02-03T00:00:00"/>
    <d v="2025-05-04T00:00:00"/>
    <n v="90"/>
    <n v="71114.2"/>
    <n v="0"/>
    <n v="71114.2"/>
    <m/>
    <n v="118"/>
    <n v="28"/>
    <x v="3"/>
    <n v="0.01"/>
    <n v="0"/>
  </r>
  <r>
    <s v="VND-011"/>
    <s v="SteelBuild Co"/>
    <s v="Materials"/>
    <s v="South"/>
    <s v="INV-0374"/>
    <d v="2025-05-09T00:00:00"/>
    <d v="2025-07-08T00:00:00"/>
    <n v="60"/>
    <n v="62901.34"/>
    <n v="0"/>
    <n v="62901.34"/>
    <m/>
    <n v="23"/>
    <n v="0"/>
    <x v="0"/>
    <n v="2.5000000000000001E-2"/>
    <n v="0"/>
  </r>
  <r>
    <s v="VND-011"/>
    <s v="SteelBuild Co"/>
    <s v="Materials"/>
    <s v="South"/>
    <s v="INV-0375"/>
    <d v="2025-04-23T00:00:00"/>
    <d v="2025-05-08T00:00:00"/>
    <n v="15"/>
    <n v="34575.79"/>
    <n v="34575.79"/>
    <n v="0"/>
    <d v="2025-05-03T00:00:00"/>
    <n v="39"/>
    <n v="24"/>
    <x v="1"/>
    <n v="0.01"/>
    <n v="345.76"/>
  </r>
  <r>
    <s v="VND-011"/>
    <s v="SteelBuild Co"/>
    <s v="Materials"/>
    <s v="South"/>
    <s v="INV-0376"/>
    <d v="2025-04-07T00:00:00"/>
    <d v="2025-04-22T00:00:00"/>
    <n v="15"/>
    <n v="24294.81"/>
    <n v="0"/>
    <n v="24294.81"/>
    <m/>
    <n v="55"/>
    <n v="40"/>
    <x v="3"/>
    <n v="2.5000000000000001E-2"/>
    <n v="0"/>
  </r>
  <r>
    <s v="VND-011"/>
    <s v="SteelBuild Co"/>
    <s v="Materials"/>
    <s v="South"/>
    <s v="INV-0377"/>
    <d v="2025-04-12T00:00:00"/>
    <d v="2025-04-27T00:00:00"/>
    <n v="15"/>
    <n v="40381.949999999997"/>
    <n v="0"/>
    <n v="40381.949999999997"/>
    <m/>
    <n v="50"/>
    <n v="35"/>
    <x v="3"/>
    <n v="0.01"/>
    <n v="0"/>
  </r>
  <r>
    <s v="VND-011"/>
    <s v="SteelBuild Co"/>
    <s v="Materials"/>
    <s v="South"/>
    <s v="INV-0378"/>
    <d v="2025-04-28T00:00:00"/>
    <d v="2025-06-27T00:00:00"/>
    <n v="60"/>
    <n v="32804.89"/>
    <n v="0"/>
    <n v="32804.89"/>
    <m/>
    <n v="34"/>
    <n v="0"/>
    <x v="0"/>
    <n v="0"/>
    <n v="0"/>
  </r>
  <r>
    <s v="VND-011"/>
    <s v="SteelBuild Co"/>
    <s v="Materials"/>
    <s v="South"/>
    <s v="INV-0379"/>
    <d v="2025-05-05T00:00:00"/>
    <d v="2025-07-04T00:00:00"/>
    <n v="60"/>
    <n v="7077.2"/>
    <n v="0"/>
    <n v="7077.2"/>
    <m/>
    <n v="27"/>
    <n v="0"/>
    <x v="0"/>
    <n v="2.5000000000000001E-2"/>
    <n v="0"/>
  </r>
  <r>
    <s v="VND-011"/>
    <s v="SteelBuild Co"/>
    <s v="Materials"/>
    <s v="South"/>
    <s v="INV-0380"/>
    <d v="2025-03-21T00:00:00"/>
    <d v="2025-06-19T00:00:00"/>
    <n v="90"/>
    <n v="76910.84"/>
    <n v="0"/>
    <n v="76910.84"/>
    <m/>
    <n v="72"/>
    <n v="0"/>
    <x v="0"/>
    <n v="0.02"/>
    <n v="0"/>
  </r>
  <r>
    <s v="VND-011"/>
    <s v="SteelBuild Co"/>
    <s v="Materials"/>
    <s v="South"/>
    <s v="INV-0381"/>
    <d v="2025-01-15T00:00:00"/>
    <d v="2025-04-15T00:00:00"/>
    <n v="90"/>
    <n v="63294.65"/>
    <n v="47998.04"/>
    <n v="15296.61"/>
    <d v="2025-03-08T00:00:00"/>
    <n v="137"/>
    <n v="47"/>
    <x v="2"/>
    <n v="2.5000000000000001E-2"/>
    <n v="0"/>
  </r>
  <r>
    <s v="VND-011"/>
    <s v="SteelBuild Co"/>
    <s v="Materials"/>
    <s v="South"/>
    <s v="INV-0382"/>
    <d v="2025-05-01T00:00:00"/>
    <d v="2025-05-31T00:00:00"/>
    <n v="30"/>
    <n v="37435.5"/>
    <n v="37435.5"/>
    <n v="0"/>
    <d v="2025-05-20T00:00:00"/>
    <n v="31"/>
    <n v="1"/>
    <x v="1"/>
    <n v="0"/>
    <n v="0"/>
  </r>
  <r>
    <s v="VND-012"/>
    <s v="DataCenter Pro"/>
    <s v="IT"/>
    <s v="East"/>
    <s v="INV-0383"/>
    <d v="2025-03-12T00:00:00"/>
    <d v="2025-05-11T00:00:00"/>
    <n v="60"/>
    <n v="77769.41"/>
    <n v="77769.41"/>
    <n v="0"/>
    <d v="2025-05-07T00:00:00"/>
    <n v="81"/>
    <n v="21"/>
    <x v="1"/>
    <n v="0.01"/>
    <n v="0"/>
  </r>
  <r>
    <s v="VND-012"/>
    <s v="DataCenter Pro"/>
    <s v="IT"/>
    <s v="East"/>
    <s v="INV-0384"/>
    <d v="2025-01-12T00:00:00"/>
    <d v="2025-03-13T00:00:00"/>
    <n v="60"/>
    <n v="37919.519999999997"/>
    <n v="37919.519999999997"/>
    <n v="0"/>
    <d v="2025-01-29T00:00:00"/>
    <n v="140"/>
    <n v="80"/>
    <x v="1"/>
    <n v="0.02"/>
    <n v="758.39"/>
  </r>
  <r>
    <s v="VND-012"/>
    <s v="DataCenter Pro"/>
    <s v="IT"/>
    <s v="East"/>
    <s v="INV-0385"/>
    <d v="2025-03-25T00:00:00"/>
    <d v="2025-04-09T00:00:00"/>
    <n v="15"/>
    <n v="32782.720000000001"/>
    <n v="32782.720000000001"/>
    <n v="0"/>
    <d v="2025-04-30T00:00:00"/>
    <n v="68"/>
    <n v="53"/>
    <x v="1"/>
    <n v="0"/>
    <n v="0"/>
  </r>
  <r>
    <s v="VND-012"/>
    <s v="DataCenter Pro"/>
    <s v="IT"/>
    <s v="East"/>
    <s v="INV-0386"/>
    <d v="2024-12-06T00:00:00"/>
    <d v="2025-01-05T00:00:00"/>
    <n v="30"/>
    <n v="31558.560000000001"/>
    <n v="31558.560000000001"/>
    <n v="0"/>
    <d v="2025-01-20T00:00:00"/>
    <n v="177"/>
    <n v="147"/>
    <x v="1"/>
    <n v="0"/>
    <n v="0"/>
  </r>
  <r>
    <s v="VND-012"/>
    <s v="DataCenter Pro"/>
    <s v="IT"/>
    <s v="East"/>
    <s v="INV-0387"/>
    <d v="2025-02-12T00:00:00"/>
    <d v="2025-05-13T00:00:00"/>
    <n v="90"/>
    <n v="73683.710000000006"/>
    <n v="73683.710000000006"/>
    <n v="0"/>
    <d v="2025-05-15T00:00:00"/>
    <n v="109"/>
    <n v="19"/>
    <x v="1"/>
    <n v="0.02"/>
    <n v="0"/>
  </r>
  <r>
    <s v="VND-012"/>
    <s v="DataCenter Pro"/>
    <s v="IT"/>
    <s v="East"/>
    <s v="INV-0388"/>
    <d v="2025-01-04T00:00:00"/>
    <d v="2025-02-03T00:00:00"/>
    <n v="30"/>
    <n v="38208.519999999997"/>
    <n v="38208.519999999997"/>
    <n v="0"/>
    <d v="2025-01-20T00:00:00"/>
    <n v="148"/>
    <n v="118"/>
    <x v="1"/>
    <n v="0.01"/>
    <n v="382.09"/>
  </r>
  <r>
    <s v="VND-012"/>
    <s v="DataCenter Pro"/>
    <s v="IT"/>
    <s v="East"/>
    <s v="INV-0389"/>
    <d v="2024-12-26T00:00:00"/>
    <d v="2025-01-25T00:00:00"/>
    <n v="30"/>
    <n v="11159.9"/>
    <n v="11159.9"/>
    <n v="0"/>
    <d v="2025-02-05T00:00:00"/>
    <n v="157"/>
    <n v="127"/>
    <x v="1"/>
    <n v="0.02"/>
    <n v="0"/>
  </r>
  <r>
    <s v="VND-012"/>
    <s v="DataCenter Pro"/>
    <s v="IT"/>
    <s v="East"/>
    <s v="INV-0390"/>
    <d v="2025-05-14T00:00:00"/>
    <d v="2025-07-13T00:00:00"/>
    <n v="60"/>
    <n v="45068.56"/>
    <n v="0"/>
    <n v="45068.56"/>
    <m/>
    <n v="18"/>
    <n v="0"/>
    <x v="0"/>
    <n v="0.02"/>
    <n v="0"/>
  </r>
  <r>
    <s v="VND-012"/>
    <s v="DataCenter Pro"/>
    <s v="IT"/>
    <s v="East"/>
    <s v="INV-0391"/>
    <d v="2025-04-18T00:00:00"/>
    <d v="2025-06-17T00:00:00"/>
    <n v="60"/>
    <n v="52538.98"/>
    <n v="0"/>
    <n v="52538.98"/>
    <m/>
    <n v="44"/>
    <n v="0"/>
    <x v="0"/>
    <n v="0.01"/>
    <n v="0"/>
  </r>
  <r>
    <s v="VND-012"/>
    <s v="DataCenter Pro"/>
    <s v="IT"/>
    <s v="East"/>
    <s v="INV-0392"/>
    <d v="2025-03-19T00:00:00"/>
    <d v="2025-06-17T00:00:00"/>
    <n v="90"/>
    <n v="35256.980000000003"/>
    <n v="0"/>
    <n v="35256.980000000003"/>
    <m/>
    <n v="74"/>
    <n v="0"/>
    <x v="0"/>
    <n v="0"/>
    <n v="0"/>
  </r>
  <r>
    <s v="VND-012"/>
    <s v="DataCenter Pro"/>
    <s v="IT"/>
    <s v="East"/>
    <s v="INV-0393"/>
    <d v="2025-01-23T00:00:00"/>
    <d v="2025-04-23T00:00:00"/>
    <n v="90"/>
    <n v="63253.79"/>
    <n v="63253.79"/>
    <n v="0"/>
    <d v="2025-03-01T00:00:00"/>
    <n v="129"/>
    <n v="39"/>
    <x v="1"/>
    <n v="0.01"/>
    <n v="632.54"/>
  </r>
  <r>
    <s v="VND-012"/>
    <s v="DataCenter Pro"/>
    <s v="IT"/>
    <s v="East"/>
    <s v="INV-0394"/>
    <d v="2025-01-13T00:00:00"/>
    <d v="2025-04-13T00:00:00"/>
    <n v="90"/>
    <n v="74339.27"/>
    <n v="0"/>
    <n v="74339.27"/>
    <m/>
    <n v="139"/>
    <n v="49"/>
    <x v="3"/>
    <n v="0.01"/>
    <n v="0"/>
  </r>
  <r>
    <s v="VND-012"/>
    <s v="DataCenter Pro"/>
    <s v="IT"/>
    <s v="East"/>
    <s v="INV-0395"/>
    <d v="2025-02-11T00:00:00"/>
    <d v="2025-02-26T00:00:00"/>
    <n v="15"/>
    <n v="40033.019999999997"/>
    <n v="40033.019999999997"/>
    <n v="0"/>
    <d v="2025-02-27T00:00:00"/>
    <n v="110"/>
    <n v="95"/>
    <x v="1"/>
    <n v="0.01"/>
    <n v="0"/>
  </r>
  <r>
    <s v="VND-012"/>
    <s v="DataCenter Pro"/>
    <s v="IT"/>
    <s v="East"/>
    <s v="INV-0396"/>
    <d v="2025-01-04T00:00:00"/>
    <d v="2025-02-03T00:00:00"/>
    <n v="30"/>
    <n v="4727.08"/>
    <n v="4727.08"/>
    <n v="0"/>
    <d v="2025-03-02T00:00:00"/>
    <n v="148"/>
    <n v="118"/>
    <x v="1"/>
    <n v="0"/>
    <n v="0"/>
  </r>
  <r>
    <s v="VND-012"/>
    <s v="DataCenter Pro"/>
    <s v="IT"/>
    <s v="East"/>
    <s v="INV-0397"/>
    <d v="2025-05-01T00:00:00"/>
    <d v="2025-06-30T00:00:00"/>
    <n v="60"/>
    <n v="67735.399999999994"/>
    <n v="0"/>
    <n v="67735.399999999994"/>
    <m/>
    <n v="31"/>
    <n v="0"/>
    <x v="0"/>
    <n v="2.5000000000000001E-2"/>
    <n v="0"/>
  </r>
  <r>
    <s v="VND-012"/>
    <s v="DataCenter Pro"/>
    <s v="IT"/>
    <s v="East"/>
    <s v="INV-0398"/>
    <d v="2025-02-02T00:00:00"/>
    <d v="2025-02-17T00:00:00"/>
    <n v="15"/>
    <n v="5990.64"/>
    <n v="5990.64"/>
    <n v="0"/>
    <d v="2025-02-10T00:00:00"/>
    <n v="119"/>
    <n v="104"/>
    <x v="1"/>
    <n v="0"/>
    <n v="0"/>
  </r>
  <r>
    <s v="VND-012"/>
    <s v="DataCenter Pro"/>
    <s v="IT"/>
    <s v="East"/>
    <s v="INV-0399"/>
    <d v="2025-03-19T00:00:00"/>
    <d v="2025-05-18T00:00:00"/>
    <n v="60"/>
    <n v="62175.72"/>
    <n v="62175.72"/>
    <n v="0"/>
    <d v="2025-04-04T00:00:00"/>
    <n v="74"/>
    <n v="14"/>
    <x v="1"/>
    <n v="0.02"/>
    <n v="1243.51"/>
  </r>
  <r>
    <s v="VND-012"/>
    <s v="DataCenter Pro"/>
    <s v="IT"/>
    <s v="East"/>
    <s v="INV-0400"/>
    <d v="2024-12-06T00:00:00"/>
    <d v="2025-03-06T00:00:00"/>
    <n v="90"/>
    <n v="33959.1"/>
    <n v="33959.1"/>
    <n v="0"/>
    <d v="2025-03-08T00:00:00"/>
    <n v="177"/>
    <n v="87"/>
    <x v="1"/>
    <n v="0.02"/>
    <n v="0"/>
  </r>
  <r>
    <s v="VND-012"/>
    <s v="DataCenter Pro"/>
    <s v="IT"/>
    <s v="East"/>
    <s v="INV-0401"/>
    <d v="2025-05-14T00:00:00"/>
    <d v="2025-08-12T00:00:00"/>
    <n v="90"/>
    <n v="23462.54"/>
    <n v="0"/>
    <n v="23462.54"/>
    <m/>
    <n v="18"/>
    <n v="0"/>
    <x v="0"/>
    <n v="2.5000000000000001E-2"/>
    <n v="0"/>
  </r>
  <r>
    <s v="VND-012"/>
    <s v="DataCenter Pro"/>
    <s v="IT"/>
    <s v="East"/>
    <s v="INV-0402"/>
    <d v="2025-05-05T00:00:00"/>
    <d v="2025-07-04T00:00:00"/>
    <n v="60"/>
    <n v="50451.25"/>
    <n v="0"/>
    <n v="50451.25"/>
    <m/>
    <n v="27"/>
    <n v="0"/>
    <x v="0"/>
    <n v="0.01"/>
    <n v="0"/>
  </r>
  <r>
    <s v="VND-012"/>
    <s v="DataCenter Pro"/>
    <s v="IT"/>
    <s v="East"/>
    <s v="INV-0403"/>
    <d v="2025-05-25T00:00:00"/>
    <d v="2025-08-23T00:00:00"/>
    <n v="90"/>
    <n v="57476.87"/>
    <n v="0"/>
    <n v="57476.87"/>
    <m/>
    <n v="7"/>
    <n v="0"/>
    <x v="0"/>
    <n v="0"/>
    <n v="0"/>
  </r>
  <r>
    <s v="VND-012"/>
    <s v="DataCenter Pro"/>
    <s v="IT"/>
    <s v="East"/>
    <s v="INV-0404"/>
    <d v="2025-03-31T00:00:00"/>
    <d v="2025-05-30T00:00:00"/>
    <n v="60"/>
    <n v="43002.47"/>
    <n v="43002.47"/>
    <n v="0"/>
    <d v="2025-06-11T00:00:00"/>
    <n v="62"/>
    <n v="2"/>
    <x v="1"/>
    <n v="0.02"/>
    <n v="0"/>
  </r>
  <r>
    <s v="VND-012"/>
    <s v="DataCenter Pro"/>
    <s v="IT"/>
    <s v="East"/>
    <s v="INV-0405"/>
    <d v="2025-01-26T00:00:00"/>
    <d v="2025-02-10T00:00:00"/>
    <n v="15"/>
    <n v="60408.21"/>
    <n v="60408.21"/>
    <n v="0"/>
    <d v="2025-02-15T00:00:00"/>
    <n v="126"/>
    <n v="111"/>
    <x v="1"/>
    <n v="0.01"/>
    <n v="0"/>
  </r>
  <r>
    <s v="VND-012"/>
    <s v="DataCenter Pro"/>
    <s v="IT"/>
    <s v="East"/>
    <s v="INV-0406"/>
    <d v="2025-05-04T00:00:00"/>
    <d v="2025-06-18T00:00:00"/>
    <n v="45"/>
    <n v="6936.45"/>
    <n v="0"/>
    <n v="6936.45"/>
    <m/>
    <n v="28"/>
    <n v="0"/>
    <x v="0"/>
    <n v="2.5000000000000001E-2"/>
    <n v="0"/>
  </r>
  <r>
    <s v="VND-012"/>
    <s v="DataCenter Pro"/>
    <s v="IT"/>
    <s v="East"/>
    <s v="INV-0407"/>
    <d v="2025-01-11T00:00:00"/>
    <d v="2025-02-25T00:00:00"/>
    <n v="45"/>
    <n v="29242.62"/>
    <n v="18884.599999999999"/>
    <n v="10358.02"/>
    <d v="2025-04-24T00:00:00"/>
    <n v="141"/>
    <n v="96"/>
    <x v="2"/>
    <n v="0.01"/>
    <n v="0"/>
  </r>
  <r>
    <s v="VND-012"/>
    <s v="DataCenter Pro"/>
    <s v="IT"/>
    <s v="East"/>
    <s v="INV-0408"/>
    <d v="2025-03-12T00:00:00"/>
    <d v="2025-04-11T00:00:00"/>
    <n v="30"/>
    <n v="79094.070000000007"/>
    <n v="79094.070000000007"/>
    <n v="0"/>
    <d v="2025-04-17T00:00:00"/>
    <n v="81"/>
    <n v="51"/>
    <x v="1"/>
    <n v="0.01"/>
    <n v="0"/>
  </r>
  <r>
    <s v="VND-012"/>
    <s v="DataCenter Pro"/>
    <s v="IT"/>
    <s v="East"/>
    <s v="INV-0409"/>
    <d v="2025-05-22T00:00:00"/>
    <d v="2025-07-21T00:00:00"/>
    <n v="60"/>
    <n v="5375.58"/>
    <n v="0"/>
    <n v="5375.58"/>
    <m/>
    <n v="10"/>
    <n v="0"/>
    <x v="0"/>
    <n v="0"/>
    <n v="0"/>
  </r>
  <r>
    <s v="VND-013"/>
    <s v="FreightKing"/>
    <s v="Logistics"/>
    <s v="North"/>
    <s v="INV-0410"/>
    <d v="2024-12-08T00:00:00"/>
    <d v="2025-01-07T00:00:00"/>
    <n v="30"/>
    <n v="52646.82"/>
    <n v="0"/>
    <n v="52646.82"/>
    <m/>
    <n v="175"/>
    <n v="145"/>
    <x v="3"/>
    <n v="0"/>
    <n v="0"/>
  </r>
  <r>
    <s v="VND-013"/>
    <s v="FreightKing"/>
    <s v="Logistics"/>
    <s v="North"/>
    <s v="INV-0411"/>
    <d v="2025-01-12T00:00:00"/>
    <d v="2025-03-13T00:00:00"/>
    <n v="60"/>
    <n v="48758.02"/>
    <n v="48758.02"/>
    <n v="0"/>
    <d v="2025-03-06T00:00:00"/>
    <n v="140"/>
    <n v="80"/>
    <x v="1"/>
    <n v="0.02"/>
    <n v="975.16"/>
  </r>
  <r>
    <s v="VND-013"/>
    <s v="FreightKing"/>
    <s v="Logistics"/>
    <s v="North"/>
    <s v="INV-0412"/>
    <d v="2025-04-06T00:00:00"/>
    <d v="2025-04-21T00:00:00"/>
    <n v="15"/>
    <n v="41418.67"/>
    <n v="0"/>
    <n v="41418.67"/>
    <m/>
    <n v="56"/>
    <n v="41"/>
    <x v="3"/>
    <n v="0.02"/>
    <n v="0"/>
  </r>
  <r>
    <s v="VND-013"/>
    <s v="FreightKing"/>
    <s v="Logistics"/>
    <s v="North"/>
    <s v="INV-0413"/>
    <d v="2025-03-12T00:00:00"/>
    <d v="2025-04-11T00:00:00"/>
    <n v="30"/>
    <n v="63410.33"/>
    <n v="63410.33"/>
    <n v="0"/>
    <d v="2025-03-31T00:00:00"/>
    <n v="81"/>
    <n v="51"/>
    <x v="1"/>
    <n v="2.5000000000000001E-2"/>
    <n v="1585.26"/>
  </r>
  <r>
    <s v="VND-013"/>
    <s v="FreightKing"/>
    <s v="Logistics"/>
    <s v="North"/>
    <s v="INV-0414"/>
    <d v="2025-04-22T00:00:00"/>
    <d v="2025-06-21T00:00:00"/>
    <n v="60"/>
    <n v="44933.35"/>
    <n v="0"/>
    <n v="44933.35"/>
    <m/>
    <n v="40"/>
    <n v="0"/>
    <x v="0"/>
    <n v="0"/>
    <n v="0"/>
  </r>
  <r>
    <s v="VND-013"/>
    <s v="FreightKing"/>
    <s v="Logistics"/>
    <s v="North"/>
    <s v="INV-0415"/>
    <d v="2024-12-14T00:00:00"/>
    <d v="2025-01-13T00:00:00"/>
    <n v="30"/>
    <n v="70246.97"/>
    <n v="70246.97"/>
    <n v="0"/>
    <d v="2024-12-24T00:00:00"/>
    <n v="169"/>
    <n v="139"/>
    <x v="1"/>
    <n v="0"/>
    <n v="0"/>
  </r>
  <r>
    <s v="VND-013"/>
    <s v="FreightKing"/>
    <s v="Logistics"/>
    <s v="North"/>
    <s v="INV-0416"/>
    <d v="2025-03-09T00:00:00"/>
    <d v="2025-04-08T00:00:00"/>
    <n v="30"/>
    <n v="66400.58"/>
    <n v="66400.58"/>
    <n v="0"/>
    <d v="2025-03-29T00:00:00"/>
    <n v="84"/>
    <n v="54"/>
    <x v="1"/>
    <n v="0"/>
    <n v="0"/>
  </r>
  <r>
    <s v="VND-013"/>
    <s v="FreightKing"/>
    <s v="Logistics"/>
    <s v="North"/>
    <s v="INV-0417"/>
    <d v="2025-01-30T00:00:00"/>
    <d v="2025-03-16T00:00:00"/>
    <n v="45"/>
    <n v="79060.759999999995"/>
    <n v="79060.759999999995"/>
    <n v="0"/>
    <d v="2025-02-05T00:00:00"/>
    <n v="122"/>
    <n v="77"/>
    <x v="1"/>
    <n v="2.5000000000000001E-2"/>
    <n v="1976.52"/>
  </r>
  <r>
    <s v="VND-013"/>
    <s v="FreightKing"/>
    <s v="Logistics"/>
    <s v="North"/>
    <s v="INV-0418"/>
    <d v="2025-04-10T00:00:00"/>
    <d v="2025-07-09T00:00:00"/>
    <n v="90"/>
    <n v="46746.65"/>
    <n v="0"/>
    <n v="46746.65"/>
    <m/>
    <n v="52"/>
    <n v="0"/>
    <x v="0"/>
    <n v="0"/>
    <n v="0"/>
  </r>
  <r>
    <s v="VND-013"/>
    <s v="FreightKing"/>
    <s v="Logistics"/>
    <s v="North"/>
    <s v="INV-0419"/>
    <d v="2025-05-26T00:00:00"/>
    <d v="2025-06-10T00:00:00"/>
    <n v="15"/>
    <n v="6126.69"/>
    <n v="0"/>
    <n v="6126.69"/>
    <m/>
    <n v="6"/>
    <n v="0"/>
    <x v="0"/>
    <n v="0.02"/>
    <n v="0"/>
  </r>
  <r>
    <s v="VND-013"/>
    <s v="FreightKing"/>
    <s v="Logistics"/>
    <s v="North"/>
    <s v="INV-0420"/>
    <d v="2025-01-01T00:00:00"/>
    <d v="2025-01-16T00:00:00"/>
    <n v="15"/>
    <n v="78727.740000000005"/>
    <n v="0"/>
    <n v="78727.740000000005"/>
    <m/>
    <n v="151"/>
    <n v="136"/>
    <x v="3"/>
    <n v="0"/>
    <n v="0"/>
  </r>
  <r>
    <s v="VND-013"/>
    <s v="FreightKing"/>
    <s v="Logistics"/>
    <s v="North"/>
    <s v="INV-0421"/>
    <d v="2025-02-13T00:00:00"/>
    <d v="2025-03-15T00:00:00"/>
    <n v="30"/>
    <n v="21653.54"/>
    <n v="21653.54"/>
    <n v="0"/>
    <d v="2025-02-13T00:00:00"/>
    <n v="108"/>
    <n v="78"/>
    <x v="1"/>
    <n v="0"/>
    <n v="0"/>
  </r>
  <r>
    <s v="VND-013"/>
    <s v="FreightKing"/>
    <s v="Logistics"/>
    <s v="North"/>
    <s v="INV-0422"/>
    <d v="2025-02-23T00:00:00"/>
    <d v="2025-05-24T00:00:00"/>
    <n v="90"/>
    <n v="11689.69"/>
    <n v="11689.69"/>
    <n v="0"/>
    <d v="2025-06-22T00:00:00"/>
    <n v="98"/>
    <n v="8"/>
    <x v="1"/>
    <n v="2.5000000000000001E-2"/>
    <n v="0"/>
  </r>
  <r>
    <s v="VND-013"/>
    <s v="FreightKing"/>
    <s v="Logistics"/>
    <s v="North"/>
    <s v="INV-0423"/>
    <d v="2025-02-10T00:00:00"/>
    <d v="2025-03-12T00:00:00"/>
    <n v="30"/>
    <n v="25941.35"/>
    <n v="25941.35"/>
    <n v="0"/>
    <d v="2025-04-03T00:00:00"/>
    <n v="111"/>
    <n v="81"/>
    <x v="1"/>
    <n v="0.01"/>
    <n v="0"/>
  </r>
  <r>
    <s v="VND-013"/>
    <s v="FreightKing"/>
    <s v="Logistics"/>
    <s v="North"/>
    <s v="INV-0424"/>
    <d v="2025-01-31T00:00:00"/>
    <d v="2025-03-02T00:00:00"/>
    <n v="30"/>
    <n v="5994.34"/>
    <n v="0"/>
    <n v="5994.34"/>
    <m/>
    <n v="121"/>
    <n v="91"/>
    <x v="3"/>
    <n v="0"/>
    <n v="0"/>
  </r>
  <r>
    <s v="VND-013"/>
    <s v="FreightKing"/>
    <s v="Logistics"/>
    <s v="North"/>
    <s v="INV-0425"/>
    <d v="2025-03-12T00:00:00"/>
    <d v="2025-04-11T00:00:00"/>
    <n v="30"/>
    <n v="50004.39"/>
    <n v="0"/>
    <n v="50004.39"/>
    <m/>
    <n v="81"/>
    <n v="51"/>
    <x v="3"/>
    <n v="0.02"/>
    <n v="0"/>
  </r>
  <r>
    <s v="VND-013"/>
    <s v="FreightKing"/>
    <s v="Logistics"/>
    <s v="North"/>
    <s v="INV-0426"/>
    <d v="2025-05-10T00:00:00"/>
    <d v="2025-06-24T00:00:00"/>
    <n v="45"/>
    <n v="42463.1"/>
    <n v="0"/>
    <n v="42463.1"/>
    <m/>
    <n v="22"/>
    <n v="0"/>
    <x v="0"/>
    <n v="0.01"/>
    <n v="0"/>
  </r>
  <r>
    <s v="VND-013"/>
    <s v="FreightKing"/>
    <s v="Logistics"/>
    <s v="North"/>
    <s v="INV-0427"/>
    <d v="2025-01-04T00:00:00"/>
    <d v="2025-02-03T00:00:00"/>
    <n v="30"/>
    <n v="24020.54"/>
    <n v="24020.54"/>
    <n v="0"/>
    <d v="2025-01-26T00:00:00"/>
    <n v="148"/>
    <n v="118"/>
    <x v="1"/>
    <n v="0"/>
    <n v="0"/>
  </r>
  <r>
    <s v="VND-013"/>
    <s v="FreightKing"/>
    <s v="Logistics"/>
    <s v="North"/>
    <s v="INV-0428"/>
    <d v="2025-01-04T00:00:00"/>
    <d v="2025-03-05T00:00:00"/>
    <n v="60"/>
    <n v="63153.2"/>
    <n v="63153.2"/>
    <n v="0"/>
    <d v="2025-03-08T00:00:00"/>
    <n v="148"/>
    <n v="88"/>
    <x v="1"/>
    <n v="0"/>
    <n v="0"/>
  </r>
  <r>
    <s v="VND-013"/>
    <s v="FreightKing"/>
    <s v="Logistics"/>
    <s v="North"/>
    <s v="INV-0429"/>
    <d v="2024-12-24T00:00:00"/>
    <d v="2025-01-23T00:00:00"/>
    <n v="30"/>
    <n v="22657.69"/>
    <n v="22657.69"/>
    <n v="0"/>
    <d v="2025-02-11T00:00:00"/>
    <n v="159"/>
    <n v="129"/>
    <x v="1"/>
    <n v="2.5000000000000001E-2"/>
    <n v="0"/>
  </r>
  <r>
    <s v="VND-013"/>
    <s v="FreightKing"/>
    <s v="Logistics"/>
    <s v="North"/>
    <s v="INV-0430"/>
    <d v="2025-05-11T00:00:00"/>
    <d v="2025-06-25T00:00:00"/>
    <n v="45"/>
    <n v="50338.65"/>
    <n v="0"/>
    <n v="50338.65"/>
    <m/>
    <n v="21"/>
    <n v="0"/>
    <x v="0"/>
    <n v="0.01"/>
    <n v="0"/>
  </r>
  <r>
    <s v="VND-013"/>
    <s v="FreightKing"/>
    <s v="Logistics"/>
    <s v="North"/>
    <s v="INV-0431"/>
    <d v="2024-12-16T00:00:00"/>
    <d v="2025-03-16T00:00:00"/>
    <n v="90"/>
    <n v="47719.33"/>
    <n v="47719.33"/>
    <n v="0"/>
    <d v="2025-03-21T00:00:00"/>
    <n v="167"/>
    <n v="77"/>
    <x v="1"/>
    <n v="2.5000000000000001E-2"/>
    <n v="0"/>
  </r>
  <r>
    <s v="VND-013"/>
    <s v="FreightKing"/>
    <s v="Logistics"/>
    <s v="North"/>
    <s v="INV-0432"/>
    <d v="2025-02-01T00:00:00"/>
    <d v="2025-03-03T00:00:00"/>
    <n v="30"/>
    <n v="35859"/>
    <n v="35859"/>
    <n v="0"/>
    <d v="2025-02-09T00:00:00"/>
    <n v="120"/>
    <n v="90"/>
    <x v="1"/>
    <n v="0.02"/>
    <n v="717.18"/>
  </r>
  <r>
    <s v="VND-013"/>
    <s v="FreightKing"/>
    <s v="Logistics"/>
    <s v="North"/>
    <s v="INV-0433"/>
    <d v="2025-04-11T00:00:00"/>
    <d v="2025-04-26T00:00:00"/>
    <n v="15"/>
    <n v="69201.960000000006"/>
    <n v="0"/>
    <n v="69201.960000000006"/>
    <m/>
    <n v="51"/>
    <n v="36"/>
    <x v="3"/>
    <n v="0.02"/>
    <n v="0"/>
  </r>
  <r>
    <s v="VND-013"/>
    <s v="FreightKing"/>
    <s v="Logistics"/>
    <s v="North"/>
    <s v="INV-0434"/>
    <d v="2025-02-10T00:00:00"/>
    <d v="2025-05-11T00:00:00"/>
    <n v="90"/>
    <n v="26706.47"/>
    <n v="26706.47"/>
    <n v="0"/>
    <d v="2025-06-09T00:00:00"/>
    <n v="111"/>
    <n v="21"/>
    <x v="1"/>
    <n v="0.01"/>
    <n v="0"/>
  </r>
  <r>
    <s v="VND-013"/>
    <s v="FreightKing"/>
    <s v="Logistics"/>
    <s v="North"/>
    <s v="INV-0435"/>
    <d v="2025-05-10T00:00:00"/>
    <d v="2025-07-09T00:00:00"/>
    <n v="60"/>
    <n v="11462.99"/>
    <n v="0"/>
    <n v="11462.99"/>
    <m/>
    <n v="22"/>
    <n v="0"/>
    <x v="0"/>
    <n v="0.01"/>
    <n v="0"/>
  </r>
  <r>
    <s v="VND-013"/>
    <s v="FreightKing"/>
    <s v="Logistics"/>
    <s v="North"/>
    <s v="INV-0436"/>
    <d v="2025-03-05T00:00:00"/>
    <d v="2025-05-04T00:00:00"/>
    <n v="60"/>
    <n v="65111.3"/>
    <n v="65111.3"/>
    <n v="0"/>
    <d v="2025-04-16T00:00:00"/>
    <n v="88"/>
    <n v="28"/>
    <x v="1"/>
    <n v="2.5000000000000001E-2"/>
    <n v="1627.78"/>
  </r>
  <r>
    <s v="VND-013"/>
    <s v="FreightKing"/>
    <s v="Logistics"/>
    <s v="North"/>
    <s v="INV-0437"/>
    <d v="2025-01-28T00:00:00"/>
    <d v="2025-02-27T00:00:00"/>
    <n v="30"/>
    <n v="18765.45"/>
    <n v="4211.33"/>
    <n v="14554.12"/>
    <d v="2025-03-01T00:00:00"/>
    <n v="124"/>
    <n v="94"/>
    <x v="2"/>
    <n v="0.02"/>
    <n v="0"/>
  </r>
  <r>
    <s v="VND-013"/>
    <s v="FreightKing"/>
    <s v="Logistics"/>
    <s v="North"/>
    <s v="INV-0438"/>
    <d v="2025-02-05T00:00:00"/>
    <d v="2025-04-06T00:00:00"/>
    <n v="60"/>
    <n v="43514.54"/>
    <n v="43514.54"/>
    <n v="0"/>
    <d v="2025-04-26T00:00:00"/>
    <n v="116"/>
    <n v="56"/>
    <x v="1"/>
    <n v="0"/>
    <n v="0"/>
  </r>
  <r>
    <s v="VND-013"/>
    <s v="FreightKing"/>
    <s v="Logistics"/>
    <s v="North"/>
    <s v="INV-0439"/>
    <d v="2025-04-08T00:00:00"/>
    <d v="2025-05-23T00:00:00"/>
    <n v="45"/>
    <n v="62963.19"/>
    <n v="62963.19"/>
    <n v="0"/>
    <d v="2025-06-13T00:00:00"/>
    <n v="54"/>
    <n v="9"/>
    <x v="1"/>
    <n v="0"/>
    <n v="0"/>
  </r>
  <r>
    <s v="VND-013"/>
    <s v="FreightKing"/>
    <s v="Logistics"/>
    <s v="North"/>
    <s v="INV-0440"/>
    <d v="2025-05-11T00:00:00"/>
    <d v="2025-06-10T00:00:00"/>
    <n v="30"/>
    <n v="51386.1"/>
    <n v="0"/>
    <n v="51386.1"/>
    <m/>
    <n v="21"/>
    <n v="0"/>
    <x v="0"/>
    <n v="2.5000000000000001E-2"/>
    <n v="0"/>
  </r>
  <r>
    <s v="VND-013"/>
    <s v="FreightKing"/>
    <s v="Logistics"/>
    <s v="North"/>
    <s v="INV-0441"/>
    <d v="2025-05-24T00:00:00"/>
    <d v="2025-08-22T00:00:00"/>
    <n v="90"/>
    <n v="9507.23"/>
    <n v="0"/>
    <n v="9507.23"/>
    <m/>
    <n v="8"/>
    <n v="0"/>
    <x v="0"/>
    <n v="0.02"/>
    <n v="0"/>
  </r>
  <r>
    <s v="VND-013"/>
    <s v="FreightKing"/>
    <s v="Logistics"/>
    <s v="North"/>
    <s v="INV-0442"/>
    <d v="2025-05-06T00:00:00"/>
    <d v="2025-08-04T00:00:00"/>
    <n v="90"/>
    <n v="24551.34"/>
    <n v="0"/>
    <n v="24551.34"/>
    <m/>
    <n v="26"/>
    <n v="0"/>
    <x v="0"/>
    <n v="2.5000000000000001E-2"/>
    <n v="0"/>
  </r>
  <r>
    <s v="VND-013"/>
    <s v="FreightKing"/>
    <s v="Logistics"/>
    <s v="North"/>
    <s v="INV-0443"/>
    <d v="2024-12-06T00:00:00"/>
    <d v="2025-01-20T00:00:00"/>
    <n v="45"/>
    <n v="40717.129999999997"/>
    <n v="40717.129999999997"/>
    <n v="0"/>
    <d v="2025-01-08T00:00:00"/>
    <n v="177"/>
    <n v="132"/>
    <x v="1"/>
    <n v="0"/>
    <n v="0"/>
  </r>
  <r>
    <s v="VND-013"/>
    <s v="FreightKing"/>
    <s v="Logistics"/>
    <s v="North"/>
    <s v="INV-0444"/>
    <d v="2024-12-14T00:00:00"/>
    <d v="2025-02-12T00:00:00"/>
    <n v="60"/>
    <n v="25862.720000000001"/>
    <n v="25862.720000000001"/>
    <n v="0"/>
    <d v="2025-02-06T00:00:00"/>
    <n v="169"/>
    <n v="109"/>
    <x v="1"/>
    <n v="0.02"/>
    <n v="517.25"/>
  </r>
  <r>
    <s v="VND-014"/>
    <s v="FacilityPro"/>
    <s v="Services"/>
    <s v="North"/>
    <s v="INV-0445"/>
    <d v="2024-12-03T00:00:00"/>
    <d v="2025-03-03T00:00:00"/>
    <n v="90"/>
    <n v="18173.240000000002"/>
    <n v="18173.240000000002"/>
    <n v="0"/>
    <d v="2024-12-06T00:00:00"/>
    <n v="180"/>
    <n v="90"/>
    <x v="1"/>
    <n v="0.02"/>
    <n v="363.46"/>
  </r>
  <r>
    <s v="VND-014"/>
    <s v="FacilityPro"/>
    <s v="Services"/>
    <s v="North"/>
    <s v="INV-0446"/>
    <d v="2025-01-09T00:00:00"/>
    <d v="2025-03-10T00:00:00"/>
    <n v="60"/>
    <n v="1598.87"/>
    <n v="1229.8599999999999"/>
    <n v="369.01"/>
    <d v="2025-02-19T00:00:00"/>
    <n v="143"/>
    <n v="83"/>
    <x v="2"/>
    <n v="0"/>
    <n v="0"/>
  </r>
  <r>
    <s v="VND-014"/>
    <s v="FacilityPro"/>
    <s v="Services"/>
    <s v="North"/>
    <s v="INV-0447"/>
    <d v="2025-05-25T00:00:00"/>
    <d v="2025-07-09T00:00:00"/>
    <n v="45"/>
    <n v="25618.99"/>
    <n v="0"/>
    <n v="25618.99"/>
    <m/>
    <n v="7"/>
    <n v="0"/>
    <x v="0"/>
    <n v="2.5000000000000001E-2"/>
    <n v="0"/>
  </r>
  <r>
    <s v="VND-014"/>
    <s v="FacilityPro"/>
    <s v="Services"/>
    <s v="North"/>
    <s v="INV-0448"/>
    <d v="2025-02-09T00:00:00"/>
    <d v="2025-02-24T00:00:00"/>
    <n v="15"/>
    <n v="2399.44"/>
    <n v="2399.44"/>
    <n v="0"/>
    <d v="2025-02-15T00:00:00"/>
    <n v="112"/>
    <n v="97"/>
    <x v="1"/>
    <n v="2.5000000000000001E-2"/>
    <n v="59.99"/>
  </r>
  <r>
    <s v="VND-014"/>
    <s v="FacilityPro"/>
    <s v="Services"/>
    <s v="North"/>
    <s v="INV-0449"/>
    <d v="2025-03-28T00:00:00"/>
    <d v="2025-04-12T00:00:00"/>
    <n v="15"/>
    <n v="64005.7"/>
    <n v="64005.7"/>
    <n v="0"/>
    <d v="2025-04-17T00:00:00"/>
    <n v="65"/>
    <n v="50"/>
    <x v="1"/>
    <n v="0.02"/>
    <n v="0"/>
  </r>
  <r>
    <s v="VND-014"/>
    <s v="FacilityPro"/>
    <s v="Services"/>
    <s v="North"/>
    <s v="INV-0450"/>
    <d v="2025-04-27T00:00:00"/>
    <d v="2025-05-12T00:00:00"/>
    <n v="15"/>
    <n v="64291.57"/>
    <n v="64291.57"/>
    <n v="0"/>
    <d v="2025-05-03T00:00:00"/>
    <n v="35"/>
    <n v="20"/>
    <x v="1"/>
    <n v="0.02"/>
    <n v="1285.83"/>
  </r>
  <r>
    <s v="VND-014"/>
    <s v="FacilityPro"/>
    <s v="Services"/>
    <s v="North"/>
    <s v="INV-0451"/>
    <d v="2025-03-21T00:00:00"/>
    <d v="2025-06-19T00:00:00"/>
    <n v="90"/>
    <n v="34562.31"/>
    <n v="0"/>
    <n v="34562.31"/>
    <m/>
    <n v="72"/>
    <n v="0"/>
    <x v="0"/>
    <n v="2.5000000000000001E-2"/>
    <n v="0"/>
  </r>
  <r>
    <s v="VND-014"/>
    <s v="FacilityPro"/>
    <s v="Services"/>
    <s v="North"/>
    <s v="INV-0452"/>
    <d v="2025-04-11T00:00:00"/>
    <d v="2025-05-11T00:00:00"/>
    <n v="30"/>
    <n v="55034.65"/>
    <n v="55034.65"/>
    <n v="0"/>
    <d v="2025-05-31T00:00:00"/>
    <n v="51"/>
    <n v="21"/>
    <x v="1"/>
    <n v="0.02"/>
    <n v="0"/>
  </r>
  <r>
    <s v="VND-014"/>
    <s v="FacilityPro"/>
    <s v="Services"/>
    <s v="North"/>
    <s v="INV-0453"/>
    <d v="2025-02-04T00:00:00"/>
    <d v="2025-04-05T00:00:00"/>
    <n v="60"/>
    <n v="72171.740000000005"/>
    <n v="72171.740000000005"/>
    <n v="0"/>
    <d v="2025-04-06T00:00:00"/>
    <n v="117"/>
    <n v="57"/>
    <x v="1"/>
    <n v="0.02"/>
    <n v="0"/>
  </r>
  <r>
    <s v="VND-014"/>
    <s v="FacilityPro"/>
    <s v="Services"/>
    <s v="North"/>
    <s v="INV-0454"/>
    <d v="2025-01-25T00:00:00"/>
    <d v="2025-02-24T00:00:00"/>
    <n v="30"/>
    <n v="37108.949999999997"/>
    <n v="37108.949999999997"/>
    <n v="0"/>
    <d v="2025-02-16T00:00:00"/>
    <n v="127"/>
    <n v="97"/>
    <x v="1"/>
    <n v="0"/>
    <n v="0"/>
  </r>
  <r>
    <s v="VND-014"/>
    <s v="FacilityPro"/>
    <s v="Services"/>
    <s v="North"/>
    <s v="INV-0455"/>
    <d v="2025-01-11T00:00:00"/>
    <d v="2025-01-26T00:00:00"/>
    <n v="15"/>
    <n v="4441.0200000000004"/>
    <n v="4441.0200000000004"/>
    <n v="0"/>
    <d v="2025-02-03T00:00:00"/>
    <n v="141"/>
    <n v="126"/>
    <x v="1"/>
    <n v="2.5000000000000001E-2"/>
    <n v="0"/>
  </r>
  <r>
    <s v="VND-014"/>
    <s v="FacilityPro"/>
    <s v="Services"/>
    <s v="North"/>
    <s v="INV-0456"/>
    <d v="2024-12-03T00:00:00"/>
    <d v="2025-02-01T00:00:00"/>
    <n v="60"/>
    <n v="24755.599999999999"/>
    <n v="24755.599999999999"/>
    <n v="0"/>
    <d v="2025-02-09T00:00:00"/>
    <n v="180"/>
    <n v="120"/>
    <x v="1"/>
    <n v="0"/>
    <n v="0"/>
  </r>
  <r>
    <s v="VND-014"/>
    <s v="FacilityPro"/>
    <s v="Services"/>
    <s v="North"/>
    <s v="INV-0457"/>
    <d v="2025-04-17T00:00:00"/>
    <d v="2025-05-17T00:00:00"/>
    <n v="30"/>
    <n v="28839.05"/>
    <n v="28839.05"/>
    <n v="0"/>
    <d v="2025-05-04T00:00:00"/>
    <n v="45"/>
    <n v="15"/>
    <x v="1"/>
    <n v="0.02"/>
    <n v="576.78"/>
  </r>
  <r>
    <s v="VND-014"/>
    <s v="FacilityPro"/>
    <s v="Services"/>
    <s v="North"/>
    <s v="INV-0458"/>
    <d v="2025-03-13T00:00:00"/>
    <d v="2025-04-27T00:00:00"/>
    <n v="45"/>
    <n v="29550.17"/>
    <n v="29550.17"/>
    <n v="0"/>
    <d v="2025-05-23T00:00:00"/>
    <n v="80"/>
    <n v="35"/>
    <x v="1"/>
    <n v="2.5000000000000001E-2"/>
    <n v="0"/>
  </r>
  <r>
    <s v="VND-014"/>
    <s v="FacilityPro"/>
    <s v="Services"/>
    <s v="North"/>
    <s v="INV-0459"/>
    <d v="2025-01-14T00:00:00"/>
    <d v="2025-02-28T00:00:00"/>
    <n v="45"/>
    <n v="71334.52"/>
    <n v="71334.52"/>
    <n v="0"/>
    <d v="2025-03-15T00:00:00"/>
    <n v="138"/>
    <n v="93"/>
    <x v="1"/>
    <n v="0"/>
    <n v="0"/>
  </r>
  <r>
    <s v="VND-014"/>
    <s v="FacilityPro"/>
    <s v="Services"/>
    <s v="North"/>
    <s v="INV-0460"/>
    <d v="2025-01-20T00:00:00"/>
    <d v="2025-03-21T00:00:00"/>
    <n v="60"/>
    <n v="30727.67"/>
    <n v="0"/>
    <n v="30727.67"/>
    <m/>
    <n v="132"/>
    <n v="72"/>
    <x v="3"/>
    <n v="0.02"/>
    <n v="0"/>
  </r>
  <r>
    <s v="VND-014"/>
    <s v="FacilityPro"/>
    <s v="Services"/>
    <s v="North"/>
    <s v="INV-0461"/>
    <d v="2025-05-11T00:00:00"/>
    <d v="2025-07-10T00:00:00"/>
    <n v="60"/>
    <n v="23019.39"/>
    <n v="0"/>
    <n v="23019.39"/>
    <m/>
    <n v="21"/>
    <n v="0"/>
    <x v="0"/>
    <n v="0.02"/>
    <n v="0"/>
  </r>
  <r>
    <s v="VND-014"/>
    <s v="FacilityPro"/>
    <s v="Services"/>
    <s v="North"/>
    <s v="INV-0462"/>
    <d v="2025-02-17T00:00:00"/>
    <d v="2025-05-18T00:00:00"/>
    <n v="90"/>
    <n v="33625.64"/>
    <n v="10234.969999999999"/>
    <n v="23390.67"/>
    <d v="2025-03-28T00:00:00"/>
    <n v="104"/>
    <n v="14"/>
    <x v="2"/>
    <n v="0.02"/>
    <n v="0"/>
  </r>
  <r>
    <s v="VND-014"/>
    <s v="FacilityPro"/>
    <s v="Services"/>
    <s v="North"/>
    <s v="INV-0463"/>
    <d v="2024-12-29T00:00:00"/>
    <d v="2025-02-27T00:00:00"/>
    <n v="60"/>
    <n v="22620.74"/>
    <n v="22620.74"/>
    <n v="0"/>
    <d v="2025-01-05T00:00:00"/>
    <n v="154"/>
    <n v="94"/>
    <x v="1"/>
    <n v="0.02"/>
    <n v="452.41"/>
  </r>
  <r>
    <s v="VND-014"/>
    <s v="FacilityPro"/>
    <s v="Services"/>
    <s v="North"/>
    <s v="INV-0464"/>
    <d v="2025-03-25T00:00:00"/>
    <d v="2025-04-24T00:00:00"/>
    <n v="30"/>
    <n v="62477.33"/>
    <n v="39509.17"/>
    <n v="22968.16"/>
    <d v="2025-05-20T00:00:00"/>
    <n v="68"/>
    <n v="38"/>
    <x v="2"/>
    <n v="2.5000000000000001E-2"/>
    <n v="0"/>
  </r>
  <r>
    <s v="VND-014"/>
    <s v="FacilityPro"/>
    <s v="Services"/>
    <s v="North"/>
    <s v="INV-0465"/>
    <d v="2025-02-20T00:00:00"/>
    <d v="2025-04-21T00:00:00"/>
    <n v="60"/>
    <n v="22990.66"/>
    <n v="10175.290000000001"/>
    <n v="12815.37"/>
    <d v="2025-03-23T00:00:00"/>
    <n v="101"/>
    <n v="41"/>
    <x v="2"/>
    <n v="0.01"/>
    <n v="0"/>
  </r>
  <r>
    <s v="VND-014"/>
    <s v="FacilityPro"/>
    <s v="Services"/>
    <s v="North"/>
    <s v="INV-0466"/>
    <d v="2025-04-18T00:00:00"/>
    <d v="2025-05-03T00:00:00"/>
    <n v="15"/>
    <n v="49451.040000000001"/>
    <n v="49451.040000000001"/>
    <n v="0"/>
    <d v="2025-04-21T00:00:00"/>
    <n v="44"/>
    <n v="29"/>
    <x v="1"/>
    <n v="2.5000000000000001E-2"/>
    <n v="1236.28"/>
  </r>
  <r>
    <s v="VND-014"/>
    <s v="FacilityPro"/>
    <s v="Services"/>
    <s v="North"/>
    <s v="INV-0467"/>
    <d v="2024-12-23T00:00:00"/>
    <d v="2025-01-22T00:00:00"/>
    <n v="30"/>
    <n v="51868.83"/>
    <n v="0"/>
    <n v="51868.83"/>
    <m/>
    <n v="160"/>
    <n v="130"/>
    <x v="3"/>
    <n v="0.02"/>
    <n v="0"/>
  </r>
  <r>
    <s v="VND-014"/>
    <s v="FacilityPro"/>
    <s v="Services"/>
    <s v="North"/>
    <s v="INV-0468"/>
    <d v="2025-02-08T00:00:00"/>
    <d v="2025-05-09T00:00:00"/>
    <n v="90"/>
    <n v="5115.17"/>
    <n v="5115.17"/>
    <n v="0"/>
    <d v="2025-05-31T00:00:00"/>
    <n v="113"/>
    <n v="23"/>
    <x v="1"/>
    <n v="0"/>
    <n v="0"/>
  </r>
  <r>
    <s v="VND-014"/>
    <s v="FacilityPro"/>
    <s v="Services"/>
    <s v="North"/>
    <s v="INV-0469"/>
    <d v="2025-03-07T00:00:00"/>
    <d v="2025-06-05T00:00:00"/>
    <n v="90"/>
    <n v="58767.8"/>
    <n v="0"/>
    <n v="58767.8"/>
    <m/>
    <n v="86"/>
    <n v="0"/>
    <x v="0"/>
    <n v="0.01"/>
    <n v="0"/>
  </r>
  <r>
    <s v="VND-014"/>
    <s v="FacilityPro"/>
    <s v="Services"/>
    <s v="North"/>
    <s v="INV-0470"/>
    <d v="2025-02-04T00:00:00"/>
    <d v="2025-04-05T00:00:00"/>
    <n v="60"/>
    <n v="17166.3"/>
    <n v="17166.3"/>
    <n v="0"/>
    <d v="2025-02-25T00:00:00"/>
    <n v="117"/>
    <n v="57"/>
    <x v="1"/>
    <n v="0.01"/>
    <n v="171.66"/>
  </r>
  <r>
    <s v="VND-014"/>
    <s v="FacilityPro"/>
    <s v="Services"/>
    <s v="North"/>
    <s v="INV-0471"/>
    <d v="2025-05-04T00:00:00"/>
    <d v="2025-08-02T00:00:00"/>
    <n v="90"/>
    <n v="6834.32"/>
    <n v="0"/>
    <n v="6834.32"/>
    <m/>
    <n v="28"/>
    <n v="0"/>
    <x v="0"/>
    <n v="0"/>
    <n v="0"/>
  </r>
  <r>
    <s v="VND-014"/>
    <s v="FacilityPro"/>
    <s v="Services"/>
    <s v="North"/>
    <s v="INV-0472"/>
    <d v="2025-02-07T00:00:00"/>
    <d v="2025-03-09T00:00:00"/>
    <n v="30"/>
    <n v="48294.74"/>
    <n v="48294.74"/>
    <n v="0"/>
    <d v="2025-03-18T00:00:00"/>
    <n v="114"/>
    <n v="84"/>
    <x v="1"/>
    <n v="2.5000000000000001E-2"/>
    <n v="0"/>
  </r>
  <r>
    <s v="VND-014"/>
    <s v="FacilityPro"/>
    <s v="Services"/>
    <s v="North"/>
    <s v="INV-0473"/>
    <d v="2025-04-30T00:00:00"/>
    <d v="2025-05-15T00:00:00"/>
    <n v="15"/>
    <n v="27771.8"/>
    <n v="27771.8"/>
    <n v="0"/>
    <d v="2025-05-08T00:00:00"/>
    <n v="32"/>
    <n v="17"/>
    <x v="1"/>
    <n v="0"/>
    <n v="0"/>
  </r>
  <r>
    <s v="VND-014"/>
    <s v="FacilityPro"/>
    <s v="Services"/>
    <s v="North"/>
    <s v="INV-0474"/>
    <d v="2025-04-16T00:00:00"/>
    <d v="2025-06-15T00:00:00"/>
    <n v="60"/>
    <n v="55453.78"/>
    <n v="0"/>
    <n v="55453.78"/>
    <m/>
    <n v="46"/>
    <n v="0"/>
    <x v="0"/>
    <n v="2.5000000000000001E-2"/>
    <n v="0"/>
  </r>
  <r>
    <s v="VND-014"/>
    <s v="FacilityPro"/>
    <s v="Services"/>
    <s v="North"/>
    <s v="INV-0475"/>
    <d v="2025-01-20T00:00:00"/>
    <d v="2025-04-20T00:00:00"/>
    <n v="90"/>
    <n v="13151.82"/>
    <n v="0"/>
    <n v="13151.82"/>
    <m/>
    <n v="132"/>
    <n v="42"/>
    <x v="3"/>
    <n v="2.5000000000000001E-2"/>
    <n v="0"/>
  </r>
  <r>
    <s v="VND-014"/>
    <s v="FacilityPro"/>
    <s v="Services"/>
    <s v="North"/>
    <s v="INV-0476"/>
    <d v="2025-04-28T00:00:00"/>
    <d v="2025-05-28T00:00:00"/>
    <n v="30"/>
    <n v="41799.279999999999"/>
    <n v="41799.279999999999"/>
    <n v="0"/>
    <d v="2025-05-07T00:00:00"/>
    <n v="34"/>
    <n v="4"/>
    <x v="1"/>
    <n v="2.5000000000000001E-2"/>
    <n v="1044.98"/>
  </r>
  <r>
    <s v="VND-015"/>
    <s v="PowerGrid SA"/>
    <s v="Utilities"/>
    <s v="North"/>
    <s v="INV-0477"/>
    <d v="2025-01-29T00:00:00"/>
    <d v="2025-03-30T00:00:00"/>
    <n v="60"/>
    <n v="68290.78"/>
    <n v="68290.78"/>
    <n v="0"/>
    <d v="2025-04-11T00:00:00"/>
    <n v="123"/>
    <n v="63"/>
    <x v="1"/>
    <n v="0"/>
    <n v="0"/>
  </r>
  <r>
    <s v="VND-015"/>
    <s v="PowerGrid SA"/>
    <s v="Utilities"/>
    <s v="North"/>
    <s v="INV-0478"/>
    <d v="2025-05-16T00:00:00"/>
    <d v="2025-07-15T00:00:00"/>
    <n v="60"/>
    <n v="45232.160000000003"/>
    <n v="0"/>
    <n v="45232.160000000003"/>
    <m/>
    <n v="16"/>
    <n v="0"/>
    <x v="0"/>
    <n v="2.5000000000000001E-2"/>
    <n v="0"/>
  </r>
  <r>
    <s v="VND-015"/>
    <s v="PowerGrid SA"/>
    <s v="Utilities"/>
    <s v="North"/>
    <s v="INV-0479"/>
    <d v="2025-03-27T00:00:00"/>
    <d v="2025-06-25T00:00:00"/>
    <n v="90"/>
    <n v="27267.07"/>
    <n v="0"/>
    <n v="27267.07"/>
    <m/>
    <n v="66"/>
    <n v="0"/>
    <x v="0"/>
    <n v="2.5000000000000001E-2"/>
    <n v="0"/>
  </r>
  <r>
    <s v="VND-015"/>
    <s v="PowerGrid SA"/>
    <s v="Utilities"/>
    <s v="North"/>
    <s v="INV-0480"/>
    <d v="2024-12-20T00:00:00"/>
    <d v="2025-03-20T00:00:00"/>
    <n v="90"/>
    <n v="23866.240000000002"/>
    <n v="23866.240000000002"/>
    <n v="0"/>
    <d v="2025-01-02T00:00:00"/>
    <n v="163"/>
    <n v="73"/>
    <x v="1"/>
    <n v="0.01"/>
    <n v="238.66"/>
  </r>
  <r>
    <s v="VND-015"/>
    <s v="PowerGrid SA"/>
    <s v="Utilities"/>
    <s v="North"/>
    <s v="INV-0481"/>
    <d v="2025-04-30T00:00:00"/>
    <d v="2025-05-30T00:00:00"/>
    <n v="30"/>
    <n v="76629.58"/>
    <n v="0"/>
    <n v="76629.58"/>
    <m/>
    <n v="32"/>
    <n v="2"/>
    <x v="3"/>
    <n v="0.02"/>
    <n v="0"/>
  </r>
  <r>
    <s v="VND-015"/>
    <s v="PowerGrid SA"/>
    <s v="Utilities"/>
    <s v="North"/>
    <s v="INV-0482"/>
    <d v="2024-12-31T00:00:00"/>
    <d v="2025-01-30T00:00:00"/>
    <n v="30"/>
    <n v="25811.93"/>
    <n v="25811.93"/>
    <n v="0"/>
    <d v="2025-01-16T00:00:00"/>
    <n v="152"/>
    <n v="122"/>
    <x v="1"/>
    <n v="0"/>
    <n v="0"/>
  </r>
  <r>
    <s v="VND-015"/>
    <s v="PowerGrid SA"/>
    <s v="Utilities"/>
    <s v="North"/>
    <s v="INV-0483"/>
    <d v="2025-04-23T00:00:00"/>
    <d v="2025-07-22T00:00:00"/>
    <n v="90"/>
    <n v="61550.42"/>
    <n v="0"/>
    <n v="61550.42"/>
    <m/>
    <n v="39"/>
    <n v="0"/>
    <x v="0"/>
    <n v="0.02"/>
    <n v="0"/>
  </r>
  <r>
    <s v="VND-015"/>
    <s v="PowerGrid SA"/>
    <s v="Utilities"/>
    <s v="North"/>
    <s v="INV-0484"/>
    <d v="2025-04-23T00:00:00"/>
    <d v="2025-07-22T00:00:00"/>
    <n v="90"/>
    <n v="23614.12"/>
    <n v="0"/>
    <n v="23614.12"/>
    <m/>
    <n v="39"/>
    <n v="0"/>
    <x v="0"/>
    <n v="0.02"/>
    <n v="0"/>
  </r>
  <r>
    <s v="VND-015"/>
    <s v="PowerGrid SA"/>
    <s v="Utilities"/>
    <s v="North"/>
    <s v="INV-0485"/>
    <d v="2025-02-18T00:00:00"/>
    <d v="2025-04-04T00:00:00"/>
    <n v="45"/>
    <n v="1724.93"/>
    <n v="1330.31"/>
    <n v="394.62"/>
    <d v="2025-03-29T00:00:00"/>
    <n v="103"/>
    <n v="58"/>
    <x v="2"/>
    <n v="0.01"/>
    <n v="0"/>
  </r>
  <r>
    <s v="VND-015"/>
    <s v="PowerGrid SA"/>
    <s v="Utilities"/>
    <s v="North"/>
    <s v="INV-0486"/>
    <d v="2025-05-23T00:00:00"/>
    <d v="2025-07-07T00:00:00"/>
    <n v="45"/>
    <n v="1690.26"/>
    <n v="0"/>
    <n v="1690.26"/>
    <m/>
    <n v="9"/>
    <n v="0"/>
    <x v="0"/>
    <n v="2.5000000000000001E-2"/>
    <n v="0"/>
  </r>
  <r>
    <s v="VND-015"/>
    <s v="PowerGrid SA"/>
    <s v="Utilities"/>
    <s v="North"/>
    <s v="INV-0487"/>
    <d v="2025-04-30T00:00:00"/>
    <d v="2025-06-14T00:00:00"/>
    <n v="45"/>
    <n v="57643.73"/>
    <n v="0"/>
    <n v="57643.73"/>
    <m/>
    <n v="32"/>
    <n v="0"/>
    <x v="0"/>
    <n v="0.02"/>
    <n v="0"/>
  </r>
  <r>
    <s v="VND-015"/>
    <s v="PowerGrid SA"/>
    <s v="Utilities"/>
    <s v="North"/>
    <s v="INV-0488"/>
    <d v="2025-03-01T00:00:00"/>
    <d v="2025-03-16T00:00:00"/>
    <n v="15"/>
    <n v="43194.28"/>
    <n v="43194.28"/>
    <n v="0"/>
    <d v="2025-03-06T00:00:00"/>
    <n v="92"/>
    <n v="77"/>
    <x v="1"/>
    <n v="0"/>
    <n v="0"/>
  </r>
  <r>
    <s v="VND-015"/>
    <s v="PowerGrid SA"/>
    <s v="Utilities"/>
    <s v="North"/>
    <s v="INV-0489"/>
    <d v="2025-05-18T00:00:00"/>
    <d v="2025-08-16T00:00:00"/>
    <n v="90"/>
    <n v="3689.99"/>
    <n v="0"/>
    <n v="3689.99"/>
    <m/>
    <n v="14"/>
    <n v="0"/>
    <x v="0"/>
    <n v="0.01"/>
    <n v="0"/>
  </r>
  <r>
    <s v="VND-015"/>
    <s v="PowerGrid SA"/>
    <s v="Utilities"/>
    <s v="North"/>
    <s v="INV-0490"/>
    <d v="2025-03-14T00:00:00"/>
    <d v="2025-04-28T00:00:00"/>
    <n v="45"/>
    <n v="15961.54"/>
    <n v="15961.54"/>
    <n v="0"/>
    <d v="2025-05-02T00:00:00"/>
    <n v="79"/>
    <n v="34"/>
    <x v="1"/>
    <n v="0.02"/>
    <n v="0"/>
  </r>
  <r>
    <s v="VND-015"/>
    <s v="PowerGrid SA"/>
    <s v="Utilities"/>
    <s v="North"/>
    <s v="INV-0491"/>
    <d v="2025-03-18T00:00:00"/>
    <d v="2025-04-17T00:00:00"/>
    <n v="30"/>
    <n v="6858.65"/>
    <n v="6858.65"/>
    <n v="0"/>
    <d v="2025-05-15T00:00:00"/>
    <n v="75"/>
    <n v="45"/>
    <x v="1"/>
    <n v="0.02"/>
    <n v="0"/>
  </r>
  <r>
    <s v="VND-015"/>
    <s v="PowerGrid SA"/>
    <s v="Utilities"/>
    <s v="North"/>
    <s v="INV-0492"/>
    <d v="2025-04-14T00:00:00"/>
    <d v="2025-07-13T00:00:00"/>
    <n v="90"/>
    <n v="73166.259999999995"/>
    <n v="0"/>
    <n v="73166.259999999995"/>
    <m/>
    <n v="48"/>
    <n v="0"/>
    <x v="0"/>
    <n v="2.5000000000000001E-2"/>
    <n v="0"/>
  </r>
  <r>
    <s v="VND-015"/>
    <s v="PowerGrid SA"/>
    <s v="Utilities"/>
    <s v="North"/>
    <s v="INV-0493"/>
    <d v="2025-04-30T00:00:00"/>
    <d v="2025-07-29T00:00:00"/>
    <n v="90"/>
    <n v="42474.16"/>
    <n v="0"/>
    <n v="42474.16"/>
    <m/>
    <n v="32"/>
    <n v="0"/>
    <x v="0"/>
    <n v="0.02"/>
    <n v="0"/>
  </r>
  <r>
    <s v="VND-015"/>
    <s v="PowerGrid SA"/>
    <s v="Utilities"/>
    <s v="North"/>
    <s v="INV-0494"/>
    <d v="2025-04-14T00:00:00"/>
    <d v="2025-07-13T00:00:00"/>
    <n v="90"/>
    <n v="57588.18"/>
    <n v="0"/>
    <n v="57588.18"/>
    <m/>
    <n v="48"/>
    <n v="0"/>
    <x v="0"/>
    <n v="2.5000000000000001E-2"/>
    <n v="0"/>
  </r>
  <r>
    <s v="VND-015"/>
    <s v="PowerGrid SA"/>
    <s v="Utilities"/>
    <s v="North"/>
    <s v="INV-0495"/>
    <d v="2025-03-04T00:00:00"/>
    <d v="2025-05-03T00:00:00"/>
    <n v="60"/>
    <n v="44196.99"/>
    <n v="44196.99"/>
    <n v="0"/>
    <d v="2025-05-06T00:00:00"/>
    <n v="89"/>
    <n v="29"/>
    <x v="1"/>
    <n v="0.01"/>
    <n v="0"/>
  </r>
  <r>
    <s v="VND-015"/>
    <s v="PowerGrid SA"/>
    <s v="Utilities"/>
    <s v="North"/>
    <s v="INV-0496"/>
    <d v="2024-12-14T00:00:00"/>
    <d v="2025-03-14T00:00:00"/>
    <n v="90"/>
    <n v="29956.560000000001"/>
    <n v="29956.560000000001"/>
    <n v="0"/>
    <d v="2025-02-05T00:00:00"/>
    <n v="169"/>
    <n v="79"/>
    <x v="1"/>
    <n v="0"/>
    <n v="0"/>
  </r>
  <r>
    <s v="VND-015"/>
    <s v="PowerGrid SA"/>
    <s v="Utilities"/>
    <s v="North"/>
    <s v="INV-0497"/>
    <d v="2025-01-16T00:00:00"/>
    <d v="2025-02-15T00:00:00"/>
    <n v="30"/>
    <n v="47490.39"/>
    <n v="47490.39"/>
    <n v="0"/>
    <d v="2025-01-24T00:00:00"/>
    <n v="136"/>
    <n v="106"/>
    <x v="1"/>
    <n v="0.02"/>
    <n v="949.81"/>
  </r>
  <r>
    <s v="VND-015"/>
    <s v="PowerGrid SA"/>
    <s v="Utilities"/>
    <s v="North"/>
    <s v="INV-0498"/>
    <d v="2025-05-19T00:00:00"/>
    <d v="2025-07-18T00:00:00"/>
    <n v="60"/>
    <n v="66279.360000000001"/>
    <n v="0"/>
    <n v="66279.360000000001"/>
    <m/>
    <n v="13"/>
    <n v="0"/>
    <x v="0"/>
    <n v="2.5000000000000001E-2"/>
    <n v="0"/>
  </r>
  <r>
    <s v="VND-015"/>
    <s v="PowerGrid SA"/>
    <s v="Utilities"/>
    <s v="North"/>
    <s v="INV-0499"/>
    <d v="2025-01-17T00:00:00"/>
    <d v="2025-03-03T00:00:00"/>
    <n v="45"/>
    <n v="33610.93"/>
    <n v="12019.08"/>
    <n v="21591.85"/>
    <d v="2025-05-04T00:00:00"/>
    <n v="135"/>
    <n v="90"/>
    <x v="2"/>
    <n v="2.5000000000000001E-2"/>
    <n v="0"/>
  </r>
  <r>
    <s v="VND-015"/>
    <s v="PowerGrid SA"/>
    <s v="Utilities"/>
    <s v="North"/>
    <s v="INV-0500"/>
    <d v="2025-04-19T00:00:00"/>
    <d v="2025-06-18T00:00:00"/>
    <n v="60"/>
    <n v="9872.34"/>
    <n v="0"/>
    <n v="9872.34"/>
    <m/>
    <n v="43"/>
    <n v="0"/>
    <x v="0"/>
    <n v="0"/>
    <n v="0"/>
  </r>
  <r>
    <s v="VND-015"/>
    <s v="PowerGrid SA"/>
    <s v="Utilities"/>
    <s v="North"/>
    <s v="INV-0501"/>
    <d v="2025-02-04T00:00:00"/>
    <d v="2025-04-05T00:00:00"/>
    <n v="60"/>
    <n v="12187.61"/>
    <n v="0"/>
    <n v="12187.61"/>
    <m/>
    <n v="117"/>
    <n v="57"/>
    <x v="3"/>
    <n v="0.02"/>
    <n v="0"/>
  </r>
  <r>
    <s v="VND-015"/>
    <s v="PowerGrid SA"/>
    <s v="Utilities"/>
    <s v="North"/>
    <s v="INV-0502"/>
    <d v="2025-05-09T00:00:00"/>
    <d v="2025-06-08T00:00:00"/>
    <n v="30"/>
    <n v="56637.05"/>
    <n v="0"/>
    <n v="56637.05"/>
    <m/>
    <n v="23"/>
    <n v="0"/>
    <x v="0"/>
    <n v="0.01"/>
    <n v="0"/>
  </r>
  <r>
    <s v="VND-015"/>
    <s v="PowerGrid SA"/>
    <s v="Utilities"/>
    <s v="North"/>
    <s v="INV-0503"/>
    <d v="2025-01-19T00:00:00"/>
    <d v="2025-03-05T00:00:00"/>
    <n v="45"/>
    <n v="35746.589999999997"/>
    <n v="35746.589999999997"/>
    <n v="0"/>
    <d v="2025-03-15T00:00:00"/>
    <n v="133"/>
    <n v="88"/>
    <x v="1"/>
    <n v="2.5000000000000001E-2"/>
    <n v="0"/>
  </r>
  <r>
    <s v="VND-015"/>
    <s v="PowerGrid SA"/>
    <s v="Utilities"/>
    <s v="North"/>
    <s v="INV-0504"/>
    <d v="2024-12-31T00:00:00"/>
    <d v="2025-03-01T00:00:00"/>
    <n v="60"/>
    <n v="60118.22"/>
    <n v="39724.07"/>
    <n v="20394.150000000001"/>
    <d v="2025-02-26T00:00:00"/>
    <n v="152"/>
    <n v="92"/>
    <x v="2"/>
    <n v="0.02"/>
    <n v="0"/>
  </r>
  <r>
    <s v="VND-015"/>
    <s v="PowerGrid SA"/>
    <s v="Utilities"/>
    <s v="North"/>
    <s v="INV-0505"/>
    <d v="2025-01-11T00:00:00"/>
    <d v="2025-03-12T00:00:00"/>
    <n v="60"/>
    <n v="18944.43"/>
    <n v="18944.43"/>
    <n v="0"/>
    <d v="2025-03-16T00:00:00"/>
    <n v="141"/>
    <n v="81"/>
    <x v="1"/>
    <n v="2.5000000000000001E-2"/>
    <n v="0"/>
  </r>
  <r>
    <s v="VND-015"/>
    <s v="PowerGrid SA"/>
    <s v="Utilities"/>
    <s v="North"/>
    <s v="INV-0506"/>
    <d v="2025-04-16T00:00:00"/>
    <d v="2025-06-15T00:00:00"/>
    <n v="60"/>
    <n v="35170.78"/>
    <n v="0"/>
    <n v="35170.78"/>
    <m/>
    <n v="46"/>
    <n v="0"/>
    <x v="0"/>
    <n v="0.02"/>
    <n v="0"/>
  </r>
  <r>
    <s v="VND-015"/>
    <s v="PowerGrid SA"/>
    <s v="Utilities"/>
    <s v="North"/>
    <s v="INV-0507"/>
    <d v="2025-04-04T00:00:00"/>
    <d v="2025-05-19T00:00:00"/>
    <n v="45"/>
    <n v="58316.86"/>
    <n v="58316.86"/>
    <n v="0"/>
    <d v="2025-06-06T00:00:00"/>
    <n v="58"/>
    <n v="13"/>
    <x v="1"/>
    <n v="0.01"/>
    <n v="0"/>
  </r>
  <r>
    <s v="VND-015"/>
    <s v="PowerGrid SA"/>
    <s v="Utilities"/>
    <s v="North"/>
    <s v="INV-0508"/>
    <d v="2025-02-12T00:00:00"/>
    <d v="2025-02-27T00:00:00"/>
    <n v="15"/>
    <n v="18272.82"/>
    <n v="18272.82"/>
    <n v="0"/>
    <d v="2025-02-18T00:00:00"/>
    <n v="109"/>
    <n v="94"/>
    <x v="1"/>
    <n v="0"/>
    <n v="0"/>
  </r>
  <r>
    <s v="VND-015"/>
    <s v="PowerGrid SA"/>
    <s v="Utilities"/>
    <s v="North"/>
    <s v="INV-0509"/>
    <d v="2024-12-16T00:00:00"/>
    <d v="2025-01-15T00:00:00"/>
    <n v="30"/>
    <n v="35184.6"/>
    <n v="11827.4"/>
    <n v="23357.200000000001"/>
    <d v="2025-02-20T00:00:00"/>
    <n v="167"/>
    <n v="137"/>
    <x v="2"/>
    <n v="2.5000000000000001E-2"/>
    <n v="0"/>
  </r>
  <r>
    <s v="VND-015"/>
    <s v="PowerGrid SA"/>
    <s v="Utilities"/>
    <s v="North"/>
    <s v="INV-0510"/>
    <d v="2025-01-23T00:00:00"/>
    <d v="2025-02-07T00:00:00"/>
    <n v="15"/>
    <n v="32296.9"/>
    <n v="23079.01"/>
    <n v="9217.89"/>
    <d v="2025-05-28T00:00:00"/>
    <n v="129"/>
    <n v="114"/>
    <x v="2"/>
    <n v="0"/>
    <n v="0"/>
  </r>
  <r>
    <s v="VND-015"/>
    <s v="PowerGrid SA"/>
    <s v="Utilities"/>
    <s v="North"/>
    <s v="INV-0511"/>
    <d v="2025-05-20T00:00:00"/>
    <d v="2025-06-19T00:00:00"/>
    <n v="30"/>
    <n v="42513.62"/>
    <n v="0"/>
    <n v="42513.62"/>
    <m/>
    <n v="12"/>
    <n v="0"/>
    <x v="0"/>
    <n v="0.02"/>
    <n v="0"/>
  </r>
  <r>
    <s v="VND-015"/>
    <s v="PowerGrid SA"/>
    <s v="Utilities"/>
    <s v="North"/>
    <s v="INV-0512"/>
    <d v="2025-03-05T00:00:00"/>
    <d v="2025-06-03T00:00:00"/>
    <n v="90"/>
    <n v="71387.8"/>
    <n v="0"/>
    <n v="71387.8"/>
    <m/>
    <n v="88"/>
    <n v="0"/>
    <x v="0"/>
    <n v="0"/>
    <n v="0"/>
  </r>
  <r>
    <s v="VND-015"/>
    <s v="PowerGrid SA"/>
    <s v="Utilities"/>
    <s v="North"/>
    <s v="INV-0513"/>
    <d v="2025-02-15T00:00:00"/>
    <d v="2025-03-17T00:00:00"/>
    <n v="30"/>
    <n v="17911.03"/>
    <n v="17911.03"/>
    <n v="0"/>
    <d v="2025-03-19T00:00:00"/>
    <n v="106"/>
    <n v="76"/>
    <x v="1"/>
    <n v="0.02"/>
    <n v="0"/>
  </r>
  <r>
    <s v="VND-015"/>
    <s v="PowerGrid SA"/>
    <s v="Utilities"/>
    <s v="North"/>
    <s v="INV-0514"/>
    <d v="2025-03-12T00:00:00"/>
    <d v="2025-04-11T00:00:00"/>
    <n v="30"/>
    <n v="79828.72"/>
    <n v="79828.72"/>
    <n v="0"/>
    <d v="2025-03-23T00:00:00"/>
    <n v="81"/>
    <n v="51"/>
    <x v="1"/>
    <n v="0"/>
    <n v="0"/>
  </r>
  <r>
    <s v="VND-016"/>
    <s v="MetalWorks Corp"/>
    <s v="Materials"/>
    <s v="East"/>
    <s v="INV-0515"/>
    <d v="2024-12-27T00:00:00"/>
    <d v="2025-03-27T00:00:00"/>
    <n v="90"/>
    <n v="10660.83"/>
    <n v="8219.9500000000007"/>
    <n v="2440.88"/>
    <d v="2025-01-27T00:00:00"/>
    <n v="156"/>
    <n v="66"/>
    <x v="2"/>
    <n v="0"/>
    <n v="0"/>
  </r>
  <r>
    <s v="VND-016"/>
    <s v="MetalWorks Corp"/>
    <s v="Materials"/>
    <s v="East"/>
    <s v="INV-0516"/>
    <d v="2025-04-28T00:00:00"/>
    <d v="2025-05-13T00:00:00"/>
    <n v="15"/>
    <n v="60297.89"/>
    <n v="0"/>
    <n v="60297.89"/>
    <m/>
    <n v="34"/>
    <n v="19"/>
    <x v="3"/>
    <n v="0"/>
    <n v="0"/>
  </r>
  <r>
    <s v="VND-016"/>
    <s v="MetalWorks Corp"/>
    <s v="Materials"/>
    <s v="East"/>
    <s v="INV-0517"/>
    <d v="2025-03-09T00:00:00"/>
    <d v="2025-05-08T00:00:00"/>
    <n v="60"/>
    <n v="41191.980000000003"/>
    <n v="41191.980000000003"/>
    <n v="0"/>
    <d v="2025-03-13T00:00:00"/>
    <n v="84"/>
    <n v="24"/>
    <x v="1"/>
    <n v="0.01"/>
    <n v="411.92"/>
  </r>
  <r>
    <s v="VND-016"/>
    <s v="MetalWorks Corp"/>
    <s v="Materials"/>
    <s v="East"/>
    <s v="INV-0518"/>
    <d v="2025-01-26T00:00:00"/>
    <d v="2025-04-26T00:00:00"/>
    <n v="90"/>
    <n v="37009.879999999997"/>
    <n v="37009.879999999997"/>
    <n v="0"/>
    <d v="2025-02-02T00:00:00"/>
    <n v="126"/>
    <n v="36"/>
    <x v="1"/>
    <n v="0"/>
    <n v="0"/>
  </r>
  <r>
    <s v="VND-016"/>
    <s v="MetalWorks Corp"/>
    <s v="Materials"/>
    <s v="East"/>
    <s v="INV-0519"/>
    <d v="2025-03-18T00:00:00"/>
    <d v="2025-04-17T00:00:00"/>
    <n v="30"/>
    <n v="21670.799999999999"/>
    <n v="10949.92"/>
    <n v="10720.88"/>
    <d v="2025-05-29T00:00:00"/>
    <n v="75"/>
    <n v="45"/>
    <x v="2"/>
    <n v="0"/>
    <n v="0"/>
  </r>
  <r>
    <s v="VND-016"/>
    <s v="MetalWorks Corp"/>
    <s v="Materials"/>
    <s v="East"/>
    <s v="INV-0520"/>
    <d v="2024-12-25T00:00:00"/>
    <d v="2025-01-09T00:00:00"/>
    <n v="15"/>
    <n v="26883.39"/>
    <n v="26883.39"/>
    <n v="0"/>
    <d v="2024-12-26T00:00:00"/>
    <n v="158"/>
    <n v="143"/>
    <x v="1"/>
    <n v="2.5000000000000001E-2"/>
    <n v="672.08"/>
  </r>
  <r>
    <s v="VND-016"/>
    <s v="MetalWorks Corp"/>
    <s v="Materials"/>
    <s v="East"/>
    <s v="INV-0521"/>
    <d v="2025-01-26T00:00:00"/>
    <d v="2025-03-27T00:00:00"/>
    <n v="60"/>
    <n v="51284.06"/>
    <n v="51284.06"/>
    <n v="0"/>
    <d v="2025-03-04T00:00:00"/>
    <n v="126"/>
    <n v="66"/>
    <x v="1"/>
    <n v="0.02"/>
    <n v="1025.68"/>
  </r>
  <r>
    <s v="VND-016"/>
    <s v="MetalWorks Corp"/>
    <s v="Materials"/>
    <s v="East"/>
    <s v="INV-0522"/>
    <d v="2025-03-22T00:00:00"/>
    <d v="2025-04-06T00:00:00"/>
    <n v="15"/>
    <n v="13253.32"/>
    <n v="3925.8"/>
    <n v="9327.52"/>
    <d v="2025-05-25T00:00:00"/>
    <n v="71"/>
    <n v="56"/>
    <x v="2"/>
    <n v="0.02"/>
    <n v="0"/>
  </r>
  <r>
    <s v="VND-016"/>
    <s v="MetalWorks Corp"/>
    <s v="Materials"/>
    <s v="East"/>
    <s v="INV-0523"/>
    <d v="2025-05-11T00:00:00"/>
    <d v="2025-05-26T00:00:00"/>
    <n v="15"/>
    <n v="36172.68"/>
    <n v="36172.68"/>
    <n v="0"/>
    <d v="2025-06-10T00:00:00"/>
    <n v="21"/>
    <n v="6"/>
    <x v="1"/>
    <n v="0.01"/>
    <n v="0"/>
  </r>
  <r>
    <s v="VND-016"/>
    <s v="MetalWorks Corp"/>
    <s v="Materials"/>
    <s v="East"/>
    <s v="INV-0524"/>
    <d v="2024-12-08T00:00:00"/>
    <d v="2025-01-07T00:00:00"/>
    <n v="30"/>
    <n v="55070.52"/>
    <n v="55070.52"/>
    <n v="0"/>
    <d v="2025-01-11T00:00:00"/>
    <n v="175"/>
    <n v="145"/>
    <x v="1"/>
    <n v="0.02"/>
    <n v="0"/>
  </r>
  <r>
    <s v="VND-016"/>
    <s v="MetalWorks Corp"/>
    <s v="Materials"/>
    <s v="East"/>
    <s v="INV-0525"/>
    <d v="2025-04-19T00:00:00"/>
    <d v="2025-07-18T00:00:00"/>
    <n v="90"/>
    <n v="20019.28"/>
    <n v="0"/>
    <n v="20019.28"/>
    <m/>
    <n v="43"/>
    <n v="0"/>
    <x v="0"/>
    <n v="0"/>
    <n v="0"/>
  </r>
  <r>
    <s v="VND-016"/>
    <s v="MetalWorks Corp"/>
    <s v="Materials"/>
    <s v="East"/>
    <s v="INV-0526"/>
    <d v="2025-02-10T00:00:00"/>
    <d v="2025-05-11T00:00:00"/>
    <n v="90"/>
    <n v="60544.74"/>
    <n v="60544.74"/>
    <n v="0"/>
    <d v="2025-02-17T00:00:00"/>
    <n v="111"/>
    <n v="21"/>
    <x v="1"/>
    <n v="2.5000000000000001E-2"/>
    <n v="1513.62"/>
  </r>
  <r>
    <s v="VND-016"/>
    <s v="MetalWorks Corp"/>
    <s v="Materials"/>
    <s v="East"/>
    <s v="INV-0527"/>
    <d v="2025-01-16T00:00:00"/>
    <d v="2025-03-17T00:00:00"/>
    <n v="60"/>
    <n v="57875.57"/>
    <n v="57875.57"/>
    <n v="0"/>
    <d v="2025-03-04T00:00:00"/>
    <n v="136"/>
    <n v="76"/>
    <x v="1"/>
    <n v="2.5000000000000001E-2"/>
    <n v="1446.89"/>
  </r>
  <r>
    <s v="VND-016"/>
    <s v="MetalWorks Corp"/>
    <s v="Materials"/>
    <s v="East"/>
    <s v="INV-0528"/>
    <d v="2025-04-06T00:00:00"/>
    <d v="2025-07-05T00:00:00"/>
    <n v="90"/>
    <n v="12044.05"/>
    <n v="0"/>
    <n v="12044.05"/>
    <m/>
    <n v="56"/>
    <n v="0"/>
    <x v="0"/>
    <n v="2.5000000000000001E-2"/>
    <n v="0"/>
  </r>
  <r>
    <s v="VND-016"/>
    <s v="MetalWorks Corp"/>
    <s v="Materials"/>
    <s v="East"/>
    <s v="INV-0529"/>
    <d v="2025-03-21T00:00:00"/>
    <d v="2025-04-20T00:00:00"/>
    <n v="30"/>
    <n v="40284.65"/>
    <n v="40284.65"/>
    <n v="0"/>
    <d v="2025-04-19T00:00:00"/>
    <n v="72"/>
    <n v="42"/>
    <x v="1"/>
    <n v="0"/>
    <n v="0"/>
  </r>
  <r>
    <s v="VND-016"/>
    <s v="MetalWorks Corp"/>
    <s v="Materials"/>
    <s v="East"/>
    <s v="INV-0530"/>
    <d v="2024-12-16T00:00:00"/>
    <d v="2025-03-16T00:00:00"/>
    <n v="90"/>
    <n v="45393.11"/>
    <n v="0"/>
    <n v="45393.11"/>
    <m/>
    <n v="167"/>
    <n v="77"/>
    <x v="3"/>
    <n v="0"/>
    <n v="0"/>
  </r>
  <r>
    <s v="VND-016"/>
    <s v="MetalWorks Corp"/>
    <s v="Materials"/>
    <s v="East"/>
    <s v="INV-0531"/>
    <d v="2025-03-29T00:00:00"/>
    <d v="2025-05-13T00:00:00"/>
    <n v="45"/>
    <n v="32522.61"/>
    <n v="32522.61"/>
    <n v="0"/>
    <d v="2025-04-01T00:00:00"/>
    <n v="64"/>
    <n v="19"/>
    <x v="1"/>
    <n v="0.01"/>
    <n v="325.23"/>
  </r>
  <r>
    <s v="VND-016"/>
    <s v="MetalWorks Corp"/>
    <s v="Materials"/>
    <s v="East"/>
    <s v="INV-0532"/>
    <d v="2025-02-23T00:00:00"/>
    <d v="2025-03-25T00:00:00"/>
    <n v="30"/>
    <n v="25726.13"/>
    <n v="25726.13"/>
    <n v="0"/>
    <d v="2025-02-28T00:00:00"/>
    <n v="98"/>
    <n v="68"/>
    <x v="1"/>
    <n v="0.02"/>
    <n v="514.52"/>
  </r>
  <r>
    <s v="VND-016"/>
    <s v="MetalWorks Corp"/>
    <s v="Materials"/>
    <s v="East"/>
    <s v="INV-0533"/>
    <d v="2024-12-20T00:00:00"/>
    <d v="2025-02-18T00:00:00"/>
    <n v="60"/>
    <n v="79751.11"/>
    <n v="79751.11"/>
    <n v="0"/>
    <d v="2025-03-18T00:00:00"/>
    <n v="163"/>
    <n v="103"/>
    <x v="1"/>
    <n v="0.02"/>
    <n v="0"/>
  </r>
  <r>
    <s v="VND-016"/>
    <s v="MetalWorks Corp"/>
    <s v="Materials"/>
    <s v="East"/>
    <s v="INV-0534"/>
    <d v="2025-03-04T00:00:00"/>
    <d v="2025-06-02T00:00:00"/>
    <n v="90"/>
    <n v="17743.97"/>
    <n v="0"/>
    <n v="17743.97"/>
    <m/>
    <n v="89"/>
    <n v="0"/>
    <x v="0"/>
    <n v="2.5000000000000001E-2"/>
    <n v="0"/>
  </r>
  <r>
    <s v="VND-016"/>
    <s v="MetalWorks Corp"/>
    <s v="Materials"/>
    <s v="East"/>
    <s v="INV-0535"/>
    <d v="2025-05-04T00:00:00"/>
    <d v="2025-08-02T00:00:00"/>
    <n v="90"/>
    <n v="78068.13"/>
    <n v="0"/>
    <n v="78068.13"/>
    <m/>
    <n v="28"/>
    <n v="0"/>
    <x v="0"/>
    <n v="0.01"/>
    <n v="0"/>
  </r>
  <r>
    <s v="VND-016"/>
    <s v="MetalWorks Corp"/>
    <s v="Materials"/>
    <s v="East"/>
    <s v="INV-0536"/>
    <d v="2025-02-17T00:00:00"/>
    <d v="2025-03-04T00:00:00"/>
    <n v="15"/>
    <n v="26042.47"/>
    <n v="15952.05"/>
    <n v="10090.42"/>
    <d v="2025-03-29T00:00:00"/>
    <n v="104"/>
    <n v="89"/>
    <x v="2"/>
    <n v="0.02"/>
    <n v="0"/>
  </r>
  <r>
    <s v="VND-016"/>
    <s v="MetalWorks Corp"/>
    <s v="Materials"/>
    <s v="East"/>
    <s v="INV-0537"/>
    <d v="2025-03-24T00:00:00"/>
    <d v="2025-05-23T00:00:00"/>
    <n v="60"/>
    <n v="74434.77"/>
    <n v="74434.77"/>
    <n v="0"/>
    <d v="2025-03-30T00:00:00"/>
    <n v="69"/>
    <n v="9"/>
    <x v="1"/>
    <n v="0.02"/>
    <n v="1488.7"/>
  </r>
  <r>
    <s v="VND-016"/>
    <s v="MetalWorks Corp"/>
    <s v="Materials"/>
    <s v="East"/>
    <s v="INV-0538"/>
    <d v="2025-04-13T00:00:00"/>
    <d v="2025-05-28T00:00:00"/>
    <n v="45"/>
    <n v="21884.11"/>
    <n v="21884.11"/>
    <n v="0"/>
    <d v="2025-06-13T00:00:00"/>
    <n v="49"/>
    <n v="4"/>
    <x v="1"/>
    <n v="0.02"/>
    <n v="0"/>
  </r>
  <r>
    <s v="VND-016"/>
    <s v="MetalWorks Corp"/>
    <s v="Materials"/>
    <s v="East"/>
    <s v="INV-0539"/>
    <d v="2025-03-29T00:00:00"/>
    <d v="2025-05-13T00:00:00"/>
    <n v="45"/>
    <n v="62057.98"/>
    <n v="62057.98"/>
    <n v="0"/>
    <d v="2025-04-21T00:00:00"/>
    <n v="64"/>
    <n v="19"/>
    <x v="1"/>
    <n v="0.02"/>
    <n v="1241.1600000000001"/>
  </r>
  <r>
    <s v="VND-016"/>
    <s v="MetalWorks Corp"/>
    <s v="Materials"/>
    <s v="East"/>
    <s v="INV-0540"/>
    <d v="2025-01-23T00:00:00"/>
    <d v="2025-02-22T00:00:00"/>
    <n v="30"/>
    <n v="50405.91"/>
    <n v="50405.91"/>
    <n v="0"/>
    <d v="2025-02-18T00:00:00"/>
    <n v="129"/>
    <n v="99"/>
    <x v="1"/>
    <n v="2.5000000000000001E-2"/>
    <n v="0"/>
  </r>
  <r>
    <s v="VND-016"/>
    <s v="MetalWorks Corp"/>
    <s v="Materials"/>
    <s v="East"/>
    <s v="INV-0541"/>
    <d v="2025-03-14T00:00:00"/>
    <d v="2025-04-28T00:00:00"/>
    <n v="45"/>
    <n v="7504.65"/>
    <n v="7504.65"/>
    <n v="0"/>
    <d v="2025-03-16T00:00:00"/>
    <n v="79"/>
    <n v="34"/>
    <x v="1"/>
    <n v="2.5000000000000001E-2"/>
    <n v="187.62"/>
  </r>
  <r>
    <s v="VND-016"/>
    <s v="MetalWorks Corp"/>
    <s v="Materials"/>
    <s v="East"/>
    <s v="INV-0542"/>
    <d v="2025-01-26T00:00:00"/>
    <d v="2025-03-12T00:00:00"/>
    <n v="45"/>
    <n v="45493.06"/>
    <n v="14041.58"/>
    <n v="31451.48"/>
    <d v="2025-03-29T00:00:00"/>
    <n v="126"/>
    <n v="81"/>
    <x v="2"/>
    <n v="0.01"/>
    <n v="0"/>
  </r>
  <r>
    <s v="VND-016"/>
    <s v="MetalWorks Corp"/>
    <s v="Materials"/>
    <s v="East"/>
    <s v="INV-0543"/>
    <d v="2025-05-19T00:00:00"/>
    <d v="2025-08-17T00:00:00"/>
    <n v="90"/>
    <n v="16456.98"/>
    <n v="0"/>
    <n v="16456.98"/>
    <m/>
    <n v="13"/>
    <n v="0"/>
    <x v="0"/>
    <n v="2.5000000000000001E-2"/>
    <n v="0"/>
  </r>
  <r>
    <s v="VND-016"/>
    <s v="MetalWorks Corp"/>
    <s v="Materials"/>
    <s v="East"/>
    <s v="INV-0544"/>
    <d v="2025-05-25T00:00:00"/>
    <d v="2025-08-23T00:00:00"/>
    <n v="90"/>
    <n v="35058.449999999997"/>
    <n v="0"/>
    <n v="35058.449999999997"/>
    <m/>
    <n v="7"/>
    <n v="0"/>
    <x v="0"/>
    <n v="0"/>
    <n v="0"/>
  </r>
  <r>
    <s v="VND-016"/>
    <s v="MetalWorks Corp"/>
    <s v="Materials"/>
    <s v="East"/>
    <s v="INV-0545"/>
    <d v="2024-12-20T00:00:00"/>
    <d v="2025-01-19T00:00:00"/>
    <n v="30"/>
    <n v="30099.63"/>
    <n v="30099.63"/>
    <n v="0"/>
    <d v="2025-01-24T00:00:00"/>
    <n v="163"/>
    <n v="133"/>
    <x v="1"/>
    <n v="0.02"/>
    <n v="0"/>
  </r>
  <r>
    <s v="VND-016"/>
    <s v="MetalWorks Corp"/>
    <s v="Materials"/>
    <s v="East"/>
    <s v="INV-0546"/>
    <d v="2025-04-23T00:00:00"/>
    <d v="2025-06-22T00:00:00"/>
    <n v="60"/>
    <n v="14262.38"/>
    <n v="0"/>
    <n v="14262.38"/>
    <m/>
    <n v="39"/>
    <n v="0"/>
    <x v="0"/>
    <n v="0"/>
    <n v="0"/>
  </r>
  <r>
    <s v="VND-016"/>
    <s v="MetalWorks Corp"/>
    <s v="Materials"/>
    <s v="East"/>
    <s v="INV-0547"/>
    <d v="2025-05-25T00:00:00"/>
    <d v="2025-07-24T00:00:00"/>
    <n v="60"/>
    <n v="73290.16"/>
    <n v="0"/>
    <n v="73290.16"/>
    <m/>
    <n v="7"/>
    <n v="0"/>
    <x v="0"/>
    <n v="0"/>
    <n v="0"/>
  </r>
  <r>
    <s v="VND-016"/>
    <s v="MetalWorks Corp"/>
    <s v="Materials"/>
    <s v="East"/>
    <s v="INV-0548"/>
    <d v="2025-02-27T00:00:00"/>
    <d v="2025-04-28T00:00:00"/>
    <n v="60"/>
    <n v="42145.72"/>
    <n v="17158.62"/>
    <n v="24987.1"/>
    <d v="2025-03-27T00:00:00"/>
    <n v="94"/>
    <n v="34"/>
    <x v="2"/>
    <n v="2.5000000000000001E-2"/>
    <n v="0"/>
  </r>
  <r>
    <s v="VND-016"/>
    <s v="MetalWorks Corp"/>
    <s v="Materials"/>
    <s v="East"/>
    <s v="INV-0549"/>
    <d v="2024-12-16T00:00:00"/>
    <d v="2025-02-14T00:00:00"/>
    <n v="60"/>
    <n v="49179.26"/>
    <n v="5368.67"/>
    <n v="43810.59"/>
    <d v="2025-01-14T00:00:00"/>
    <n v="167"/>
    <n v="107"/>
    <x v="2"/>
    <n v="0"/>
    <n v="0"/>
  </r>
  <r>
    <s v="VND-016"/>
    <s v="MetalWorks Corp"/>
    <s v="Materials"/>
    <s v="East"/>
    <s v="INV-0550"/>
    <d v="2025-02-18T00:00:00"/>
    <d v="2025-04-04T00:00:00"/>
    <n v="45"/>
    <n v="59754.15"/>
    <n v="0"/>
    <n v="59754.15"/>
    <m/>
    <n v="103"/>
    <n v="58"/>
    <x v="3"/>
    <n v="2.5000000000000001E-2"/>
    <n v="0"/>
  </r>
  <r>
    <s v="VND-016"/>
    <s v="MetalWorks Corp"/>
    <s v="Materials"/>
    <s v="East"/>
    <s v="INV-0551"/>
    <d v="2025-04-10T00:00:00"/>
    <d v="2025-06-09T00:00:00"/>
    <n v="60"/>
    <n v="2104.3000000000002"/>
    <n v="0"/>
    <n v="2104.3000000000002"/>
    <m/>
    <n v="52"/>
    <n v="0"/>
    <x v="0"/>
    <n v="2.5000000000000001E-2"/>
    <n v="0"/>
  </r>
  <r>
    <s v="VND-016"/>
    <s v="MetalWorks Corp"/>
    <s v="Materials"/>
    <s v="East"/>
    <s v="INV-0552"/>
    <d v="2025-04-03T00:00:00"/>
    <d v="2025-04-18T00:00:00"/>
    <n v="15"/>
    <n v="21019.43"/>
    <n v="21019.43"/>
    <n v="0"/>
    <d v="2025-04-16T00:00:00"/>
    <n v="59"/>
    <n v="44"/>
    <x v="1"/>
    <n v="0.01"/>
    <n v="0"/>
  </r>
  <r>
    <s v="VND-016"/>
    <s v="MetalWorks Corp"/>
    <s v="Materials"/>
    <s v="East"/>
    <s v="INV-0553"/>
    <d v="2025-03-30T00:00:00"/>
    <d v="2025-06-28T00:00:00"/>
    <n v="90"/>
    <n v="45468.34"/>
    <n v="0"/>
    <n v="45468.34"/>
    <m/>
    <n v="63"/>
    <n v="0"/>
    <x v="0"/>
    <n v="0"/>
    <n v="0"/>
  </r>
  <r>
    <s v="VND-016"/>
    <s v="MetalWorks Corp"/>
    <s v="Materials"/>
    <s v="East"/>
    <s v="INV-0554"/>
    <d v="2024-12-13T00:00:00"/>
    <d v="2024-12-28T00:00:00"/>
    <n v="15"/>
    <n v="71987.87"/>
    <n v="71987.87"/>
    <n v="0"/>
    <d v="2024-12-22T00:00:00"/>
    <n v="170"/>
    <n v="155"/>
    <x v="1"/>
    <n v="0.01"/>
    <n v="719.88"/>
  </r>
  <r>
    <s v="VND-016"/>
    <s v="MetalWorks Corp"/>
    <s v="Materials"/>
    <s v="East"/>
    <s v="INV-0555"/>
    <d v="2024-12-10T00:00:00"/>
    <d v="2025-01-24T00:00:00"/>
    <n v="45"/>
    <n v="69254.25"/>
    <n v="69254.25"/>
    <n v="0"/>
    <d v="2025-01-30T00:00:00"/>
    <n v="173"/>
    <n v="128"/>
    <x v="1"/>
    <n v="0.01"/>
    <n v="0"/>
  </r>
  <r>
    <s v="VND-016"/>
    <s v="MetalWorks Corp"/>
    <s v="Materials"/>
    <s v="East"/>
    <s v="INV-0556"/>
    <d v="2025-03-01T00:00:00"/>
    <d v="2025-03-31T00:00:00"/>
    <n v="30"/>
    <n v="59409.77"/>
    <n v="59409.77"/>
    <n v="0"/>
    <d v="2025-03-17T00:00:00"/>
    <n v="92"/>
    <n v="62"/>
    <x v="1"/>
    <n v="0"/>
    <n v="0"/>
  </r>
  <r>
    <s v="VND-016"/>
    <s v="MetalWorks Corp"/>
    <s v="Materials"/>
    <s v="East"/>
    <s v="INV-0557"/>
    <d v="2025-01-08T00:00:00"/>
    <d v="2025-02-22T00:00:00"/>
    <n v="45"/>
    <n v="34149.25"/>
    <n v="34149.25"/>
    <n v="0"/>
    <d v="2025-02-24T00:00:00"/>
    <n v="144"/>
    <n v="99"/>
    <x v="1"/>
    <n v="0.02"/>
    <n v="0"/>
  </r>
  <r>
    <s v="VND-017"/>
    <s v="NetSystems Ltd"/>
    <s v="IT"/>
    <s v="North"/>
    <s v="INV-0558"/>
    <d v="2024-12-29T00:00:00"/>
    <d v="2025-01-28T00:00:00"/>
    <n v="30"/>
    <n v="31864.44"/>
    <n v="31864.44"/>
    <n v="0"/>
    <d v="2025-01-21T00:00:00"/>
    <n v="154"/>
    <n v="124"/>
    <x v="1"/>
    <n v="0"/>
    <n v="0"/>
  </r>
  <r>
    <s v="VND-017"/>
    <s v="NetSystems Ltd"/>
    <s v="IT"/>
    <s v="North"/>
    <s v="INV-0559"/>
    <d v="2024-12-09T00:00:00"/>
    <d v="2025-03-09T00:00:00"/>
    <n v="90"/>
    <n v="71864.03"/>
    <n v="40604.99"/>
    <n v="31259.040000000001"/>
    <d v="2025-01-15T00:00:00"/>
    <n v="174"/>
    <n v="84"/>
    <x v="2"/>
    <n v="0.01"/>
    <n v="0"/>
  </r>
  <r>
    <s v="VND-017"/>
    <s v="NetSystems Ltd"/>
    <s v="IT"/>
    <s v="North"/>
    <s v="INV-0560"/>
    <d v="2025-03-31T00:00:00"/>
    <d v="2025-05-30T00:00:00"/>
    <n v="60"/>
    <n v="22723.78"/>
    <n v="8071.9"/>
    <n v="14651.88"/>
    <d v="2025-04-17T00:00:00"/>
    <n v="62"/>
    <n v="2"/>
    <x v="2"/>
    <n v="0"/>
    <n v="0"/>
  </r>
  <r>
    <s v="VND-017"/>
    <s v="NetSystems Ltd"/>
    <s v="IT"/>
    <s v="North"/>
    <s v="INV-0561"/>
    <d v="2025-04-14T00:00:00"/>
    <d v="2025-06-13T00:00:00"/>
    <n v="60"/>
    <n v="56932.2"/>
    <n v="0"/>
    <n v="56932.2"/>
    <m/>
    <n v="48"/>
    <n v="0"/>
    <x v="0"/>
    <n v="0.01"/>
    <n v="0"/>
  </r>
  <r>
    <s v="VND-017"/>
    <s v="NetSystems Ltd"/>
    <s v="IT"/>
    <s v="North"/>
    <s v="INV-0562"/>
    <d v="2025-03-26T00:00:00"/>
    <d v="2025-04-25T00:00:00"/>
    <n v="30"/>
    <n v="5740.69"/>
    <n v="5740.69"/>
    <n v="0"/>
    <d v="2025-05-06T00:00:00"/>
    <n v="67"/>
    <n v="37"/>
    <x v="1"/>
    <n v="0.02"/>
    <n v="0"/>
  </r>
  <r>
    <s v="VND-017"/>
    <s v="NetSystems Ltd"/>
    <s v="IT"/>
    <s v="North"/>
    <s v="INV-0563"/>
    <d v="2025-05-12T00:00:00"/>
    <d v="2025-08-10T00:00:00"/>
    <n v="90"/>
    <n v="76792.929999999993"/>
    <n v="0"/>
    <n v="76792.929999999993"/>
    <m/>
    <n v="20"/>
    <n v="0"/>
    <x v="0"/>
    <n v="0.01"/>
    <n v="0"/>
  </r>
  <r>
    <s v="VND-017"/>
    <s v="NetSystems Ltd"/>
    <s v="IT"/>
    <s v="North"/>
    <s v="INV-0564"/>
    <d v="2025-01-23T00:00:00"/>
    <d v="2025-03-24T00:00:00"/>
    <n v="60"/>
    <n v="29654.71"/>
    <n v="29654.71"/>
    <n v="0"/>
    <d v="2025-03-02T00:00:00"/>
    <n v="129"/>
    <n v="69"/>
    <x v="1"/>
    <n v="0.02"/>
    <n v="593.09"/>
  </r>
  <r>
    <s v="VND-017"/>
    <s v="NetSystems Ltd"/>
    <s v="IT"/>
    <s v="North"/>
    <s v="INV-0565"/>
    <d v="2025-02-21T00:00:00"/>
    <d v="2025-03-08T00:00:00"/>
    <n v="15"/>
    <n v="71549.7"/>
    <n v="71549.7"/>
    <n v="0"/>
    <d v="2025-03-23T00:00:00"/>
    <n v="100"/>
    <n v="85"/>
    <x v="1"/>
    <n v="0.01"/>
    <n v="0"/>
  </r>
  <r>
    <s v="VND-017"/>
    <s v="NetSystems Ltd"/>
    <s v="IT"/>
    <s v="North"/>
    <s v="INV-0566"/>
    <d v="2025-02-01T00:00:00"/>
    <d v="2025-04-02T00:00:00"/>
    <n v="60"/>
    <n v="38978.93"/>
    <n v="0"/>
    <n v="38978.93"/>
    <m/>
    <n v="120"/>
    <n v="60"/>
    <x v="3"/>
    <n v="0.01"/>
    <n v="0"/>
  </r>
  <r>
    <s v="VND-017"/>
    <s v="NetSystems Ltd"/>
    <s v="IT"/>
    <s v="North"/>
    <s v="INV-0567"/>
    <d v="2024-12-09T00:00:00"/>
    <d v="2025-03-09T00:00:00"/>
    <n v="90"/>
    <n v="77363.98"/>
    <n v="45757.81"/>
    <n v="31606.17"/>
    <d v="2025-01-21T00:00:00"/>
    <n v="174"/>
    <n v="84"/>
    <x v="2"/>
    <n v="0.01"/>
    <n v="0"/>
  </r>
  <r>
    <s v="VND-017"/>
    <s v="NetSystems Ltd"/>
    <s v="IT"/>
    <s v="North"/>
    <s v="INV-0568"/>
    <d v="2025-05-12T00:00:00"/>
    <d v="2025-08-10T00:00:00"/>
    <n v="90"/>
    <n v="2783.17"/>
    <n v="0"/>
    <n v="2783.17"/>
    <m/>
    <n v="20"/>
    <n v="0"/>
    <x v="0"/>
    <n v="0.01"/>
    <n v="0"/>
  </r>
  <r>
    <s v="VND-017"/>
    <s v="NetSystems Ltd"/>
    <s v="IT"/>
    <s v="North"/>
    <s v="INV-0569"/>
    <d v="2025-01-11T00:00:00"/>
    <d v="2025-03-12T00:00:00"/>
    <n v="60"/>
    <n v="21971.75"/>
    <n v="0"/>
    <n v="21971.75"/>
    <m/>
    <n v="141"/>
    <n v="81"/>
    <x v="3"/>
    <n v="0.01"/>
    <n v="0"/>
  </r>
  <r>
    <s v="VND-017"/>
    <s v="NetSystems Ltd"/>
    <s v="IT"/>
    <s v="North"/>
    <s v="INV-0570"/>
    <d v="2025-01-28T00:00:00"/>
    <d v="2025-04-28T00:00:00"/>
    <n v="90"/>
    <n v="39229.08"/>
    <n v="0"/>
    <n v="39229.08"/>
    <m/>
    <n v="124"/>
    <n v="34"/>
    <x v="3"/>
    <n v="2.5000000000000001E-2"/>
    <n v="0"/>
  </r>
  <r>
    <s v="VND-017"/>
    <s v="NetSystems Ltd"/>
    <s v="IT"/>
    <s v="North"/>
    <s v="INV-0571"/>
    <d v="2025-04-13T00:00:00"/>
    <d v="2025-05-28T00:00:00"/>
    <n v="45"/>
    <n v="2578.86"/>
    <n v="535.83000000000004"/>
    <n v="2043.03"/>
    <d v="2025-05-26T00:00:00"/>
    <n v="49"/>
    <n v="4"/>
    <x v="2"/>
    <n v="2.5000000000000001E-2"/>
    <n v="0"/>
  </r>
  <r>
    <s v="VND-017"/>
    <s v="NetSystems Ltd"/>
    <s v="IT"/>
    <s v="North"/>
    <s v="INV-0572"/>
    <d v="2024-12-30T00:00:00"/>
    <d v="2025-01-29T00:00:00"/>
    <n v="30"/>
    <n v="27292.240000000002"/>
    <n v="0"/>
    <n v="27292.240000000002"/>
    <m/>
    <n v="153"/>
    <n v="123"/>
    <x v="3"/>
    <n v="0.02"/>
    <n v="0"/>
  </r>
  <r>
    <s v="VND-017"/>
    <s v="NetSystems Ltd"/>
    <s v="IT"/>
    <s v="North"/>
    <s v="INV-0573"/>
    <d v="2025-05-25T00:00:00"/>
    <d v="2025-08-23T00:00:00"/>
    <n v="90"/>
    <n v="62854.43"/>
    <n v="0"/>
    <n v="62854.43"/>
    <m/>
    <n v="7"/>
    <n v="0"/>
    <x v="0"/>
    <n v="2.5000000000000001E-2"/>
    <n v="0"/>
  </r>
  <r>
    <s v="VND-017"/>
    <s v="NetSystems Ltd"/>
    <s v="IT"/>
    <s v="North"/>
    <s v="INV-0574"/>
    <d v="2025-02-27T00:00:00"/>
    <d v="2025-04-13T00:00:00"/>
    <n v="45"/>
    <n v="42115.06"/>
    <n v="42115.06"/>
    <n v="0"/>
    <d v="2025-05-12T00:00:00"/>
    <n v="94"/>
    <n v="49"/>
    <x v="1"/>
    <n v="0.01"/>
    <n v="0"/>
  </r>
  <r>
    <s v="VND-017"/>
    <s v="NetSystems Ltd"/>
    <s v="IT"/>
    <s v="North"/>
    <s v="INV-0575"/>
    <d v="2025-02-19T00:00:00"/>
    <d v="2025-03-06T00:00:00"/>
    <n v="15"/>
    <n v="3063.13"/>
    <n v="3063.13"/>
    <n v="0"/>
    <d v="2025-03-20T00:00:00"/>
    <n v="102"/>
    <n v="87"/>
    <x v="1"/>
    <n v="0"/>
    <n v="0"/>
  </r>
  <r>
    <s v="VND-017"/>
    <s v="NetSystems Ltd"/>
    <s v="IT"/>
    <s v="North"/>
    <s v="INV-0576"/>
    <d v="2025-03-06T00:00:00"/>
    <d v="2025-03-21T00:00:00"/>
    <n v="15"/>
    <n v="70337.66"/>
    <n v="70337.66"/>
    <n v="0"/>
    <d v="2025-03-31T00:00:00"/>
    <n v="87"/>
    <n v="72"/>
    <x v="1"/>
    <n v="0.01"/>
    <n v="0"/>
  </r>
  <r>
    <s v="VND-017"/>
    <s v="NetSystems Ltd"/>
    <s v="IT"/>
    <s v="North"/>
    <s v="INV-0577"/>
    <d v="2025-04-13T00:00:00"/>
    <d v="2025-05-13T00:00:00"/>
    <n v="30"/>
    <n v="51727.11"/>
    <n v="51727.11"/>
    <n v="0"/>
    <d v="2025-04-16T00:00:00"/>
    <n v="49"/>
    <n v="19"/>
    <x v="1"/>
    <n v="2.5000000000000001E-2"/>
    <n v="1293.18"/>
  </r>
  <r>
    <s v="VND-017"/>
    <s v="NetSystems Ltd"/>
    <s v="IT"/>
    <s v="North"/>
    <s v="INV-0578"/>
    <d v="2025-03-15T00:00:00"/>
    <d v="2025-05-14T00:00:00"/>
    <n v="60"/>
    <n v="72059.53"/>
    <n v="72059.53"/>
    <n v="0"/>
    <d v="2025-04-30T00:00:00"/>
    <n v="78"/>
    <n v="18"/>
    <x v="1"/>
    <n v="0.02"/>
    <n v="1441.19"/>
  </r>
  <r>
    <s v="VND-017"/>
    <s v="NetSystems Ltd"/>
    <s v="IT"/>
    <s v="North"/>
    <s v="INV-0579"/>
    <d v="2025-05-07T00:00:00"/>
    <d v="2025-06-06T00:00:00"/>
    <n v="30"/>
    <n v="6746.35"/>
    <n v="0"/>
    <n v="6746.35"/>
    <m/>
    <n v="25"/>
    <n v="0"/>
    <x v="0"/>
    <n v="2.5000000000000001E-2"/>
    <n v="0"/>
  </r>
  <r>
    <s v="VND-017"/>
    <s v="NetSystems Ltd"/>
    <s v="IT"/>
    <s v="North"/>
    <s v="INV-0580"/>
    <d v="2025-05-24T00:00:00"/>
    <d v="2025-08-22T00:00:00"/>
    <n v="90"/>
    <n v="59263.28"/>
    <n v="0"/>
    <n v="59263.28"/>
    <m/>
    <n v="8"/>
    <n v="0"/>
    <x v="0"/>
    <n v="0"/>
    <n v="0"/>
  </r>
  <r>
    <s v="VND-017"/>
    <s v="NetSystems Ltd"/>
    <s v="IT"/>
    <s v="North"/>
    <s v="INV-0581"/>
    <d v="2025-02-13T00:00:00"/>
    <d v="2025-02-28T00:00:00"/>
    <n v="15"/>
    <n v="20263.8"/>
    <n v="20263.8"/>
    <n v="0"/>
    <d v="2025-02-15T00:00:00"/>
    <n v="108"/>
    <n v="93"/>
    <x v="1"/>
    <n v="0.01"/>
    <n v="202.64"/>
  </r>
  <r>
    <s v="VND-017"/>
    <s v="NetSystems Ltd"/>
    <s v="IT"/>
    <s v="North"/>
    <s v="INV-0582"/>
    <d v="2025-01-26T00:00:00"/>
    <d v="2025-02-10T00:00:00"/>
    <n v="15"/>
    <n v="61149.99"/>
    <n v="61149.99"/>
    <n v="0"/>
    <d v="2025-01-28T00:00:00"/>
    <n v="126"/>
    <n v="111"/>
    <x v="1"/>
    <n v="0"/>
    <n v="0"/>
  </r>
  <r>
    <s v="VND-017"/>
    <s v="NetSystems Ltd"/>
    <s v="IT"/>
    <s v="North"/>
    <s v="INV-0583"/>
    <d v="2025-04-08T00:00:00"/>
    <d v="2025-06-07T00:00:00"/>
    <n v="60"/>
    <n v="65427.32"/>
    <n v="0"/>
    <n v="65427.32"/>
    <m/>
    <n v="54"/>
    <n v="0"/>
    <x v="0"/>
    <n v="0.02"/>
    <n v="0"/>
  </r>
  <r>
    <s v="VND-017"/>
    <s v="NetSystems Ltd"/>
    <s v="IT"/>
    <s v="North"/>
    <s v="INV-0584"/>
    <d v="2025-02-27T00:00:00"/>
    <d v="2025-03-14T00:00:00"/>
    <n v="15"/>
    <n v="29603.84"/>
    <n v="29603.84"/>
    <n v="0"/>
    <d v="2025-03-06T00:00:00"/>
    <n v="94"/>
    <n v="79"/>
    <x v="1"/>
    <n v="0.02"/>
    <n v="592.08000000000004"/>
  </r>
  <r>
    <s v="VND-017"/>
    <s v="NetSystems Ltd"/>
    <s v="IT"/>
    <s v="North"/>
    <s v="INV-0585"/>
    <d v="2025-03-01T00:00:00"/>
    <d v="2025-04-30T00:00:00"/>
    <n v="60"/>
    <n v="62248.11"/>
    <n v="62248.11"/>
    <n v="0"/>
    <d v="2025-04-25T00:00:00"/>
    <n v="92"/>
    <n v="32"/>
    <x v="1"/>
    <n v="0"/>
    <n v="0"/>
  </r>
  <r>
    <s v="VND-017"/>
    <s v="NetSystems Ltd"/>
    <s v="IT"/>
    <s v="North"/>
    <s v="INV-0586"/>
    <d v="2025-04-06T00:00:00"/>
    <d v="2025-05-06T00:00:00"/>
    <n v="30"/>
    <n v="11004.07"/>
    <n v="0"/>
    <n v="11004.07"/>
    <m/>
    <n v="56"/>
    <n v="26"/>
    <x v="3"/>
    <n v="0.02"/>
    <n v="0"/>
  </r>
  <r>
    <s v="VND-017"/>
    <s v="NetSystems Ltd"/>
    <s v="IT"/>
    <s v="North"/>
    <s v="INV-0587"/>
    <d v="2025-01-13T00:00:00"/>
    <d v="2025-04-13T00:00:00"/>
    <n v="90"/>
    <n v="32632.71"/>
    <n v="32632.71"/>
    <n v="0"/>
    <d v="2025-04-29T00:00:00"/>
    <n v="139"/>
    <n v="49"/>
    <x v="1"/>
    <n v="0.01"/>
    <n v="0"/>
  </r>
  <r>
    <s v="VND-017"/>
    <s v="NetSystems Ltd"/>
    <s v="IT"/>
    <s v="North"/>
    <s v="INV-0588"/>
    <d v="2025-03-17T00:00:00"/>
    <d v="2025-04-16T00:00:00"/>
    <n v="30"/>
    <n v="38084.199999999997"/>
    <n v="38084.199999999997"/>
    <n v="0"/>
    <d v="2025-05-13T00:00:00"/>
    <n v="76"/>
    <n v="46"/>
    <x v="1"/>
    <n v="0"/>
    <n v="0"/>
  </r>
  <r>
    <s v="VND-017"/>
    <s v="NetSystems Ltd"/>
    <s v="IT"/>
    <s v="North"/>
    <s v="INV-0589"/>
    <d v="2024-12-05T00:00:00"/>
    <d v="2025-01-19T00:00:00"/>
    <n v="45"/>
    <n v="12892.97"/>
    <n v="12892.97"/>
    <n v="0"/>
    <d v="2025-02-04T00:00:00"/>
    <n v="178"/>
    <n v="133"/>
    <x v="1"/>
    <n v="0"/>
    <n v="0"/>
  </r>
  <r>
    <s v="VND-017"/>
    <s v="NetSystems Ltd"/>
    <s v="IT"/>
    <s v="North"/>
    <s v="INV-0590"/>
    <d v="2024-12-13T00:00:00"/>
    <d v="2024-12-28T00:00:00"/>
    <n v="15"/>
    <n v="50911.040000000001"/>
    <n v="50911.040000000001"/>
    <n v="0"/>
    <d v="2024-12-25T00:00:00"/>
    <n v="170"/>
    <n v="155"/>
    <x v="1"/>
    <n v="0.01"/>
    <n v="0"/>
  </r>
  <r>
    <s v="VND-017"/>
    <s v="NetSystems Ltd"/>
    <s v="IT"/>
    <s v="North"/>
    <s v="INV-0591"/>
    <d v="2024-12-11T00:00:00"/>
    <d v="2025-03-11T00:00:00"/>
    <n v="90"/>
    <n v="9400.6299999999992"/>
    <n v="9400.6299999999992"/>
    <n v="0"/>
    <d v="2025-03-30T00:00:00"/>
    <n v="172"/>
    <n v="82"/>
    <x v="1"/>
    <n v="0"/>
    <n v="0"/>
  </r>
  <r>
    <s v="VND-017"/>
    <s v="NetSystems Ltd"/>
    <s v="IT"/>
    <s v="North"/>
    <s v="INV-0592"/>
    <d v="2025-03-23T00:00:00"/>
    <d v="2025-05-07T00:00:00"/>
    <n v="45"/>
    <n v="39632.400000000001"/>
    <n v="39632.400000000001"/>
    <n v="0"/>
    <d v="2025-05-06T00:00:00"/>
    <n v="70"/>
    <n v="25"/>
    <x v="1"/>
    <n v="0"/>
    <n v="0"/>
  </r>
  <r>
    <s v="VND-017"/>
    <s v="NetSystems Ltd"/>
    <s v="IT"/>
    <s v="North"/>
    <s v="INV-0593"/>
    <d v="2025-01-20T00:00:00"/>
    <d v="2025-03-21T00:00:00"/>
    <n v="60"/>
    <n v="25584.2"/>
    <n v="25584.2"/>
    <n v="0"/>
    <d v="2025-04-03T00:00:00"/>
    <n v="132"/>
    <n v="72"/>
    <x v="1"/>
    <n v="0.01"/>
    <n v="0"/>
  </r>
  <r>
    <s v="VND-018"/>
    <s v="SwiftShip SA"/>
    <s v="Logistics"/>
    <s v="North"/>
    <s v="INV-0594"/>
    <d v="2025-04-16T00:00:00"/>
    <d v="2025-06-15T00:00:00"/>
    <n v="60"/>
    <n v="55495.16"/>
    <n v="0"/>
    <n v="55495.16"/>
    <m/>
    <n v="46"/>
    <n v="0"/>
    <x v="0"/>
    <n v="0.02"/>
    <n v="0"/>
  </r>
  <r>
    <s v="VND-018"/>
    <s v="SwiftShip SA"/>
    <s v="Logistics"/>
    <s v="North"/>
    <s v="INV-0595"/>
    <d v="2025-05-13T00:00:00"/>
    <d v="2025-08-11T00:00:00"/>
    <n v="90"/>
    <n v="11814.65"/>
    <n v="0"/>
    <n v="11814.65"/>
    <m/>
    <n v="19"/>
    <n v="0"/>
    <x v="0"/>
    <n v="0.01"/>
    <n v="0"/>
  </r>
  <r>
    <s v="VND-018"/>
    <s v="SwiftShip SA"/>
    <s v="Logistics"/>
    <s v="North"/>
    <s v="INV-0596"/>
    <d v="2025-02-16T00:00:00"/>
    <d v="2025-05-17T00:00:00"/>
    <n v="90"/>
    <n v="35735.769999999997"/>
    <n v="35735.769999999997"/>
    <n v="0"/>
    <d v="2025-04-03T00:00:00"/>
    <n v="105"/>
    <n v="15"/>
    <x v="1"/>
    <n v="0.01"/>
    <n v="357.36"/>
  </r>
  <r>
    <s v="VND-018"/>
    <s v="SwiftShip SA"/>
    <s v="Logistics"/>
    <s v="North"/>
    <s v="INV-0597"/>
    <d v="2025-03-21T00:00:00"/>
    <d v="2025-04-05T00:00:00"/>
    <n v="15"/>
    <n v="59592.26"/>
    <n v="59592.26"/>
    <n v="0"/>
    <d v="2025-04-15T00:00:00"/>
    <n v="72"/>
    <n v="57"/>
    <x v="1"/>
    <n v="0.01"/>
    <n v="0"/>
  </r>
  <r>
    <s v="VND-018"/>
    <s v="SwiftShip SA"/>
    <s v="Logistics"/>
    <s v="North"/>
    <s v="INV-0598"/>
    <d v="2025-02-18T00:00:00"/>
    <d v="2025-04-04T00:00:00"/>
    <n v="45"/>
    <n v="30012.23"/>
    <n v="14236.75"/>
    <n v="15775.48"/>
    <d v="2025-03-03T00:00:00"/>
    <n v="103"/>
    <n v="58"/>
    <x v="2"/>
    <n v="0.02"/>
    <n v="0"/>
  </r>
  <r>
    <s v="VND-018"/>
    <s v="SwiftShip SA"/>
    <s v="Logistics"/>
    <s v="North"/>
    <s v="INV-0599"/>
    <d v="2025-02-15T00:00:00"/>
    <d v="2025-04-01T00:00:00"/>
    <n v="45"/>
    <n v="15055.08"/>
    <n v="15055.08"/>
    <n v="0"/>
    <d v="2025-04-12T00:00:00"/>
    <n v="106"/>
    <n v="61"/>
    <x v="1"/>
    <n v="0"/>
    <n v="0"/>
  </r>
  <r>
    <s v="VND-018"/>
    <s v="SwiftShip SA"/>
    <s v="Logistics"/>
    <s v="North"/>
    <s v="INV-0600"/>
    <d v="2025-05-22T00:00:00"/>
    <d v="2025-07-21T00:00:00"/>
    <n v="60"/>
    <n v="44643.67"/>
    <n v="0"/>
    <n v="44643.67"/>
    <m/>
    <n v="10"/>
    <n v="0"/>
    <x v="0"/>
    <n v="0.02"/>
    <n v="0"/>
  </r>
  <r>
    <s v="VND-018"/>
    <s v="SwiftShip SA"/>
    <s v="Logistics"/>
    <s v="North"/>
    <s v="INV-0601"/>
    <d v="2025-02-15T00:00:00"/>
    <d v="2025-03-17T00:00:00"/>
    <n v="30"/>
    <n v="22767.86"/>
    <n v="22767.86"/>
    <n v="0"/>
    <d v="2025-02-16T00:00:00"/>
    <n v="106"/>
    <n v="76"/>
    <x v="1"/>
    <n v="0.01"/>
    <n v="227.68"/>
  </r>
  <r>
    <s v="VND-018"/>
    <s v="SwiftShip SA"/>
    <s v="Logistics"/>
    <s v="North"/>
    <s v="INV-0602"/>
    <d v="2025-04-25T00:00:00"/>
    <d v="2025-05-25T00:00:00"/>
    <n v="30"/>
    <n v="37079.96"/>
    <n v="37079.96"/>
    <n v="0"/>
    <d v="2025-05-28T00:00:00"/>
    <n v="37"/>
    <n v="7"/>
    <x v="1"/>
    <n v="0.01"/>
    <n v="0"/>
  </r>
  <r>
    <s v="VND-018"/>
    <s v="SwiftShip SA"/>
    <s v="Logistics"/>
    <s v="North"/>
    <s v="INV-0603"/>
    <d v="2025-04-15T00:00:00"/>
    <d v="2025-05-15T00:00:00"/>
    <n v="30"/>
    <n v="71800.62"/>
    <n v="71800.62"/>
    <n v="0"/>
    <d v="2025-04-19T00:00:00"/>
    <n v="47"/>
    <n v="17"/>
    <x v="1"/>
    <n v="0"/>
    <n v="0"/>
  </r>
  <r>
    <s v="VND-018"/>
    <s v="SwiftShip SA"/>
    <s v="Logistics"/>
    <s v="North"/>
    <s v="INV-0604"/>
    <d v="2024-12-04T00:00:00"/>
    <d v="2025-01-18T00:00:00"/>
    <n v="45"/>
    <n v="12850.29"/>
    <n v="12850.29"/>
    <n v="0"/>
    <d v="2025-01-06T00:00:00"/>
    <n v="179"/>
    <n v="134"/>
    <x v="1"/>
    <n v="2.5000000000000001E-2"/>
    <n v="321.26"/>
  </r>
  <r>
    <s v="VND-018"/>
    <s v="SwiftShip SA"/>
    <s v="Logistics"/>
    <s v="North"/>
    <s v="INV-0605"/>
    <d v="2025-03-28T00:00:00"/>
    <d v="2025-05-27T00:00:00"/>
    <n v="60"/>
    <n v="71686.55"/>
    <n v="0"/>
    <n v="71686.55"/>
    <m/>
    <n v="65"/>
    <n v="5"/>
    <x v="3"/>
    <n v="0.02"/>
    <n v="0"/>
  </r>
  <r>
    <s v="VND-018"/>
    <s v="SwiftShip SA"/>
    <s v="Logistics"/>
    <s v="North"/>
    <s v="INV-0606"/>
    <d v="2025-02-24T00:00:00"/>
    <d v="2025-05-25T00:00:00"/>
    <n v="90"/>
    <n v="74827.87"/>
    <n v="74827.87"/>
    <n v="0"/>
    <d v="2025-03-18T00:00:00"/>
    <n v="97"/>
    <n v="7"/>
    <x v="1"/>
    <n v="0.01"/>
    <n v="748.28"/>
  </r>
  <r>
    <s v="VND-018"/>
    <s v="SwiftShip SA"/>
    <s v="Logistics"/>
    <s v="North"/>
    <s v="INV-0607"/>
    <d v="2024-12-07T00:00:00"/>
    <d v="2024-12-22T00:00:00"/>
    <n v="15"/>
    <n v="75963.22"/>
    <n v="75963.22"/>
    <n v="0"/>
    <d v="2024-12-16T00:00:00"/>
    <n v="176"/>
    <n v="161"/>
    <x v="1"/>
    <n v="0.02"/>
    <n v="1519.26"/>
  </r>
  <r>
    <s v="VND-018"/>
    <s v="SwiftShip SA"/>
    <s v="Logistics"/>
    <s v="North"/>
    <s v="INV-0608"/>
    <d v="2025-02-17T00:00:00"/>
    <d v="2025-04-18T00:00:00"/>
    <n v="60"/>
    <n v="13649.61"/>
    <n v="0"/>
    <n v="13649.61"/>
    <m/>
    <n v="104"/>
    <n v="44"/>
    <x v="3"/>
    <n v="0.02"/>
    <n v="0"/>
  </r>
  <r>
    <s v="VND-018"/>
    <s v="SwiftShip SA"/>
    <s v="Logistics"/>
    <s v="North"/>
    <s v="INV-0609"/>
    <d v="2025-02-14T00:00:00"/>
    <d v="2025-04-15T00:00:00"/>
    <n v="60"/>
    <n v="74755.66"/>
    <n v="0"/>
    <n v="74755.66"/>
    <m/>
    <n v="107"/>
    <n v="47"/>
    <x v="3"/>
    <n v="0.01"/>
    <n v="0"/>
  </r>
  <r>
    <s v="VND-018"/>
    <s v="SwiftShip SA"/>
    <s v="Logistics"/>
    <s v="North"/>
    <s v="INV-0610"/>
    <d v="2025-01-26T00:00:00"/>
    <d v="2025-02-25T00:00:00"/>
    <n v="30"/>
    <n v="56299.37"/>
    <n v="56299.37"/>
    <n v="0"/>
    <d v="2025-03-04T00:00:00"/>
    <n v="126"/>
    <n v="96"/>
    <x v="1"/>
    <n v="2.5000000000000001E-2"/>
    <n v="0"/>
  </r>
  <r>
    <s v="VND-018"/>
    <s v="SwiftShip SA"/>
    <s v="Logistics"/>
    <s v="North"/>
    <s v="INV-0611"/>
    <d v="2025-03-17T00:00:00"/>
    <d v="2025-04-16T00:00:00"/>
    <n v="30"/>
    <n v="33909.19"/>
    <n v="0"/>
    <n v="33909.19"/>
    <m/>
    <n v="76"/>
    <n v="46"/>
    <x v="3"/>
    <n v="0"/>
    <n v="0"/>
  </r>
  <r>
    <s v="VND-018"/>
    <s v="SwiftShip SA"/>
    <s v="Logistics"/>
    <s v="North"/>
    <s v="INV-0612"/>
    <d v="2025-04-29T00:00:00"/>
    <d v="2025-06-13T00:00:00"/>
    <n v="45"/>
    <n v="68301.850000000006"/>
    <n v="0"/>
    <n v="68301.850000000006"/>
    <m/>
    <n v="33"/>
    <n v="0"/>
    <x v="0"/>
    <n v="0"/>
    <n v="0"/>
  </r>
  <r>
    <s v="VND-018"/>
    <s v="SwiftShip SA"/>
    <s v="Logistics"/>
    <s v="North"/>
    <s v="INV-0613"/>
    <d v="2024-12-18T00:00:00"/>
    <d v="2025-03-18T00:00:00"/>
    <n v="90"/>
    <n v="10985"/>
    <n v="2186.67"/>
    <n v="8798.33"/>
    <d v="2025-01-16T00:00:00"/>
    <n v="165"/>
    <n v="75"/>
    <x v="2"/>
    <n v="2.5000000000000001E-2"/>
    <n v="0"/>
  </r>
  <r>
    <s v="VND-018"/>
    <s v="SwiftShip SA"/>
    <s v="Logistics"/>
    <s v="North"/>
    <s v="INV-0614"/>
    <d v="2025-01-16T00:00:00"/>
    <d v="2025-02-15T00:00:00"/>
    <n v="30"/>
    <n v="24373.83"/>
    <n v="24373.83"/>
    <n v="0"/>
    <d v="2025-01-31T00:00:00"/>
    <n v="136"/>
    <n v="106"/>
    <x v="1"/>
    <n v="2.5000000000000001E-2"/>
    <n v="609.35"/>
  </r>
  <r>
    <s v="VND-018"/>
    <s v="SwiftShip SA"/>
    <s v="Logistics"/>
    <s v="North"/>
    <s v="INV-0615"/>
    <d v="2025-01-05T00:00:00"/>
    <d v="2025-03-06T00:00:00"/>
    <n v="60"/>
    <n v="43095.91"/>
    <n v="0"/>
    <n v="43095.91"/>
    <m/>
    <n v="147"/>
    <n v="87"/>
    <x v="3"/>
    <n v="0.02"/>
    <n v="0"/>
  </r>
  <r>
    <s v="VND-018"/>
    <s v="SwiftShip SA"/>
    <s v="Logistics"/>
    <s v="North"/>
    <s v="INV-0616"/>
    <d v="2025-02-24T00:00:00"/>
    <d v="2025-04-10T00:00:00"/>
    <n v="45"/>
    <n v="20845.59"/>
    <n v="20845.59"/>
    <n v="0"/>
    <d v="2025-03-29T00:00:00"/>
    <n v="97"/>
    <n v="52"/>
    <x v="1"/>
    <n v="0.01"/>
    <n v="208.46"/>
  </r>
  <r>
    <s v="VND-018"/>
    <s v="SwiftShip SA"/>
    <s v="Logistics"/>
    <s v="North"/>
    <s v="INV-0617"/>
    <d v="2025-02-11T00:00:00"/>
    <d v="2025-03-13T00:00:00"/>
    <n v="30"/>
    <n v="24534.37"/>
    <n v="24534.37"/>
    <n v="0"/>
    <d v="2025-03-13T00:00:00"/>
    <n v="110"/>
    <n v="80"/>
    <x v="1"/>
    <n v="0"/>
    <n v="0"/>
  </r>
  <r>
    <s v="VND-018"/>
    <s v="SwiftShip SA"/>
    <s v="Logistics"/>
    <s v="North"/>
    <s v="INV-0618"/>
    <d v="2025-02-10T00:00:00"/>
    <d v="2025-04-11T00:00:00"/>
    <n v="60"/>
    <n v="37875.47"/>
    <n v="4640.99"/>
    <n v="33234.480000000003"/>
    <d v="2025-05-08T00:00:00"/>
    <n v="111"/>
    <n v="51"/>
    <x v="2"/>
    <n v="0"/>
    <n v="0"/>
  </r>
  <r>
    <s v="VND-018"/>
    <s v="SwiftShip SA"/>
    <s v="Logistics"/>
    <s v="North"/>
    <s v="INV-0619"/>
    <d v="2025-04-07T00:00:00"/>
    <d v="2025-04-22T00:00:00"/>
    <n v="15"/>
    <n v="38941.08"/>
    <n v="38941.08"/>
    <n v="0"/>
    <d v="2025-04-28T00:00:00"/>
    <n v="55"/>
    <n v="40"/>
    <x v="1"/>
    <n v="0.02"/>
    <n v="0"/>
  </r>
  <r>
    <s v="VND-018"/>
    <s v="SwiftShip SA"/>
    <s v="Logistics"/>
    <s v="North"/>
    <s v="INV-0620"/>
    <d v="2025-04-06T00:00:00"/>
    <d v="2025-05-06T00:00:00"/>
    <n v="30"/>
    <n v="75151.05"/>
    <n v="75151.05"/>
    <n v="0"/>
    <d v="2025-04-21T00:00:00"/>
    <n v="56"/>
    <n v="26"/>
    <x v="1"/>
    <n v="0.02"/>
    <n v="1503.02"/>
  </r>
  <r>
    <s v="VND-018"/>
    <s v="SwiftShip SA"/>
    <s v="Logistics"/>
    <s v="North"/>
    <s v="INV-0621"/>
    <d v="2025-03-07T00:00:00"/>
    <d v="2025-03-22T00:00:00"/>
    <n v="15"/>
    <n v="58622.53"/>
    <n v="58622.53"/>
    <n v="0"/>
    <d v="2025-03-28T00:00:00"/>
    <n v="86"/>
    <n v="71"/>
    <x v="1"/>
    <n v="0"/>
    <n v="0"/>
  </r>
  <r>
    <s v="VND-018"/>
    <s v="SwiftShip SA"/>
    <s v="Logistics"/>
    <s v="North"/>
    <s v="INV-0622"/>
    <d v="2025-03-11T00:00:00"/>
    <d v="2025-04-25T00:00:00"/>
    <n v="45"/>
    <n v="27681.88"/>
    <n v="27681.88"/>
    <n v="0"/>
    <d v="2025-03-30T00:00:00"/>
    <n v="82"/>
    <n v="37"/>
    <x v="1"/>
    <n v="2.5000000000000001E-2"/>
    <n v="692.05"/>
  </r>
  <r>
    <s v="VND-018"/>
    <s v="SwiftShip SA"/>
    <s v="Logistics"/>
    <s v="North"/>
    <s v="INV-0623"/>
    <d v="2025-05-08T00:00:00"/>
    <d v="2025-07-07T00:00:00"/>
    <n v="60"/>
    <n v="8634.43"/>
    <n v="0"/>
    <n v="8634.43"/>
    <m/>
    <n v="24"/>
    <n v="0"/>
    <x v="0"/>
    <n v="0.02"/>
    <n v="0"/>
  </r>
  <r>
    <s v="VND-018"/>
    <s v="SwiftShip SA"/>
    <s v="Logistics"/>
    <s v="North"/>
    <s v="INV-0624"/>
    <d v="2025-03-05T00:00:00"/>
    <d v="2025-05-04T00:00:00"/>
    <n v="60"/>
    <n v="36415.17"/>
    <n v="36415.17"/>
    <n v="0"/>
    <d v="2025-05-02T00:00:00"/>
    <n v="88"/>
    <n v="28"/>
    <x v="1"/>
    <n v="2.5000000000000001E-2"/>
    <n v="0"/>
  </r>
  <r>
    <s v="VND-018"/>
    <s v="SwiftShip SA"/>
    <s v="Logistics"/>
    <s v="North"/>
    <s v="INV-0625"/>
    <d v="2025-02-02T00:00:00"/>
    <d v="2025-04-03T00:00:00"/>
    <n v="60"/>
    <n v="41445.089999999997"/>
    <n v="41445.089999999997"/>
    <n v="0"/>
    <d v="2025-04-18T00:00:00"/>
    <n v="119"/>
    <n v="59"/>
    <x v="1"/>
    <n v="0.02"/>
    <n v="0"/>
  </r>
  <r>
    <s v="VND-018"/>
    <s v="SwiftShip SA"/>
    <s v="Logistics"/>
    <s v="North"/>
    <s v="INV-0626"/>
    <d v="2025-03-20T00:00:00"/>
    <d v="2025-05-19T00:00:00"/>
    <n v="60"/>
    <n v="27795.99"/>
    <n v="27795.99"/>
    <n v="0"/>
    <d v="2025-05-30T00:00:00"/>
    <n v="73"/>
    <n v="13"/>
    <x v="1"/>
    <n v="0.02"/>
    <n v="0"/>
  </r>
  <r>
    <s v="VND-018"/>
    <s v="SwiftShip SA"/>
    <s v="Logistics"/>
    <s v="North"/>
    <s v="INV-0627"/>
    <d v="2024-12-10T00:00:00"/>
    <d v="2025-01-09T00:00:00"/>
    <n v="30"/>
    <n v="58624.03"/>
    <n v="58624.03"/>
    <n v="0"/>
    <d v="2025-01-09T00:00:00"/>
    <n v="173"/>
    <n v="143"/>
    <x v="1"/>
    <n v="2.5000000000000001E-2"/>
    <n v="0"/>
  </r>
  <r>
    <s v="VND-018"/>
    <s v="SwiftShip SA"/>
    <s v="Logistics"/>
    <s v="North"/>
    <s v="INV-0628"/>
    <d v="2025-01-29T00:00:00"/>
    <d v="2025-03-30T00:00:00"/>
    <n v="60"/>
    <n v="25312.16"/>
    <n v="25312.16"/>
    <n v="0"/>
    <d v="2025-04-19T00:00:00"/>
    <n v="123"/>
    <n v="63"/>
    <x v="1"/>
    <n v="0.01"/>
    <n v="0"/>
  </r>
  <r>
    <s v="VND-018"/>
    <s v="SwiftShip SA"/>
    <s v="Logistics"/>
    <s v="North"/>
    <s v="INV-0629"/>
    <d v="2024-12-30T00:00:00"/>
    <d v="2025-02-13T00:00:00"/>
    <n v="45"/>
    <n v="32966.17"/>
    <n v="32966.17"/>
    <n v="0"/>
    <d v="2025-01-22T00:00:00"/>
    <n v="153"/>
    <n v="108"/>
    <x v="1"/>
    <n v="0.01"/>
    <n v="329.66"/>
  </r>
  <r>
    <s v="VND-018"/>
    <s v="SwiftShip SA"/>
    <s v="Logistics"/>
    <s v="North"/>
    <s v="INV-0630"/>
    <d v="2024-12-04T00:00:00"/>
    <d v="2024-12-19T00:00:00"/>
    <n v="15"/>
    <n v="54461.45"/>
    <n v="54461.45"/>
    <n v="0"/>
    <d v="2024-12-18T00:00:00"/>
    <n v="179"/>
    <n v="164"/>
    <x v="1"/>
    <n v="0"/>
    <n v="0"/>
  </r>
  <r>
    <s v="VND-018"/>
    <s v="SwiftShip SA"/>
    <s v="Logistics"/>
    <s v="North"/>
    <s v="INV-0631"/>
    <d v="2025-05-04T00:00:00"/>
    <d v="2025-08-02T00:00:00"/>
    <n v="90"/>
    <n v="12024.72"/>
    <n v="0"/>
    <n v="12024.72"/>
    <m/>
    <n v="28"/>
    <n v="0"/>
    <x v="0"/>
    <n v="0"/>
    <n v="0"/>
  </r>
  <r>
    <s v="VND-018"/>
    <s v="SwiftShip SA"/>
    <s v="Logistics"/>
    <s v="North"/>
    <s v="INV-0632"/>
    <d v="2025-04-20T00:00:00"/>
    <d v="2025-05-20T00:00:00"/>
    <n v="30"/>
    <n v="32436.47"/>
    <n v="32436.47"/>
    <n v="0"/>
    <d v="2025-05-13T00:00:00"/>
    <n v="42"/>
    <n v="12"/>
    <x v="1"/>
    <n v="0"/>
    <n v="0"/>
  </r>
  <r>
    <s v="VND-018"/>
    <s v="SwiftShip SA"/>
    <s v="Logistics"/>
    <s v="North"/>
    <s v="INV-0633"/>
    <d v="2025-05-11T00:00:00"/>
    <d v="2025-06-25T00:00:00"/>
    <n v="45"/>
    <n v="67596.12"/>
    <n v="0"/>
    <n v="67596.12"/>
    <m/>
    <n v="21"/>
    <n v="0"/>
    <x v="0"/>
    <n v="2.5000000000000001E-2"/>
    <n v="0"/>
  </r>
  <r>
    <s v="VND-018"/>
    <s v="SwiftShip SA"/>
    <s v="Logistics"/>
    <s v="North"/>
    <s v="INV-0634"/>
    <d v="2025-05-05T00:00:00"/>
    <d v="2025-06-04T00:00:00"/>
    <n v="30"/>
    <n v="16571.740000000002"/>
    <n v="0"/>
    <n v="16571.740000000002"/>
    <m/>
    <n v="27"/>
    <n v="0"/>
    <x v="0"/>
    <n v="0.02"/>
    <n v="0"/>
  </r>
  <r>
    <s v="VND-018"/>
    <s v="SwiftShip SA"/>
    <s v="Logistics"/>
    <s v="North"/>
    <s v="INV-0635"/>
    <d v="2025-05-16T00:00:00"/>
    <d v="2025-06-30T00:00:00"/>
    <n v="45"/>
    <n v="16066.94"/>
    <n v="0"/>
    <n v="16066.94"/>
    <m/>
    <n v="16"/>
    <n v="0"/>
    <x v="0"/>
    <n v="2.5000000000000001E-2"/>
    <n v="0"/>
  </r>
  <r>
    <s v="VND-018"/>
    <s v="SwiftShip SA"/>
    <s v="Logistics"/>
    <s v="North"/>
    <s v="INV-0636"/>
    <d v="2025-01-04T00:00:00"/>
    <d v="2025-04-04T00:00:00"/>
    <n v="90"/>
    <n v="6283.66"/>
    <n v="0"/>
    <n v="6283.66"/>
    <m/>
    <n v="148"/>
    <n v="58"/>
    <x v="3"/>
    <n v="2.5000000000000001E-2"/>
    <n v="0"/>
  </r>
  <r>
    <s v="VND-018"/>
    <s v="SwiftShip SA"/>
    <s v="Logistics"/>
    <s v="North"/>
    <s v="INV-0637"/>
    <d v="2025-01-21T00:00:00"/>
    <d v="2025-03-22T00:00:00"/>
    <n v="60"/>
    <n v="77115.83"/>
    <n v="77115.83"/>
    <n v="0"/>
    <d v="2025-03-28T00:00:00"/>
    <n v="131"/>
    <n v="71"/>
    <x v="1"/>
    <n v="0.01"/>
    <n v="0"/>
  </r>
  <r>
    <s v="VND-018"/>
    <s v="SwiftShip SA"/>
    <s v="Logistics"/>
    <s v="North"/>
    <s v="INV-0638"/>
    <d v="2025-03-19T00:00:00"/>
    <d v="2025-06-17T00:00:00"/>
    <n v="90"/>
    <n v="70404.86"/>
    <n v="0"/>
    <n v="70404.86"/>
    <m/>
    <n v="74"/>
    <n v="0"/>
    <x v="0"/>
    <n v="0.02"/>
    <n v="0"/>
  </r>
  <r>
    <s v="VND-019"/>
    <s v="CleanOffice Services"/>
    <s v="Services"/>
    <s v="Central"/>
    <s v="INV-0639"/>
    <d v="2025-02-19T00:00:00"/>
    <d v="2025-04-20T00:00:00"/>
    <n v="60"/>
    <n v="53409.47"/>
    <n v="53409.47"/>
    <n v="0"/>
    <d v="2025-05-09T00:00:00"/>
    <n v="102"/>
    <n v="42"/>
    <x v="1"/>
    <n v="0"/>
    <n v="0"/>
  </r>
  <r>
    <s v="VND-019"/>
    <s v="CleanOffice Services"/>
    <s v="Services"/>
    <s v="Central"/>
    <s v="INV-0640"/>
    <d v="2025-05-23T00:00:00"/>
    <d v="2025-07-07T00:00:00"/>
    <n v="45"/>
    <n v="22209.07"/>
    <n v="0"/>
    <n v="22209.07"/>
    <m/>
    <n v="9"/>
    <n v="0"/>
    <x v="0"/>
    <n v="0.02"/>
    <n v="0"/>
  </r>
  <r>
    <s v="VND-019"/>
    <s v="CleanOffice Services"/>
    <s v="Services"/>
    <s v="Central"/>
    <s v="INV-0641"/>
    <d v="2024-12-19T00:00:00"/>
    <d v="2025-03-19T00:00:00"/>
    <n v="90"/>
    <n v="52705.39"/>
    <n v="52705.39"/>
    <n v="0"/>
    <d v="2025-01-04T00:00:00"/>
    <n v="164"/>
    <n v="74"/>
    <x v="1"/>
    <n v="0.01"/>
    <n v="527.04999999999995"/>
  </r>
  <r>
    <s v="VND-019"/>
    <s v="CleanOffice Services"/>
    <s v="Services"/>
    <s v="Central"/>
    <s v="INV-0642"/>
    <d v="2025-05-08T00:00:00"/>
    <d v="2025-07-07T00:00:00"/>
    <n v="60"/>
    <n v="78945.42"/>
    <n v="0"/>
    <n v="78945.42"/>
    <m/>
    <n v="24"/>
    <n v="0"/>
    <x v="0"/>
    <n v="0.01"/>
    <n v="0"/>
  </r>
  <r>
    <s v="VND-019"/>
    <s v="CleanOffice Services"/>
    <s v="Services"/>
    <s v="Central"/>
    <s v="INV-0643"/>
    <d v="2025-04-15T00:00:00"/>
    <d v="2025-05-15T00:00:00"/>
    <n v="30"/>
    <n v="20530.919999999998"/>
    <n v="0"/>
    <n v="20530.919999999998"/>
    <m/>
    <n v="47"/>
    <n v="17"/>
    <x v="3"/>
    <n v="0.01"/>
    <n v="0"/>
  </r>
  <r>
    <s v="VND-019"/>
    <s v="CleanOffice Services"/>
    <s v="Services"/>
    <s v="Central"/>
    <s v="INV-0644"/>
    <d v="2024-12-22T00:00:00"/>
    <d v="2025-02-05T00:00:00"/>
    <n v="45"/>
    <n v="16688.419999999998"/>
    <n v="16688.419999999998"/>
    <n v="0"/>
    <d v="2025-01-25T00:00:00"/>
    <n v="161"/>
    <n v="116"/>
    <x v="1"/>
    <n v="0.02"/>
    <n v="333.77"/>
  </r>
  <r>
    <s v="VND-019"/>
    <s v="CleanOffice Services"/>
    <s v="Services"/>
    <s v="Central"/>
    <s v="INV-0645"/>
    <d v="2024-12-10T00:00:00"/>
    <d v="2025-03-10T00:00:00"/>
    <n v="90"/>
    <n v="19518.830000000002"/>
    <n v="0"/>
    <n v="19518.830000000002"/>
    <m/>
    <n v="173"/>
    <n v="83"/>
    <x v="3"/>
    <n v="0.02"/>
    <n v="0"/>
  </r>
  <r>
    <s v="VND-019"/>
    <s v="CleanOffice Services"/>
    <s v="Services"/>
    <s v="Central"/>
    <s v="INV-0646"/>
    <d v="2025-01-02T00:00:00"/>
    <d v="2025-02-01T00:00:00"/>
    <n v="30"/>
    <n v="28120.3"/>
    <n v="11313.37"/>
    <n v="16806.93"/>
    <d v="2025-03-14T00:00:00"/>
    <n v="150"/>
    <n v="120"/>
    <x v="2"/>
    <n v="2.5000000000000001E-2"/>
    <n v="0"/>
  </r>
  <r>
    <s v="VND-019"/>
    <s v="CleanOffice Services"/>
    <s v="Services"/>
    <s v="Central"/>
    <s v="INV-0647"/>
    <d v="2025-05-09T00:00:00"/>
    <d v="2025-07-08T00:00:00"/>
    <n v="60"/>
    <n v="30940.63"/>
    <n v="0"/>
    <n v="30940.63"/>
    <m/>
    <n v="23"/>
    <n v="0"/>
    <x v="0"/>
    <n v="0.01"/>
    <n v="0"/>
  </r>
  <r>
    <s v="VND-019"/>
    <s v="CleanOffice Services"/>
    <s v="Services"/>
    <s v="Central"/>
    <s v="INV-0648"/>
    <d v="2025-03-08T00:00:00"/>
    <d v="2025-04-07T00:00:00"/>
    <n v="30"/>
    <n v="9411.1200000000008"/>
    <n v="0"/>
    <n v="9411.1200000000008"/>
    <m/>
    <n v="85"/>
    <n v="55"/>
    <x v="3"/>
    <n v="2.5000000000000001E-2"/>
    <n v="0"/>
  </r>
  <r>
    <s v="VND-019"/>
    <s v="CleanOffice Services"/>
    <s v="Services"/>
    <s v="Central"/>
    <s v="INV-0649"/>
    <d v="2024-12-06T00:00:00"/>
    <d v="2024-12-21T00:00:00"/>
    <n v="15"/>
    <n v="27824.5"/>
    <n v="0"/>
    <n v="27824.5"/>
    <m/>
    <n v="177"/>
    <n v="162"/>
    <x v="3"/>
    <n v="0"/>
    <n v="0"/>
  </r>
  <r>
    <s v="VND-019"/>
    <s v="CleanOffice Services"/>
    <s v="Services"/>
    <s v="Central"/>
    <s v="INV-0650"/>
    <d v="2025-03-22T00:00:00"/>
    <d v="2025-05-06T00:00:00"/>
    <n v="45"/>
    <n v="17670.349999999999"/>
    <n v="17670.349999999999"/>
    <n v="0"/>
    <d v="2025-04-23T00:00:00"/>
    <n v="71"/>
    <n v="26"/>
    <x v="1"/>
    <n v="0.01"/>
    <n v="176.7"/>
  </r>
  <r>
    <s v="VND-019"/>
    <s v="CleanOffice Services"/>
    <s v="Services"/>
    <s v="Central"/>
    <s v="INV-0651"/>
    <d v="2025-01-03T00:00:00"/>
    <d v="2025-02-02T00:00:00"/>
    <n v="30"/>
    <n v="79958.5"/>
    <n v="79958.5"/>
    <n v="0"/>
    <d v="2025-02-02T00:00:00"/>
    <n v="149"/>
    <n v="119"/>
    <x v="1"/>
    <n v="2.5000000000000001E-2"/>
    <n v="0"/>
  </r>
  <r>
    <s v="VND-019"/>
    <s v="CleanOffice Services"/>
    <s v="Services"/>
    <s v="Central"/>
    <s v="INV-0652"/>
    <d v="2025-03-18T00:00:00"/>
    <d v="2025-04-17T00:00:00"/>
    <n v="30"/>
    <n v="48241.53"/>
    <n v="0"/>
    <n v="48241.53"/>
    <m/>
    <n v="75"/>
    <n v="45"/>
    <x v="3"/>
    <n v="0.02"/>
    <n v="0"/>
  </r>
  <r>
    <s v="VND-019"/>
    <s v="CleanOffice Services"/>
    <s v="Services"/>
    <s v="Central"/>
    <s v="INV-0653"/>
    <d v="2025-04-25T00:00:00"/>
    <d v="2025-05-25T00:00:00"/>
    <n v="30"/>
    <n v="74470.039999999994"/>
    <n v="74470.039999999994"/>
    <n v="0"/>
    <d v="2025-04-29T00:00:00"/>
    <n v="37"/>
    <n v="7"/>
    <x v="1"/>
    <n v="0"/>
    <n v="0"/>
  </r>
  <r>
    <s v="VND-019"/>
    <s v="CleanOffice Services"/>
    <s v="Services"/>
    <s v="Central"/>
    <s v="INV-0654"/>
    <d v="2025-03-27T00:00:00"/>
    <d v="2025-05-11T00:00:00"/>
    <n v="45"/>
    <n v="64792.08"/>
    <n v="0"/>
    <n v="64792.08"/>
    <m/>
    <n v="66"/>
    <n v="21"/>
    <x v="3"/>
    <n v="0"/>
    <n v="0"/>
  </r>
  <r>
    <s v="VND-019"/>
    <s v="CleanOffice Services"/>
    <s v="Services"/>
    <s v="Central"/>
    <s v="INV-0655"/>
    <d v="2025-01-04T00:00:00"/>
    <d v="2025-03-05T00:00:00"/>
    <n v="60"/>
    <n v="22676.36"/>
    <n v="22676.36"/>
    <n v="0"/>
    <d v="2025-03-20T00:00:00"/>
    <n v="148"/>
    <n v="88"/>
    <x v="1"/>
    <n v="2.5000000000000001E-2"/>
    <n v="0"/>
  </r>
  <r>
    <s v="VND-019"/>
    <s v="CleanOffice Services"/>
    <s v="Services"/>
    <s v="Central"/>
    <s v="INV-0656"/>
    <d v="2025-01-31T00:00:00"/>
    <d v="2025-05-01T00:00:00"/>
    <n v="90"/>
    <n v="30827.38"/>
    <n v="0"/>
    <n v="30827.38"/>
    <m/>
    <n v="121"/>
    <n v="31"/>
    <x v="3"/>
    <n v="0"/>
    <n v="0"/>
  </r>
  <r>
    <s v="VND-019"/>
    <s v="CleanOffice Services"/>
    <s v="Services"/>
    <s v="Central"/>
    <s v="INV-0657"/>
    <d v="2025-03-21T00:00:00"/>
    <d v="2025-05-20T00:00:00"/>
    <n v="60"/>
    <n v="8645.65"/>
    <n v="8645.65"/>
    <n v="0"/>
    <d v="2025-03-27T00:00:00"/>
    <n v="72"/>
    <n v="12"/>
    <x v="1"/>
    <n v="0.01"/>
    <n v="86.46"/>
  </r>
  <r>
    <s v="VND-019"/>
    <s v="CleanOffice Services"/>
    <s v="Services"/>
    <s v="Central"/>
    <s v="INV-0658"/>
    <d v="2025-03-03T00:00:00"/>
    <d v="2025-06-01T00:00:00"/>
    <n v="90"/>
    <n v="40285.040000000001"/>
    <n v="0"/>
    <n v="40285.040000000001"/>
    <m/>
    <n v="90"/>
    <n v="0"/>
    <x v="0"/>
    <n v="0.02"/>
    <n v="0"/>
  </r>
  <r>
    <s v="VND-019"/>
    <s v="CleanOffice Services"/>
    <s v="Services"/>
    <s v="Central"/>
    <s v="INV-0659"/>
    <d v="2025-01-13T00:00:00"/>
    <d v="2025-02-27T00:00:00"/>
    <n v="45"/>
    <n v="13422.94"/>
    <n v="13422.94"/>
    <n v="0"/>
    <d v="2025-02-27T00:00:00"/>
    <n v="139"/>
    <n v="94"/>
    <x v="1"/>
    <n v="0.01"/>
    <n v="0"/>
  </r>
  <r>
    <s v="VND-019"/>
    <s v="CleanOffice Services"/>
    <s v="Services"/>
    <s v="Central"/>
    <s v="INV-0660"/>
    <d v="2025-04-09T00:00:00"/>
    <d v="2025-04-24T00:00:00"/>
    <n v="15"/>
    <n v="72225.22"/>
    <n v="72225.22"/>
    <n v="0"/>
    <d v="2025-04-19T00:00:00"/>
    <n v="53"/>
    <n v="38"/>
    <x v="1"/>
    <n v="0.02"/>
    <n v="1444.5"/>
  </r>
  <r>
    <s v="VND-019"/>
    <s v="CleanOffice Services"/>
    <s v="Services"/>
    <s v="Central"/>
    <s v="INV-0661"/>
    <d v="2025-03-05T00:00:00"/>
    <d v="2025-04-04T00:00:00"/>
    <n v="30"/>
    <n v="67024.92"/>
    <n v="67024.92"/>
    <n v="0"/>
    <d v="2025-03-10T00:00:00"/>
    <n v="88"/>
    <n v="58"/>
    <x v="1"/>
    <n v="0.02"/>
    <n v="1340.5"/>
  </r>
  <r>
    <s v="VND-019"/>
    <s v="CleanOffice Services"/>
    <s v="Services"/>
    <s v="Central"/>
    <s v="INV-0662"/>
    <d v="2025-05-23T00:00:00"/>
    <d v="2025-06-07T00:00:00"/>
    <n v="15"/>
    <n v="10974.57"/>
    <n v="0"/>
    <n v="10974.57"/>
    <m/>
    <n v="9"/>
    <n v="0"/>
    <x v="0"/>
    <n v="2.5000000000000001E-2"/>
    <n v="0"/>
  </r>
  <r>
    <s v="VND-019"/>
    <s v="CleanOffice Services"/>
    <s v="Services"/>
    <s v="Central"/>
    <s v="INV-0663"/>
    <d v="2025-05-01T00:00:00"/>
    <d v="2025-06-15T00:00:00"/>
    <n v="45"/>
    <n v="62877.91"/>
    <n v="0"/>
    <n v="62877.91"/>
    <m/>
    <n v="31"/>
    <n v="0"/>
    <x v="0"/>
    <n v="0.02"/>
    <n v="0"/>
  </r>
  <r>
    <s v="VND-019"/>
    <s v="CleanOffice Services"/>
    <s v="Services"/>
    <s v="Central"/>
    <s v="INV-0664"/>
    <d v="2025-03-08T00:00:00"/>
    <d v="2025-04-22T00:00:00"/>
    <n v="45"/>
    <n v="4688.37"/>
    <n v="4688.37"/>
    <n v="0"/>
    <d v="2025-05-13T00:00:00"/>
    <n v="85"/>
    <n v="40"/>
    <x v="1"/>
    <n v="0.01"/>
    <n v="0"/>
  </r>
  <r>
    <s v="VND-019"/>
    <s v="CleanOffice Services"/>
    <s v="Services"/>
    <s v="Central"/>
    <s v="INV-0665"/>
    <d v="2025-02-13T00:00:00"/>
    <d v="2025-03-30T00:00:00"/>
    <n v="45"/>
    <n v="5017.05"/>
    <n v="5017.05"/>
    <n v="0"/>
    <d v="2025-03-01T00:00:00"/>
    <n v="108"/>
    <n v="63"/>
    <x v="1"/>
    <n v="0.01"/>
    <n v="50.17"/>
  </r>
  <r>
    <s v="VND-019"/>
    <s v="CleanOffice Services"/>
    <s v="Services"/>
    <s v="Central"/>
    <s v="INV-0666"/>
    <d v="2025-01-21T00:00:00"/>
    <d v="2025-02-05T00:00:00"/>
    <n v="15"/>
    <n v="19681.759999999998"/>
    <n v="19681.759999999998"/>
    <n v="0"/>
    <d v="2025-02-23T00:00:00"/>
    <n v="131"/>
    <n v="116"/>
    <x v="1"/>
    <n v="0.02"/>
    <n v="0"/>
  </r>
  <r>
    <s v="VND-019"/>
    <s v="CleanOffice Services"/>
    <s v="Services"/>
    <s v="Central"/>
    <s v="INV-0667"/>
    <d v="2025-03-02T00:00:00"/>
    <d v="2025-04-01T00:00:00"/>
    <n v="30"/>
    <n v="42298.77"/>
    <n v="42298.77"/>
    <n v="0"/>
    <d v="2025-03-07T00:00:00"/>
    <n v="91"/>
    <n v="61"/>
    <x v="1"/>
    <n v="0.02"/>
    <n v="845.98"/>
  </r>
  <r>
    <s v="VND-019"/>
    <s v="CleanOffice Services"/>
    <s v="Services"/>
    <s v="Central"/>
    <s v="INV-0668"/>
    <d v="2025-01-07T00:00:00"/>
    <d v="2025-04-07T00:00:00"/>
    <n v="90"/>
    <n v="45680.57"/>
    <n v="0"/>
    <n v="45680.57"/>
    <m/>
    <n v="145"/>
    <n v="55"/>
    <x v="3"/>
    <n v="0.02"/>
    <n v="0"/>
  </r>
  <r>
    <s v="VND-019"/>
    <s v="CleanOffice Services"/>
    <s v="Services"/>
    <s v="Central"/>
    <s v="INV-0669"/>
    <d v="2025-04-02T00:00:00"/>
    <d v="2025-06-01T00:00:00"/>
    <n v="60"/>
    <n v="13589.46"/>
    <n v="0"/>
    <n v="13589.46"/>
    <m/>
    <n v="60"/>
    <n v="0"/>
    <x v="0"/>
    <n v="0.02"/>
    <n v="0"/>
  </r>
  <r>
    <s v="VND-019"/>
    <s v="CleanOffice Services"/>
    <s v="Services"/>
    <s v="Central"/>
    <s v="INV-0670"/>
    <d v="2025-03-05T00:00:00"/>
    <d v="2025-05-04T00:00:00"/>
    <n v="60"/>
    <n v="67276.44"/>
    <n v="43772.91"/>
    <n v="23503.53"/>
    <d v="2025-04-16T00:00:00"/>
    <n v="88"/>
    <n v="28"/>
    <x v="2"/>
    <n v="0"/>
    <n v="0"/>
  </r>
  <r>
    <s v="VND-019"/>
    <s v="CleanOffice Services"/>
    <s v="Services"/>
    <s v="Central"/>
    <s v="INV-0671"/>
    <d v="2025-02-16T00:00:00"/>
    <d v="2025-04-17T00:00:00"/>
    <n v="60"/>
    <n v="74629.2"/>
    <n v="0"/>
    <n v="74629.2"/>
    <m/>
    <n v="105"/>
    <n v="45"/>
    <x v="3"/>
    <n v="0"/>
    <n v="0"/>
  </r>
  <r>
    <s v="VND-019"/>
    <s v="CleanOffice Services"/>
    <s v="Services"/>
    <s v="Central"/>
    <s v="INV-0672"/>
    <d v="2025-03-16T00:00:00"/>
    <d v="2025-04-15T00:00:00"/>
    <n v="30"/>
    <n v="58147.64"/>
    <n v="58147.64"/>
    <n v="0"/>
    <d v="2025-04-19T00:00:00"/>
    <n v="77"/>
    <n v="47"/>
    <x v="1"/>
    <n v="0.02"/>
    <n v="0"/>
  </r>
  <r>
    <s v="VND-019"/>
    <s v="CleanOffice Services"/>
    <s v="Services"/>
    <s v="Central"/>
    <s v="INV-0673"/>
    <d v="2025-04-25T00:00:00"/>
    <d v="2025-06-09T00:00:00"/>
    <n v="45"/>
    <n v="3679.71"/>
    <n v="0"/>
    <n v="3679.71"/>
    <m/>
    <n v="37"/>
    <n v="0"/>
    <x v="0"/>
    <n v="0.02"/>
    <n v="0"/>
  </r>
  <r>
    <s v="VND-019"/>
    <s v="CleanOffice Services"/>
    <s v="Services"/>
    <s v="Central"/>
    <s v="INV-0674"/>
    <d v="2025-03-31T00:00:00"/>
    <d v="2025-06-29T00:00:00"/>
    <n v="90"/>
    <n v="27596.62"/>
    <n v="0"/>
    <n v="27596.62"/>
    <m/>
    <n v="62"/>
    <n v="0"/>
    <x v="0"/>
    <n v="0.01"/>
    <n v="0"/>
  </r>
  <r>
    <s v="VND-020"/>
    <s v="GasNetwork"/>
    <s v="Utilities"/>
    <s v="Central"/>
    <s v="INV-0675"/>
    <d v="2025-05-21T00:00:00"/>
    <d v="2025-06-20T00:00:00"/>
    <n v="30"/>
    <n v="58371.31"/>
    <n v="0"/>
    <n v="58371.31"/>
    <m/>
    <n v="11"/>
    <n v="0"/>
    <x v="0"/>
    <n v="0.01"/>
    <n v="0"/>
  </r>
  <r>
    <s v="VND-020"/>
    <s v="GasNetwork"/>
    <s v="Utilities"/>
    <s v="Central"/>
    <s v="INV-0676"/>
    <d v="2025-02-14T00:00:00"/>
    <d v="2025-04-15T00:00:00"/>
    <n v="60"/>
    <n v="53089.55"/>
    <n v="53089.55"/>
    <n v="0"/>
    <d v="2025-04-21T00:00:00"/>
    <n v="107"/>
    <n v="47"/>
    <x v="1"/>
    <n v="2.5000000000000001E-2"/>
    <n v="0"/>
  </r>
  <r>
    <s v="VND-020"/>
    <s v="GasNetwork"/>
    <s v="Utilities"/>
    <s v="Central"/>
    <s v="INV-0677"/>
    <d v="2024-12-27T00:00:00"/>
    <d v="2025-03-27T00:00:00"/>
    <n v="90"/>
    <n v="14365.13"/>
    <n v="14365.13"/>
    <n v="0"/>
    <d v="2025-03-09T00:00:00"/>
    <n v="156"/>
    <n v="66"/>
    <x v="1"/>
    <n v="0.02"/>
    <n v="287.3"/>
  </r>
  <r>
    <s v="VND-020"/>
    <s v="GasNetwork"/>
    <s v="Utilities"/>
    <s v="Central"/>
    <s v="INV-0678"/>
    <d v="2025-04-09T00:00:00"/>
    <d v="2025-04-24T00:00:00"/>
    <n v="15"/>
    <n v="17185.849999999999"/>
    <n v="11603.69"/>
    <n v="5582.16"/>
    <d v="2025-05-29T00:00:00"/>
    <n v="53"/>
    <n v="38"/>
    <x v="2"/>
    <n v="2.5000000000000001E-2"/>
    <n v="0"/>
  </r>
  <r>
    <s v="VND-020"/>
    <s v="GasNetwork"/>
    <s v="Utilities"/>
    <s v="Central"/>
    <s v="INV-0679"/>
    <d v="2024-12-09T00:00:00"/>
    <d v="2025-01-23T00:00:00"/>
    <n v="45"/>
    <n v="9934.06"/>
    <n v="9934.06"/>
    <n v="0"/>
    <d v="2025-01-15T00:00:00"/>
    <n v="174"/>
    <n v="129"/>
    <x v="1"/>
    <n v="2.5000000000000001E-2"/>
    <n v="248.35"/>
  </r>
  <r>
    <s v="VND-020"/>
    <s v="GasNetwork"/>
    <s v="Utilities"/>
    <s v="Central"/>
    <s v="INV-0680"/>
    <d v="2025-03-07T00:00:00"/>
    <d v="2025-06-05T00:00:00"/>
    <n v="90"/>
    <n v="56960.47"/>
    <n v="0"/>
    <n v="56960.47"/>
    <m/>
    <n v="86"/>
    <n v="0"/>
    <x v="0"/>
    <n v="0.01"/>
    <n v="0"/>
  </r>
  <r>
    <s v="VND-020"/>
    <s v="GasNetwork"/>
    <s v="Utilities"/>
    <s v="Central"/>
    <s v="INV-0681"/>
    <d v="2025-02-03T00:00:00"/>
    <d v="2025-04-04T00:00:00"/>
    <n v="60"/>
    <n v="44633.77"/>
    <n v="33225.54"/>
    <n v="11408.23"/>
    <d v="2025-03-17T00:00:00"/>
    <n v="118"/>
    <n v="58"/>
    <x v="2"/>
    <n v="0.01"/>
    <n v="0"/>
  </r>
  <r>
    <s v="VND-020"/>
    <s v="GasNetwork"/>
    <s v="Utilities"/>
    <s v="Central"/>
    <s v="INV-0682"/>
    <d v="2025-02-18T00:00:00"/>
    <d v="2025-05-19T00:00:00"/>
    <n v="90"/>
    <n v="65002.8"/>
    <n v="65002.8"/>
    <n v="0"/>
    <d v="2025-06-18T00:00:00"/>
    <n v="103"/>
    <n v="13"/>
    <x v="1"/>
    <n v="2.5000000000000001E-2"/>
    <n v="0"/>
  </r>
  <r>
    <s v="VND-020"/>
    <s v="GasNetwork"/>
    <s v="Utilities"/>
    <s v="Central"/>
    <s v="INV-0683"/>
    <d v="2025-04-14T00:00:00"/>
    <d v="2025-04-29T00:00:00"/>
    <n v="15"/>
    <n v="15046.96"/>
    <n v="15046.96"/>
    <n v="0"/>
    <d v="2025-04-17T00:00:00"/>
    <n v="48"/>
    <n v="33"/>
    <x v="1"/>
    <n v="0.02"/>
    <n v="300.94"/>
  </r>
  <r>
    <s v="VND-020"/>
    <s v="GasNetwork"/>
    <s v="Utilities"/>
    <s v="Central"/>
    <s v="INV-0684"/>
    <d v="2025-03-18T00:00:00"/>
    <d v="2025-06-16T00:00:00"/>
    <n v="90"/>
    <n v="33611.42"/>
    <n v="0"/>
    <n v="33611.42"/>
    <m/>
    <n v="75"/>
    <n v="0"/>
    <x v="0"/>
    <n v="0.01"/>
    <n v="0"/>
  </r>
  <r>
    <s v="VND-020"/>
    <s v="GasNetwork"/>
    <s v="Utilities"/>
    <s v="Central"/>
    <s v="INV-0685"/>
    <d v="2025-02-18T00:00:00"/>
    <d v="2025-03-05T00:00:00"/>
    <n v="15"/>
    <n v="33735.58"/>
    <n v="33735.58"/>
    <n v="0"/>
    <d v="2025-02-21T00:00:00"/>
    <n v="103"/>
    <n v="88"/>
    <x v="1"/>
    <n v="0.01"/>
    <n v="337.36"/>
  </r>
  <r>
    <s v="VND-020"/>
    <s v="GasNetwork"/>
    <s v="Utilities"/>
    <s v="Central"/>
    <s v="INV-0686"/>
    <d v="2024-12-15T00:00:00"/>
    <d v="2025-02-13T00:00:00"/>
    <n v="60"/>
    <n v="60433.84"/>
    <n v="60433.84"/>
    <n v="0"/>
    <d v="2025-02-02T00:00:00"/>
    <n v="168"/>
    <n v="108"/>
    <x v="1"/>
    <n v="0.01"/>
    <n v="604.34"/>
  </r>
  <r>
    <s v="VND-020"/>
    <s v="GasNetwork"/>
    <s v="Utilities"/>
    <s v="Central"/>
    <s v="INV-0687"/>
    <d v="2025-02-21T00:00:00"/>
    <d v="2025-05-22T00:00:00"/>
    <n v="90"/>
    <n v="58580.81"/>
    <n v="58580.81"/>
    <n v="0"/>
    <d v="2025-06-10T00:00:00"/>
    <n v="100"/>
    <n v="10"/>
    <x v="1"/>
    <n v="0.01"/>
    <n v="0"/>
  </r>
  <r>
    <s v="VND-020"/>
    <s v="GasNetwork"/>
    <s v="Utilities"/>
    <s v="Central"/>
    <s v="INV-0688"/>
    <d v="2025-02-06T00:00:00"/>
    <d v="2025-03-23T00:00:00"/>
    <n v="45"/>
    <n v="45655.68"/>
    <n v="45655.68"/>
    <n v="0"/>
    <d v="2025-03-23T00:00:00"/>
    <n v="115"/>
    <n v="70"/>
    <x v="1"/>
    <n v="2.5000000000000001E-2"/>
    <n v="0"/>
  </r>
  <r>
    <s v="VND-020"/>
    <s v="GasNetwork"/>
    <s v="Utilities"/>
    <s v="Central"/>
    <s v="INV-0689"/>
    <d v="2025-01-12T00:00:00"/>
    <d v="2025-03-13T00:00:00"/>
    <n v="60"/>
    <n v="79786.789999999994"/>
    <n v="79786.789999999994"/>
    <n v="0"/>
    <d v="2025-04-07T00:00:00"/>
    <n v="140"/>
    <n v="80"/>
    <x v="1"/>
    <n v="0.02"/>
    <n v="0"/>
  </r>
  <r>
    <s v="VND-020"/>
    <s v="GasNetwork"/>
    <s v="Utilities"/>
    <s v="Central"/>
    <s v="INV-0690"/>
    <d v="2025-03-15T00:00:00"/>
    <d v="2025-03-30T00:00:00"/>
    <n v="15"/>
    <n v="70623.62"/>
    <n v="0"/>
    <n v="70623.62"/>
    <m/>
    <n v="78"/>
    <n v="63"/>
    <x v="3"/>
    <n v="0.02"/>
    <n v="0"/>
  </r>
  <r>
    <s v="VND-020"/>
    <s v="GasNetwork"/>
    <s v="Utilities"/>
    <s v="Central"/>
    <s v="INV-0691"/>
    <d v="2025-01-08T00:00:00"/>
    <d v="2025-02-07T00:00:00"/>
    <n v="30"/>
    <n v="28057.51"/>
    <n v="28057.51"/>
    <n v="0"/>
    <d v="2025-01-19T00:00:00"/>
    <n v="144"/>
    <n v="114"/>
    <x v="1"/>
    <n v="0.01"/>
    <n v="280.58"/>
  </r>
  <r>
    <s v="VND-020"/>
    <s v="GasNetwork"/>
    <s v="Utilities"/>
    <s v="Central"/>
    <s v="INV-0692"/>
    <d v="2025-04-29T00:00:00"/>
    <d v="2025-06-28T00:00:00"/>
    <n v="60"/>
    <n v="72321.27"/>
    <n v="0"/>
    <n v="72321.27"/>
    <m/>
    <n v="33"/>
    <n v="0"/>
    <x v="0"/>
    <n v="0.02"/>
    <n v="0"/>
  </r>
  <r>
    <s v="VND-020"/>
    <s v="GasNetwork"/>
    <s v="Utilities"/>
    <s v="Central"/>
    <s v="INV-0693"/>
    <d v="2025-03-05T00:00:00"/>
    <d v="2025-04-19T00:00:00"/>
    <n v="45"/>
    <n v="44586.35"/>
    <n v="34207.85"/>
    <n v="10378.5"/>
    <d v="2025-04-01T00:00:00"/>
    <n v="88"/>
    <n v="43"/>
    <x v="2"/>
    <n v="0"/>
    <n v="0"/>
  </r>
  <r>
    <s v="VND-020"/>
    <s v="GasNetwork"/>
    <s v="Utilities"/>
    <s v="Central"/>
    <s v="INV-0694"/>
    <d v="2025-05-20T00:00:00"/>
    <d v="2025-07-04T00:00:00"/>
    <n v="45"/>
    <n v="74713.509999999995"/>
    <n v="0"/>
    <n v="74713.509999999995"/>
    <m/>
    <n v="12"/>
    <n v="0"/>
    <x v="0"/>
    <n v="0.02"/>
    <n v="0"/>
  </r>
  <r>
    <s v="VND-020"/>
    <s v="GasNetwork"/>
    <s v="Utilities"/>
    <s v="Central"/>
    <s v="INV-0695"/>
    <d v="2025-02-27T00:00:00"/>
    <d v="2025-03-29T00:00:00"/>
    <n v="30"/>
    <n v="57971.31"/>
    <n v="57971.31"/>
    <n v="0"/>
    <d v="2025-03-23T00:00:00"/>
    <n v="94"/>
    <n v="64"/>
    <x v="1"/>
    <n v="2.5000000000000001E-2"/>
    <n v="1449.28"/>
  </r>
  <r>
    <s v="VND-020"/>
    <s v="GasNetwork"/>
    <s v="Utilities"/>
    <s v="Central"/>
    <s v="INV-0696"/>
    <d v="2025-03-03T00:00:00"/>
    <d v="2025-05-02T00:00:00"/>
    <n v="60"/>
    <n v="42934.19"/>
    <n v="42934.19"/>
    <n v="0"/>
    <d v="2025-04-06T00:00:00"/>
    <n v="90"/>
    <n v="30"/>
    <x v="1"/>
    <n v="2.5000000000000001E-2"/>
    <n v="1073.3499999999999"/>
  </r>
  <r>
    <s v="VND-020"/>
    <s v="GasNetwork"/>
    <s v="Utilities"/>
    <s v="Central"/>
    <s v="INV-0697"/>
    <d v="2025-05-01T00:00:00"/>
    <d v="2025-06-15T00:00:00"/>
    <n v="45"/>
    <n v="2358.7600000000002"/>
    <n v="0"/>
    <n v="2358.7600000000002"/>
    <m/>
    <n v="31"/>
    <n v="0"/>
    <x v="0"/>
    <n v="0.02"/>
    <n v="0"/>
  </r>
  <r>
    <s v="VND-020"/>
    <s v="GasNetwork"/>
    <s v="Utilities"/>
    <s v="Central"/>
    <s v="INV-0698"/>
    <d v="2024-12-22T00:00:00"/>
    <d v="2025-02-05T00:00:00"/>
    <n v="45"/>
    <n v="12020.54"/>
    <n v="12020.54"/>
    <n v="0"/>
    <d v="2025-01-15T00:00:00"/>
    <n v="161"/>
    <n v="116"/>
    <x v="1"/>
    <n v="0.01"/>
    <n v="120.21"/>
  </r>
  <r>
    <s v="VND-020"/>
    <s v="GasNetwork"/>
    <s v="Utilities"/>
    <s v="Central"/>
    <s v="INV-0699"/>
    <d v="2025-02-17T00:00:00"/>
    <d v="2025-03-19T00:00:00"/>
    <n v="30"/>
    <n v="61237.73"/>
    <n v="29383.47"/>
    <n v="31854.26"/>
    <d v="2025-05-22T00:00:00"/>
    <n v="104"/>
    <n v="74"/>
    <x v="2"/>
    <n v="0"/>
    <n v="0"/>
  </r>
  <r>
    <s v="VND-020"/>
    <s v="GasNetwork"/>
    <s v="Utilities"/>
    <s v="Central"/>
    <s v="INV-0700"/>
    <d v="2024-12-22T00:00:00"/>
    <d v="2025-01-06T00:00:00"/>
    <n v="15"/>
    <n v="10983.97"/>
    <n v="10983.97"/>
    <n v="0"/>
    <d v="2025-01-05T00:00:00"/>
    <n v="161"/>
    <n v="146"/>
    <x v="1"/>
    <n v="0.01"/>
    <n v="0"/>
  </r>
  <r>
    <s v="VND-020"/>
    <s v="GasNetwork"/>
    <s v="Utilities"/>
    <s v="Central"/>
    <s v="INV-0701"/>
    <d v="2025-01-07T00:00:00"/>
    <d v="2025-02-06T00:00:00"/>
    <n v="30"/>
    <n v="72530.73"/>
    <n v="72530.73"/>
    <n v="0"/>
    <d v="2025-02-18T00:00:00"/>
    <n v="145"/>
    <n v="115"/>
    <x v="1"/>
    <n v="2.5000000000000001E-2"/>
    <n v="0"/>
  </r>
  <r>
    <s v="VND-020"/>
    <s v="GasNetwork"/>
    <s v="Utilities"/>
    <s v="Central"/>
    <s v="INV-0702"/>
    <d v="2025-03-24T00:00:00"/>
    <d v="2025-04-08T00:00:00"/>
    <n v="15"/>
    <n v="48553.440000000002"/>
    <n v="0"/>
    <n v="48553.440000000002"/>
    <m/>
    <n v="69"/>
    <n v="54"/>
    <x v="3"/>
    <n v="0.0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EA75F-291E-4EA6-8D33-009FDAC9F302}" name="PT_Status" cacheId="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G9:I15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ays_overdue" fld="13" baseField="0" baseItem="0"/>
    <dataField name="Outstanding" fld="10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6A866-DC9C-4637-BE56-8DEEC7F1875F}" name="PT_Category" cacheId="0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2">
  <location ref="B9:C15" firstHeaderRow="1" firstDataRow="1" firstDataCol="1"/>
  <pivotFields count="17"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utstanding Balance" fld="10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or_category" xr10:uid="{A617CD15-7622-4CC8-9D81-1BA3E3C550BD}" sourceName="vendor_category">
  <pivotTables>
    <pivotTable tabId="2" name="PT_Category"/>
  </pivotTables>
  <data>
    <tabular pivotCacheId="1668924224">
      <items count="5">
        <i x="1" s="1"/>
        <i x="2" s="1"/>
        <i x="0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_status" xr10:uid="{96270CA3-E833-4750-82E7-A5E3ECA10667}" sourceName="payment_status">
  <pivotTables>
    <pivotTable tabId="2" name="PT_Status"/>
  </pivotTables>
  <data>
    <tabular pivotCacheId="1415404825">
      <items count="4">
        <i x="3" s="1"/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Slicer" xr10:uid="{86BFFEF6-30C8-49F8-A173-74140DB7B240}" cache="SegmentaciónDeDatos_vendor_category" caption="CategorySlicer" rowHeight="241300"/>
  <slicer name="StatusSlicer" xr10:uid="{6C458DFF-2132-4EB7-A02A-BF47985733B7}" cache="SegmentaciónDeDatos_payment_status" caption="StatusSlice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15D74-549B-4403-A3B4-B2876FC0FF6B}" name="VendorData" displayName="VendorData" ref="A1:Q703" totalsRowShown="0">
  <autoFilter ref="A1:Q703" xr:uid="{E8415D74-549B-4403-A3B4-B2876FC0FF6B}"/>
  <tableColumns count="17">
    <tableColumn id="1" xr3:uid="{73988F7F-DE80-47F8-A752-2825A66CB552}" name="vendor_id"/>
    <tableColumn id="2" xr3:uid="{2E6D4CC2-CDE0-4392-91A4-6850B8708F76}" name="vendor_name"/>
    <tableColumn id="3" xr3:uid="{D0CF15BA-8035-4DC3-95B2-0B24656EFA90}" name="vendor_category"/>
    <tableColumn id="4" xr3:uid="{42C58C2E-C377-4750-93EA-BAB179AFD48E}" name="region"/>
    <tableColumn id="5" xr3:uid="{3FFC607E-4A04-4F87-8258-CAD3FB515F79}" name="invoice_id"/>
    <tableColumn id="6" xr3:uid="{EECA7264-8562-4D91-8F7E-18F13E97F955}" name="invoice_date" dataDxfId="2"/>
    <tableColumn id="7" xr3:uid="{B3209F97-D470-4E65-B351-E0B435D22D84}" name="due_date" dataDxfId="1"/>
    <tableColumn id="8" xr3:uid="{34E6D8FA-C955-4FF3-B38B-129A2F90B793}" name="payment_terms"/>
    <tableColumn id="9" xr3:uid="{DDD1B703-4F67-4F61-B1CB-4B2ED8A3672F}" name="invoice_amount"/>
    <tableColumn id="10" xr3:uid="{66134495-3C41-4216-AA30-F2C97EC9BE81}" name="paid_amount"/>
    <tableColumn id="11" xr3:uid="{A92CC8D4-4851-4F70-93C6-D7D1906EC0B7}" name="outstanding_balance"/>
    <tableColumn id="12" xr3:uid="{705D6726-B2FD-490F-9A2C-67C5AA750E69}" name="payment_date" dataDxfId="0"/>
    <tableColumn id="13" xr3:uid="{2DA5A3F0-8D47-44A6-B4CF-C1EBC0112D30}" name="days_outstanding"/>
    <tableColumn id="14" xr3:uid="{07454DC7-C496-4BE3-8024-93D6349256A6}" name="days_overdue"/>
    <tableColumn id="15" xr3:uid="{CC0A8BF6-E04C-4EAE-BB1C-4C0CA2D94C37}" name="payment_status"/>
    <tableColumn id="16" xr3:uid="{FE08E3E9-30BA-45AE-BFB9-5C4CC60ABE50}" name="discount_rate"/>
    <tableColumn id="17" xr3:uid="{2823A5C7-C86C-4A11-B3E6-5D2EA1F699CF}" name="discount_captu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03BB-5540-496B-B74D-68BDBF5E045F}">
  <sheetPr>
    <tabColor rgb="FF1F3864"/>
  </sheetPr>
  <dimension ref="B2:N15"/>
  <sheetViews>
    <sheetView tabSelected="1" topLeftCell="B2" workbookViewId="0">
      <selection activeCell="B2" sqref="B2:N15"/>
    </sheetView>
  </sheetViews>
  <sheetFormatPr baseColWidth="10" defaultRowHeight="15" x14ac:dyDescent="0.25"/>
  <cols>
    <col min="2" max="2" width="17.5703125" bestFit="1" customWidth="1"/>
    <col min="3" max="3" width="19.28515625" bestFit="1" customWidth="1"/>
    <col min="6" max="6" width="12.7109375" bestFit="1" customWidth="1"/>
    <col min="7" max="7" width="17.5703125" bestFit="1" customWidth="1"/>
    <col min="8" max="8" width="21.7109375" bestFit="1" customWidth="1"/>
    <col min="9" max="9" width="11.85546875" bestFit="1" customWidth="1"/>
  </cols>
  <sheetData>
    <row r="2" spans="2:14" ht="42" customHeight="1" x14ac:dyDescent="0.25">
      <c r="B2" s="6" t="s">
        <v>773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2:14" ht="21.95" customHeight="1" x14ac:dyDescent="0.25">
      <c r="B4" t="s">
        <v>774</v>
      </c>
      <c r="F4" t="s">
        <v>775</v>
      </c>
      <c r="J4" t="s">
        <v>776</v>
      </c>
      <c r="N4" t="s">
        <v>777</v>
      </c>
    </row>
    <row r="5" spans="2:14" ht="32.1" customHeight="1" x14ac:dyDescent="0.25">
      <c r="B5" s="7">
        <f>SUM(VendorData[outstanding_balance])</f>
        <v>11672406.900000002</v>
      </c>
      <c r="F5" s="7">
        <f>SUMIF(VendorData[payment_status],"Overdue",VendorData[outstanding_balance])+SUMIF(VendorData[payment_status],"Partial",VendorData[outstanding_balance])</f>
        <v>4756652.7699999996</v>
      </c>
      <c r="J5" s="8">
        <f>AVERAGEIF(VendorData[payment_status],"&lt;&gt;Paid",VendorData[days_outstanding])</f>
        <v>69.160349854227405</v>
      </c>
      <c r="N5" s="7">
        <f>SUM(VendorData[discount_captured])</f>
        <v>93618.960000000021</v>
      </c>
    </row>
    <row r="6" spans="2:14" x14ac:dyDescent="0.25">
      <c r="B6" t="s">
        <v>778</v>
      </c>
      <c r="F6" t="s">
        <v>779</v>
      </c>
      <c r="J6" t="s">
        <v>780</v>
      </c>
      <c r="N6" t="s">
        <v>781</v>
      </c>
    </row>
    <row r="8" spans="2:14" x14ac:dyDescent="0.25">
      <c r="B8" t="s">
        <v>782</v>
      </c>
      <c r="H8" t="s">
        <v>783</v>
      </c>
      <c r="N8" t="s">
        <v>784</v>
      </c>
    </row>
    <row r="9" spans="2:14" x14ac:dyDescent="0.25">
      <c r="B9" s="2" t="s">
        <v>785</v>
      </c>
      <c r="C9" t="s">
        <v>787</v>
      </c>
      <c r="H9" s="2" t="s">
        <v>789</v>
      </c>
    </row>
    <row r="10" spans="2:14" x14ac:dyDescent="0.25">
      <c r="B10" s="3" t="s">
        <v>59</v>
      </c>
      <c r="C10" s="5">
        <v>2425053.91</v>
      </c>
      <c r="G10" s="2" t="s">
        <v>785</v>
      </c>
      <c r="H10" t="s">
        <v>788</v>
      </c>
      <c r="I10" t="s">
        <v>790</v>
      </c>
    </row>
    <row r="11" spans="2:14" x14ac:dyDescent="0.25">
      <c r="B11" s="3" t="s">
        <v>105</v>
      </c>
      <c r="C11" s="5">
        <v>2414143.7300000009</v>
      </c>
      <c r="G11" s="3" t="s">
        <v>36</v>
      </c>
      <c r="H11" s="4">
        <v>6318</v>
      </c>
      <c r="I11" s="5">
        <v>3492600.59</v>
      </c>
    </row>
    <row r="12" spans="2:14" x14ac:dyDescent="0.25">
      <c r="B12" s="3" t="s">
        <v>19</v>
      </c>
      <c r="C12" s="5">
        <v>2352815.6099999994</v>
      </c>
      <c r="G12" s="3" t="s">
        <v>25</v>
      </c>
      <c r="H12" s="4">
        <v>23739</v>
      </c>
      <c r="I12" s="5">
        <v>0</v>
      </c>
    </row>
    <row r="13" spans="2:14" x14ac:dyDescent="0.25">
      <c r="B13" s="3" t="s">
        <v>133</v>
      </c>
      <c r="C13" s="5">
        <v>2046606.89</v>
      </c>
      <c r="G13" s="3" t="s">
        <v>29</v>
      </c>
      <c r="H13" s="4">
        <v>4149</v>
      </c>
      <c r="I13" s="5">
        <v>1264052.1799999997</v>
      </c>
    </row>
    <row r="14" spans="2:14" x14ac:dyDescent="0.25">
      <c r="B14" s="3" t="s">
        <v>166</v>
      </c>
      <c r="C14" s="5">
        <v>2433786.7599999998</v>
      </c>
      <c r="G14" s="3" t="s">
        <v>22</v>
      </c>
      <c r="H14" s="4">
        <v>0</v>
      </c>
      <c r="I14" s="5">
        <v>6915754.1300000018</v>
      </c>
    </row>
    <row r="15" spans="2:14" x14ac:dyDescent="0.25">
      <c r="B15" s="3" t="s">
        <v>786</v>
      </c>
      <c r="C15" s="5">
        <v>11672406.9</v>
      </c>
      <c r="G15" s="3" t="s">
        <v>786</v>
      </c>
      <c r="H15" s="4">
        <v>34206</v>
      </c>
      <c r="I15" s="5">
        <v>11672406.900000002</v>
      </c>
    </row>
  </sheetData>
  <mergeCells count="1">
    <mergeCell ref="B2:N2"/>
  </mergeCells>
  <pageMargins left="0.7" right="0.7" top="0.75" bottom="0.75" header="0.3" footer="0.3"/>
  <pageSetup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80E6-318B-43A8-8EC7-C908E7BE1301}">
  <sheetPr>
    <tabColor rgb="FF808080"/>
  </sheetPr>
  <dimension ref="A1:Q703"/>
  <sheetViews>
    <sheetView workbookViewId="0"/>
  </sheetViews>
  <sheetFormatPr baseColWidth="10" defaultRowHeight="15" x14ac:dyDescent="0.25"/>
  <cols>
    <col min="1" max="1" width="12.28515625" bestFit="1" customWidth="1"/>
    <col min="2" max="2" width="19.28515625" bestFit="1" customWidth="1"/>
    <col min="3" max="3" width="18.140625" bestFit="1" customWidth="1"/>
    <col min="4" max="4" width="9" bestFit="1" customWidth="1"/>
    <col min="5" max="5" width="12.42578125" bestFit="1" customWidth="1"/>
    <col min="6" max="6" width="14.7109375" bestFit="1" customWidth="1"/>
    <col min="7" max="7" width="11.7109375" bestFit="1" customWidth="1"/>
    <col min="8" max="8" width="17.28515625" bestFit="1" customWidth="1"/>
    <col min="9" max="9" width="17.5703125" bestFit="1" customWidth="1"/>
    <col min="10" max="10" width="15" bestFit="1" customWidth="1"/>
    <col min="11" max="11" width="21.85546875" bestFit="1" customWidth="1"/>
    <col min="12" max="12" width="16.140625" bestFit="1" customWidth="1"/>
    <col min="13" max="13" width="19" bestFit="1" customWidth="1"/>
    <col min="14" max="14" width="15.7109375" bestFit="1" customWidth="1"/>
    <col min="15" max="15" width="17.42578125" bestFit="1" customWidth="1"/>
    <col min="16" max="16" width="15.42578125" bestFit="1" customWidth="1"/>
    <col min="17" max="17" width="19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1">
        <v>45753</v>
      </c>
      <c r="G2" s="1">
        <v>45843</v>
      </c>
      <c r="H2">
        <v>90</v>
      </c>
      <c r="I2">
        <v>15125.38</v>
      </c>
      <c r="J2">
        <v>0</v>
      </c>
      <c r="K2">
        <v>15125.38</v>
      </c>
      <c r="M2">
        <v>56</v>
      </c>
      <c r="N2">
        <v>0</v>
      </c>
      <c r="O2" t="s">
        <v>22</v>
      </c>
      <c r="P2">
        <v>0.01</v>
      </c>
      <c r="Q2">
        <v>0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23</v>
      </c>
      <c r="F3" s="1">
        <v>45782</v>
      </c>
      <c r="G3" s="1">
        <v>45827</v>
      </c>
      <c r="H3">
        <v>45</v>
      </c>
      <c r="I3">
        <v>58593.45</v>
      </c>
      <c r="J3">
        <v>0</v>
      </c>
      <c r="K3">
        <v>58593.45</v>
      </c>
      <c r="M3">
        <v>27</v>
      </c>
      <c r="N3">
        <v>0</v>
      </c>
      <c r="O3" t="s">
        <v>22</v>
      </c>
      <c r="P3">
        <v>0</v>
      </c>
      <c r="Q3">
        <v>0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24</v>
      </c>
      <c r="F4" s="1">
        <v>45679</v>
      </c>
      <c r="G4" s="1">
        <v>45709</v>
      </c>
      <c r="H4">
        <v>30</v>
      </c>
      <c r="I4">
        <v>34309.5</v>
      </c>
      <c r="J4">
        <v>34309.5</v>
      </c>
      <c r="K4">
        <v>0</v>
      </c>
      <c r="L4" s="1">
        <v>45735</v>
      </c>
      <c r="M4">
        <v>130</v>
      </c>
      <c r="N4">
        <v>100</v>
      </c>
      <c r="O4" t="s">
        <v>25</v>
      </c>
      <c r="P4">
        <v>0.01</v>
      </c>
      <c r="Q4">
        <v>0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26</v>
      </c>
      <c r="F5" s="1">
        <v>45709</v>
      </c>
      <c r="G5" s="1">
        <v>45769</v>
      </c>
      <c r="H5">
        <v>60</v>
      </c>
      <c r="I5">
        <v>69057.88</v>
      </c>
      <c r="J5">
        <v>69057.88</v>
      </c>
      <c r="K5">
        <v>0</v>
      </c>
      <c r="L5" s="1">
        <v>45751</v>
      </c>
      <c r="M5">
        <v>100</v>
      </c>
      <c r="N5">
        <v>40</v>
      </c>
      <c r="O5" t="s">
        <v>25</v>
      </c>
      <c r="P5">
        <v>0.01</v>
      </c>
      <c r="Q5">
        <v>690.58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 t="s">
        <v>27</v>
      </c>
      <c r="F6" s="1">
        <v>45759</v>
      </c>
      <c r="G6" s="1">
        <v>45849</v>
      </c>
      <c r="H6">
        <v>90</v>
      </c>
      <c r="I6">
        <v>27765.73</v>
      </c>
      <c r="J6">
        <v>0</v>
      </c>
      <c r="K6">
        <v>27765.73</v>
      </c>
      <c r="M6">
        <v>50</v>
      </c>
      <c r="N6">
        <v>0</v>
      </c>
      <c r="O6" t="s">
        <v>22</v>
      </c>
      <c r="P6">
        <v>0</v>
      </c>
      <c r="Q6">
        <v>0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 t="s">
        <v>28</v>
      </c>
      <c r="F7" s="1">
        <v>45701</v>
      </c>
      <c r="G7" s="1">
        <v>45716</v>
      </c>
      <c r="H7">
        <v>15</v>
      </c>
      <c r="I7">
        <v>22282.54</v>
      </c>
      <c r="J7">
        <v>7882.94</v>
      </c>
      <c r="K7">
        <v>14399.6</v>
      </c>
      <c r="L7" s="1">
        <v>45770</v>
      </c>
      <c r="M7">
        <v>108</v>
      </c>
      <c r="N7">
        <v>93</v>
      </c>
      <c r="O7" t="s">
        <v>29</v>
      </c>
      <c r="P7">
        <v>0</v>
      </c>
      <c r="Q7">
        <v>0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E8" t="s">
        <v>30</v>
      </c>
      <c r="F8" s="1">
        <v>45784</v>
      </c>
      <c r="G8" s="1">
        <v>45844</v>
      </c>
      <c r="H8">
        <v>60</v>
      </c>
      <c r="I8">
        <v>41973.74</v>
      </c>
      <c r="J8">
        <v>0</v>
      </c>
      <c r="K8">
        <v>41973.74</v>
      </c>
      <c r="M8">
        <v>25</v>
      </c>
      <c r="N8">
        <v>0</v>
      </c>
      <c r="O8" t="s">
        <v>22</v>
      </c>
      <c r="P8">
        <v>0.01</v>
      </c>
      <c r="Q8">
        <v>0</v>
      </c>
    </row>
    <row r="9" spans="1:17" x14ac:dyDescent="0.25">
      <c r="A9" t="s">
        <v>17</v>
      </c>
      <c r="B9" t="s">
        <v>18</v>
      </c>
      <c r="C9" t="s">
        <v>19</v>
      </c>
      <c r="D9" t="s">
        <v>20</v>
      </c>
      <c r="E9" t="s">
        <v>31</v>
      </c>
      <c r="F9" s="1">
        <v>45791</v>
      </c>
      <c r="G9" s="1">
        <v>45836</v>
      </c>
      <c r="H9">
        <v>45</v>
      </c>
      <c r="I9">
        <v>11202.04</v>
      </c>
      <c r="J9">
        <v>0</v>
      </c>
      <c r="K9">
        <v>11202.04</v>
      </c>
      <c r="M9">
        <v>18</v>
      </c>
      <c r="N9">
        <v>0</v>
      </c>
      <c r="O9" t="s">
        <v>22</v>
      </c>
      <c r="P9">
        <v>0.01</v>
      </c>
      <c r="Q9">
        <v>0</v>
      </c>
    </row>
    <row r="10" spans="1:17" x14ac:dyDescent="0.25">
      <c r="A10" t="s">
        <v>17</v>
      </c>
      <c r="B10" t="s">
        <v>18</v>
      </c>
      <c r="C10" t="s">
        <v>19</v>
      </c>
      <c r="D10" t="s">
        <v>20</v>
      </c>
      <c r="E10" t="s">
        <v>32</v>
      </c>
      <c r="F10" s="1">
        <v>45691</v>
      </c>
      <c r="G10" s="1">
        <v>45781</v>
      </c>
      <c r="H10">
        <v>90</v>
      </c>
      <c r="I10">
        <v>74062.91</v>
      </c>
      <c r="J10">
        <v>74062.91</v>
      </c>
      <c r="K10">
        <v>0</v>
      </c>
      <c r="L10" s="1">
        <v>45803</v>
      </c>
      <c r="M10">
        <v>118</v>
      </c>
      <c r="N10">
        <v>28</v>
      </c>
      <c r="O10" t="s">
        <v>25</v>
      </c>
      <c r="P10">
        <v>0.01</v>
      </c>
      <c r="Q10">
        <v>0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 t="s">
        <v>33</v>
      </c>
      <c r="F11" s="1">
        <v>45759</v>
      </c>
      <c r="G11" s="1">
        <v>45774</v>
      </c>
      <c r="H11">
        <v>15</v>
      </c>
      <c r="I11">
        <v>9673.6</v>
      </c>
      <c r="J11">
        <v>6517.76</v>
      </c>
      <c r="K11">
        <v>3155.84</v>
      </c>
      <c r="L11" s="1">
        <v>45765</v>
      </c>
      <c r="M11">
        <v>50</v>
      </c>
      <c r="N11">
        <v>35</v>
      </c>
      <c r="O11" t="s">
        <v>29</v>
      </c>
      <c r="P11">
        <v>0.01</v>
      </c>
      <c r="Q11">
        <v>0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 t="s">
        <v>34</v>
      </c>
      <c r="F12" s="1">
        <v>45696</v>
      </c>
      <c r="G12" s="1">
        <v>45711</v>
      </c>
      <c r="H12">
        <v>15</v>
      </c>
      <c r="I12">
        <v>12290.01</v>
      </c>
      <c r="J12">
        <v>12290.01</v>
      </c>
      <c r="K12">
        <v>0</v>
      </c>
      <c r="L12" s="1">
        <v>45700</v>
      </c>
      <c r="M12">
        <v>113</v>
      </c>
      <c r="N12">
        <v>98</v>
      </c>
      <c r="O12" t="s">
        <v>25</v>
      </c>
      <c r="P12">
        <v>0</v>
      </c>
      <c r="Q12">
        <v>0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E13" t="s">
        <v>35</v>
      </c>
      <c r="F13" s="1">
        <v>45671</v>
      </c>
      <c r="G13" s="1">
        <v>45731</v>
      </c>
      <c r="H13">
        <v>60</v>
      </c>
      <c r="I13">
        <v>16862.759999999998</v>
      </c>
      <c r="J13">
        <v>0</v>
      </c>
      <c r="K13">
        <v>16862.759999999998</v>
      </c>
      <c r="M13">
        <v>138</v>
      </c>
      <c r="N13">
        <v>78</v>
      </c>
      <c r="O13" t="s">
        <v>36</v>
      </c>
      <c r="P13">
        <v>0</v>
      </c>
      <c r="Q13">
        <v>0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 t="s">
        <v>37</v>
      </c>
      <c r="F14" s="1">
        <v>45691</v>
      </c>
      <c r="G14" s="1">
        <v>45736</v>
      </c>
      <c r="H14">
        <v>45</v>
      </c>
      <c r="I14">
        <v>44092.2</v>
      </c>
      <c r="J14">
        <v>44092.2</v>
      </c>
      <c r="K14">
        <v>0</v>
      </c>
      <c r="L14" s="1">
        <v>45735</v>
      </c>
      <c r="M14">
        <v>118</v>
      </c>
      <c r="N14">
        <v>73</v>
      </c>
      <c r="O14" t="s">
        <v>25</v>
      </c>
      <c r="P14">
        <v>0.01</v>
      </c>
      <c r="Q14">
        <v>0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E15" t="s">
        <v>38</v>
      </c>
      <c r="F15" s="1">
        <v>45683</v>
      </c>
      <c r="G15" s="1">
        <v>45698</v>
      </c>
      <c r="H15">
        <v>15</v>
      </c>
      <c r="I15">
        <v>11343.23</v>
      </c>
      <c r="J15">
        <v>0</v>
      </c>
      <c r="K15">
        <v>11343.23</v>
      </c>
      <c r="M15">
        <v>126</v>
      </c>
      <c r="N15">
        <v>111</v>
      </c>
      <c r="O15" t="s">
        <v>36</v>
      </c>
      <c r="P15">
        <v>0.01</v>
      </c>
      <c r="Q15">
        <v>0</v>
      </c>
    </row>
    <row r="16" spans="1:17" x14ac:dyDescent="0.25">
      <c r="A16" t="s">
        <v>17</v>
      </c>
      <c r="B16" t="s">
        <v>18</v>
      </c>
      <c r="C16" t="s">
        <v>19</v>
      </c>
      <c r="D16" t="s">
        <v>20</v>
      </c>
      <c r="E16" t="s">
        <v>39</v>
      </c>
      <c r="F16" s="1">
        <v>45700</v>
      </c>
      <c r="G16" s="1">
        <v>45715</v>
      </c>
      <c r="H16">
        <v>15</v>
      </c>
      <c r="I16">
        <v>8622.18</v>
      </c>
      <c r="J16">
        <v>8622.18</v>
      </c>
      <c r="K16">
        <v>0</v>
      </c>
      <c r="L16" s="1">
        <v>45705</v>
      </c>
      <c r="M16">
        <v>109</v>
      </c>
      <c r="N16">
        <v>94</v>
      </c>
      <c r="O16" t="s">
        <v>25</v>
      </c>
      <c r="P16">
        <v>0.01</v>
      </c>
      <c r="Q16">
        <v>86.22</v>
      </c>
    </row>
    <row r="17" spans="1:17" x14ac:dyDescent="0.25">
      <c r="A17" t="s">
        <v>17</v>
      </c>
      <c r="B17" t="s">
        <v>18</v>
      </c>
      <c r="C17" t="s">
        <v>19</v>
      </c>
      <c r="D17" t="s">
        <v>20</v>
      </c>
      <c r="E17" t="s">
        <v>40</v>
      </c>
      <c r="F17" s="1">
        <v>45700</v>
      </c>
      <c r="G17" s="1">
        <v>45730</v>
      </c>
      <c r="H17">
        <v>30</v>
      </c>
      <c r="I17">
        <v>74006.58</v>
      </c>
      <c r="J17">
        <v>74006.58</v>
      </c>
      <c r="K17">
        <v>0</v>
      </c>
      <c r="L17" s="1">
        <v>45756</v>
      </c>
      <c r="M17">
        <v>109</v>
      </c>
      <c r="N17">
        <v>79</v>
      </c>
      <c r="O17" t="s">
        <v>25</v>
      </c>
      <c r="P17">
        <v>0.02</v>
      </c>
      <c r="Q17">
        <v>0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E18" t="s">
        <v>41</v>
      </c>
      <c r="F18" s="1">
        <v>45745</v>
      </c>
      <c r="G18" s="1">
        <v>45790</v>
      </c>
      <c r="H18">
        <v>45</v>
      </c>
      <c r="I18">
        <v>10259.85</v>
      </c>
      <c r="J18">
        <v>10259.85</v>
      </c>
      <c r="K18">
        <v>0</v>
      </c>
      <c r="L18" s="1">
        <v>45749</v>
      </c>
      <c r="M18">
        <v>64</v>
      </c>
      <c r="N18">
        <v>19</v>
      </c>
      <c r="O18" t="s">
        <v>25</v>
      </c>
      <c r="P18">
        <v>0.02</v>
      </c>
      <c r="Q18">
        <v>205.2</v>
      </c>
    </row>
    <row r="19" spans="1:17" x14ac:dyDescent="0.25">
      <c r="A19" t="s">
        <v>17</v>
      </c>
      <c r="B19" t="s">
        <v>18</v>
      </c>
      <c r="C19" t="s">
        <v>19</v>
      </c>
      <c r="D19" t="s">
        <v>20</v>
      </c>
      <c r="E19" t="s">
        <v>42</v>
      </c>
      <c r="F19" s="1">
        <v>45676</v>
      </c>
      <c r="G19" s="1">
        <v>45721</v>
      </c>
      <c r="H19">
        <v>45</v>
      </c>
      <c r="I19">
        <v>1880.73</v>
      </c>
      <c r="J19">
        <v>1880.73</v>
      </c>
      <c r="K19">
        <v>0</v>
      </c>
      <c r="L19" s="1">
        <v>45700</v>
      </c>
      <c r="M19">
        <v>133</v>
      </c>
      <c r="N19">
        <v>88</v>
      </c>
      <c r="O19" t="s">
        <v>25</v>
      </c>
      <c r="P19">
        <v>0</v>
      </c>
      <c r="Q19">
        <v>0</v>
      </c>
    </row>
    <row r="20" spans="1:17" x14ac:dyDescent="0.25">
      <c r="A20" t="s">
        <v>17</v>
      </c>
      <c r="B20" t="s">
        <v>18</v>
      </c>
      <c r="C20" t="s">
        <v>19</v>
      </c>
      <c r="D20" t="s">
        <v>20</v>
      </c>
      <c r="E20" t="s">
        <v>43</v>
      </c>
      <c r="F20" s="1">
        <v>45702</v>
      </c>
      <c r="G20" s="1">
        <v>45747</v>
      </c>
      <c r="H20">
        <v>45</v>
      </c>
      <c r="I20">
        <v>65967</v>
      </c>
      <c r="J20">
        <v>65967</v>
      </c>
      <c r="K20">
        <v>0</v>
      </c>
      <c r="L20" s="1">
        <v>45725</v>
      </c>
      <c r="M20">
        <v>107</v>
      </c>
      <c r="N20">
        <v>62</v>
      </c>
      <c r="O20" t="s">
        <v>25</v>
      </c>
      <c r="P20">
        <v>2.5000000000000001E-2</v>
      </c>
      <c r="Q20">
        <v>1649.18</v>
      </c>
    </row>
    <row r="21" spans="1:17" x14ac:dyDescent="0.25">
      <c r="A21" t="s">
        <v>17</v>
      </c>
      <c r="B21" t="s">
        <v>18</v>
      </c>
      <c r="C21" t="s">
        <v>19</v>
      </c>
      <c r="D21" t="s">
        <v>20</v>
      </c>
      <c r="E21" t="s">
        <v>44</v>
      </c>
      <c r="F21" s="1">
        <v>45668</v>
      </c>
      <c r="G21" s="1">
        <v>45683</v>
      </c>
      <c r="H21">
        <v>15</v>
      </c>
      <c r="I21">
        <v>15316.81</v>
      </c>
      <c r="J21">
        <v>15316.81</v>
      </c>
      <c r="K21">
        <v>0</v>
      </c>
      <c r="L21" s="1">
        <v>45707</v>
      </c>
      <c r="M21">
        <v>141</v>
      </c>
      <c r="N21">
        <v>126</v>
      </c>
      <c r="O21" t="s">
        <v>25</v>
      </c>
      <c r="P21">
        <v>0</v>
      </c>
      <c r="Q21">
        <v>0</v>
      </c>
    </row>
    <row r="22" spans="1:17" x14ac:dyDescent="0.25">
      <c r="A22" t="s">
        <v>17</v>
      </c>
      <c r="B22" t="s">
        <v>18</v>
      </c>
      <c r="C22" t="s">
        <v>19</v>
      </c>
      <c r="D22" t="s">
        <v>20</v>
      </c>
      <c r="E22" t="s">
        <v>45</v>
      </c>
      <c r="F22" s="1">
        <v>45702</v>
      </c>
      <c r="G22" s="1">
        <v>45762</v>
      </c>
      <c r="H22">
        <v>60</v>
      </c>
      <c r="I22">
        <v>19186.57</v>
      </c>
      <c r="J22">
        <v>0</v>
      </c>
      <c r="K22">
        <v>19186.57</v>
      </c>
      <c r="M22">
        <v>107</v>
      </c>
      <c r="N22">
        <v>47</v>
      </c>
      <c r="O22" t="s">
        <v>36</v>
      </c>
      <c r="P22">
        <v>0.01</v>
      </c>
      <c r="Q22">
        <v>0</v>
      </c>
    </row>
    <row r="23" spans="1:17" x14ac:dyDescent="0.25">
      <c r="A23" t="s">
        <v>17</v>
      </c>
      <c r="B23" t="s">
        <v>18</v>
      </c>
      <c r="C23" t="s">
        <v>19</v>
      </c>
      <c r="D23" t="s">
        <v>20</v>
      </c>
      <c r="E23" t="s">
        <v>46</v>
      </c>
      <c r="F23" s="1">
        <v>45725</v>
      </c>
      <c r="G23" s="1">
        <v>45740</v>
      </c>
      <c r="H23">
        <v>15</v>
      </c>
      <c r="I23">
        <v>70064.179999999993</v>
      </c>
      <c r="J23">
        <v>70064.179999999993</v>
      </c>
      <c r="K23">
        <v>0</v>
      </c>
      <c r="L23" s="1">
        <v>45732</v>
      </c>
      <c r="M23">
        <v>84</v>
      </c>
      <c r="N23">
        <v>69</v>
      </c>
      <c r="O23" t="s">
        <v>25</v>
      </c>
      <c r="P23">
        <v>0.02</v>
      </c>
      <c r="Q23">
        <v>1401.28</v>
      </c>
    </row>
    <row r="24" spans="1:17" x14ac:dyDescent="0.25">
      <c r="A24" t="s">
        <v>17</v>
      </c>
      <c r="B24" t="s">
        <v>18</v>
      </c>
      <c r="C24" t="s">
        <v>19</v>
      </c>
      <c r="D24" t="s">
        <v>20</v>
      </c>
      <c r="E24" t="s">
        <v>47</v>
      </c>
      <c r="F24" s="1">
        <v>45706</v>
      </c>
      <c r="G24" s="1">
        <v>45751</v>
      </c>
      <c r="H24">
        <v>45</v>
      </c>
      <c r="I24">
        <v>35611.9</v>
      </c>
      <c r="J24">
        <v>35611.9</v>
      </c>
      <c r="K24">
        <v>0</v>
      </c>
      <c r="L24" s="1">
        <v>45765</v>
      </c>
      <c r="M24">
        <v>103</v>
      </c>
      <c r="N24">
        <v>58</v>
      </c>
      <c r="O24" t="s">
        <v>25</v>
      </c>
      <c r="P24">
        <v>0</v>
      </c>
      <c r="Q24">
        <v>0</v>
      </c>
    </row>
    <row r="25" spans="1:17" x14ac:dyDescent="0.25">
      <c r="A25" t="s">
        <v>17</v>
      </c>
      <c r="B25" t="s">
        <v>18</v>
      </c>
      <c r="C25" t="s">
        <v>19</v>
      </c>
      <c r="D25" t="s">
        <v>20</v>
      </c>
      <c r="E25" t="s">
        <v>48</v>
      </c>
      <c r="F25" s="1">
        <v>45739</v>
      </c>
      <c r="G25" s="1">
        <v>45754</v>
      </c>
      <c r="H25">
        <v>15</v>
      </c>
      <c r="I25">
        <v>40748.9</v>
      </c>
      <c r="J25">
        <v>40748.9</v>
      </c>
      <c r="K25">
        <v>0</v>
      </c>
      <c r="L25" s="1">
        <v>45772</v>
      </c>
      <c r="M25">
        <v>70</v>
      </c>
      <c r="N25">
        <v>55</v>
      </c>
      <c r="O25" t="s">
        <v>25</v>
      </c>
      <c r="P25">
        <v>0.02</v>
      </c>
      <c r="Q25">
        <v>0</v>
      </c>
    </row>
    <row r="26" spans="1:17" x14ac:dyDescent="0.25">
      <c r="A26" t="s">
        <v>17</v>
      </c>
      <c r="B26" t="s">
        <v>18</v>
      </c>
      <c r="C26" t="s">
        <v>19</v>
      </c>
      <c r="D26" t="s">
        <v>20</v>
      </c>
      <c r="E26" t="s">
        <v>49</v>
      </c>
      <c r="F26" s="1">
        <v>45772</v>
      </c>
      <c r="G26" s="1">
        <v>45817</v>
      </c>
      <c r="H26">
        <v>45</v>
      </c>
      <c r="I26">
        <v>35042.83</v>
      </c>
      <c r="J26">
        <v>0</v>
      </c>
      <c r="K26">
        <v>35042.83</v>
      </c>
      <c r="M26">
        <v>37</v>
      </c>
      <c r="N26">
        <v>0</v>
      </c>
      <c r="O26" t="s">
        <v>22</v>
      </c>
      <c r="P26">
        <v>0.02</v>
      </c>
      <c r="Q26">
        <v>0</v>
      </c>
    </row>
    <row r="27" spans="1:17" x14ac:dyDescent="0.25">
      <c r="A27" t="s">
        <v>17</v>
      </c>
      <c r="B27" t="s">
        <v>18</v>
      </c>
      <c r="C27" t="s">
        <v>19</v>
      </c>
      <c r="D27" t="s">
        <v>20</v>
      </c>
      <c r="E27" t="s">
        <v>50</v>
      </c>
      <c r="F27" s="1">
        <v>45636</v>
      </c>
      <c r="G27" s="1">
        <v>45726</v>
      </c>
      <c r="H27">
        <v>90</v>
      </c>
      <c r="I27">
        <v>13594.17</v>
      </c>
      <c r="J27">
        <v>0</v>
      </c>
      <c r="K27">
        <v>13594.17</v>
      </c>
      <c r="M27">
        <v>173</v>
      </c>
      <c r="N27">
        <v>83</v>
      </c>
      <c r="O27" t="s">
        <v>36</v>
      </c>
      <c r="P27">
        <v>2.5000000000000001E-2</v>
      </c>
      <c r="Q27">
        <v>0</v>
      </c>
    </row>
    <row r="28" spans="1:17" x14ac:dyDescent="0.25">
      <c r="A28" t="s">
        <v>17</v>
      </c>
      <c r="B28" t="s">
        <v>18</v>
      </c>
      <c r="C28" t="s">
        <v>19</v>
      </c>
      <c r="D28" t="s">
        <v>20</v>
      </c>
      <c r="E28" t="s">
        <v>51</v>
      </c>
      <c r="F28" s="1">
        <v>45650</v>
      </c>
      <c r="G28" s="1">
        <v>45740</v>
      </c>
      <c r="H28">
        <v>90</v>
      </c>
      <c r="I28">
        <v>53675.75</v>
      </c>
      <c r="J28">
        <v>53675.75</v>
      </c>
      <c r="K28">
        <v>0</v>
      </c>
      <c r="L28" s="1">
        <v>45693</v>
      </c>
      <c r="M28">
        <v>159</v>
      </c>
      <c r="N28">
        <v>69</v>
      </c>
      <c r="O28" t="s">
        <v>25</v>
      </c>
      <c r="P28">
        <v>2.5000000000000001E-2</v>
      </c>
      <c r="Q28">
        <v>1341.89</v>
      </c>
    </row>
    <row r="29" spans="1:17" x14ac:dyDescent="0.25">
      <c r="A29" t="s">
        <v>17</v>
      </c>
      <c r="B29" t="s">
        <v>18</v>
      </c>
      <c r="C29" t="s">
        <v>19</v>
      </c>
      <c r="D29" t="s">
        <v>20</v>
      </c>
      <c r="E29" t="s">
        <v>52</v>
      </c>
      <c r="F29" s="1">
        <v>45754</v>
      </c>
      <c r="G29" s="1">
        <v>45799</v>
      </c>
      <c r="H29">
        <v>45</v>
      </c>
      <c r="I29">
        <v>1340.59</v>
      </c>
      <c r="J29">
        <v>0</v>
      </c>
      <c r="K29">
        <v>1340.59</v>
      </c>
      <c r="M29">
        <v>55</v>
      </c>
      <c r="N29">
        <v>10</v>
      </c>
      <c r="O29" t="s">
        <v>36</v>
      </c>
      <c r="P29">
        <v>0.02</v>
      </c>
      <c r="Q29">
        <v>0</v>
      </c>
    </row>
    <row r="30" spans="1:17" x14ac:dyDescent="0.25">
      <c r="A30" t="s">
        <v>17</v>
      </c>
      <c r="B30" t="s">
        <v>18</v>
      </c>
      <c r="C30" t="s">
        <v>19</v>
      </c>
      <c r="D30" t="s">
        <v>20</v>
      </c>
      <c r="E30" t="s">
        <v>53</v>
      </c>
      <c r="F30" s="1">
        <v>45755</v>
      </c>
      <c r="G30" s="1">
        <v>45785</v>
      </c>
      <c r="H30">
        <v>30</v>
      </c>
      <c r="I30">
        <v>63369.91</v>
      </c>
      <c r="J30">
        <v>0</v>
      </c>
      <c r="K30">
        <v>63369.91</v>
      </c>
      <c r="M30">
        <v>54</v>
      </c>
      <c r="N30">
        <v>24</v>
      </c>
      <c r="O30" t="s">
        <v>36</v>
      </c>
      <c r="P30">
        <v>0.02</v>
      </c>
      <c r="Q30">
        <v>0</v>
      </c>
    </row>
    <row r="31" spans="1:17" x14ac:dyDescent="0.25">
      <c r="A31" t="s">
        <v>17</v>
      </c>
      <c r="B31" t="s">
        <v>18</v>
      </c>
      <c r="C31" t="s">
        <v>19</v>
      </c>
      <c r="D31" t="s">
        <v>20</v>
      </c>
      <c r="E31" t="s">
        <v>54</v>
      </c>
      <c r="F31" s="1">
        <v>45745</v>
      </c>
      <c r="G31" s="1">
        <v>45805</v>
      </c>
      <c r="H31">
        <v>60</v>
      </c>
      <c r="I31">
        <v>68979.929999999993</v>
      </c>
      <c r="J31">
        <v>0</v>
      </c>
      <c r="K31">
        <v>68979.929999999993</v>
      </c>
      <c r="M31">
        <v>64</v>
      </c>
      <c r="N31">
        <v>4</v>
      </c>
      <c r="O31" t="s">
        <v>36</v>
      </c>
      <c r="P31">
        <v>0.02</v>
      </c>
      <c r="Q31">
        <v>0</v>
      </c>
    </row>
    <row r="32" spans="1:17" x14ac:dyDescent="0.25">
      <c r="A32" t="s">
        <v>17</v>
      </c>
      <c r="B32" t="s">
        <v>18</v>
      </c>
      <c r="C32" t="s">
        <v>19</v>
      </c>
      <c r="D32" t="s">
        <v>20</v>
      </c>
      <c r="E32" t="s">
        <v>55</v>
      </c>
      <c r="F32" s="1">
        <v>45804</v>
      </c>
      <c r="G32" s="1">
        <v>45819</v>
      </c>
      <c r="H32">
        <v>15</v>
      </c>
      <c r="I32">
        <v>40630.839999999997</v>
      </c>
      <c r="J32">
        <v>0</v>
      </c>
      <c r="K32">
        <v>40630.839999999997</v>
      </c>
      <c r="M32">
        <v>5</v>
      </c>
      <c r="N32">
        <v>0</v>
      </c>
      <c r="O32" t="s">
        <v>22</v>
      </c>
      <c r="P32">
        <v>0.01</v>
      </c>
      <c r="Q32">
        <v>0</v>
      </c>
    </row>
    <row r="33" spans="1:17" x14ac:dyDescent="0.25">
      <c r="A33" t="s">
        <v>17</v>
      </c>
      <c r="B33" t="s">
        <v>18</v>
      </c>
      <c r="C33" t="s">
        <v>19</v>
      </c>
      <c r="D33" t="s">
        <v>20</v>
      </c>
      <c r="E33" t="s">
        <v>56</v>
      </c>
      <c r="F33" s="1">
        <v>45725</v>
      </c>
      <c r="G33" s="1">
        <v>45755</v>
      </c>
      <c r="H33">
        <v>30</v>
      </c>
      <c r="I33">
        <v>41378.160000000003</v>
      </c>
      <c r="J33">
        <v>41378.160000000003</v>
      </c>
      <c r="K33">
        <v>0</v>
      </c>
      <c r="L33" s="1">
        <v>45764</v>
      </c>
      <c r="M33">
        <v>84</v>
      </c>
      <c r="N33">
        <v>54</v>
      </c>
      <c r="O33" t="s">
        <v>25</v>
      </c>
      <c r="P33">
        <v>2.5000000000000001E-2</v>
      </c>
      <c r="Q33">
        <v>0</v>
      </c>
    </row>
    <row r="34" spans="1:17" x14ac:dyDescent="0.25">
      <c r="A34" t="s">
        <v>57</v>
      </c>
      <c r="B34" t="s">
        <v>58</v>
      </c>
      <c r="C34" t="s">
        <v>59</v>
      </c>
      <c r="D34" t="s">
        <v>20</v>
      </c>
      <c r="E34" t="s">
        <v>60</v>
      </c>
      <c r="F34" s="1">
        <v>45685</v>
      </c>
      <c r="G34" s="1">
        <v>45775</v>
      </c>
      <c r="H34">
        <v>90</v>
      </c>
      <c r="I34">
        <v>42951.45</v>
      </c>
      <c r="J34">
        <v>42951.45</v>
      </c>
      <c r="K34">
        <v>0</v>
      </c>
      <c r="L34" s="1">
        <v>45687</v>
      </c>
      <c r="M34">
        <v>124</v>
      </c>
      <c r="N34">
        <v>34</v>
      </c>
      <c r="O34" t="s">
        <v>25</v>
      </c>
      <c r="P34">
        <v>0.02</v>
      </c>
      <c r="Q34">
        <v>859.03</v>
      </c>
    </row>
    <row r="35" spans="1:17" x14ac:dyDescent="0.25">
      <c r="A35" t="s">
        <v>57</v>
      </c>
      <c r="B35" t="s">
        <v>58</v>
      </c>
      <c r="C35" t="s">
        <v>59</v>
      </c>
      <c r="D35" t="s">
        <v>20</v>
      </c>
      <c r="E35" t="s">
        <v>61</v>
      </c>
      <c r="F35" s="1">
        <v>45778</v>
      </c>
      <c r="G35" s="1">
        <v>45823</v>
      </c>
      <c r="H35">
        <v>45</v>
      </c>
      <c r="I35">
        <v>6970.15</v>
      </c>
      <c r="J35">
        <v>0</v>
      </c>
      <c r="K35">
        <v>6970.15</v>
      </c>
      <c r="M35">
        <v>31</v>
      </c>
      <c r="N35">
        <v>0</v>
      </c>
      <c r="O35" t="s">
        <v>22</v>
      </c>
      <c r="P35">
        <v>0</v>
      </c>
      <c r="Q35">
        <v>0</v>
      </c>
    </row>
    <row r="36" spans="1:17" x14ac:dyDescent="0.25">
      <c r="A36" t="s">
        <v>57</v>
      </c>
      <c r="B36" t="s">
        <v>58</v>
      </c>
      <c r="C36" t="s">
        <v>59</v>
      </c>
      <c r="D36" t="s">
        <v>20</v>
      </c>
      <c r="E36" t="s">
        <v>62</v>
      </c>
      <c r="F36" s="1">
        <v>45698</v>
      </c>
      <c r="G36" s="1">
        <v>45743</v>
      </c>
      <c r="H36">
        <v>45</v>
      </c>
      <c r="I36">
        <v>30168.89</v>
      </c>
      <c r="J36">
        <v>30168.89</v>
      </c>
      <c r="K36">
        <v>0</v>
      </c>
      <c r="L36" s="1">
        <v>45704</v>
      </c>
      <c r="M36">
        <v>111</v>
      </c>
      <c r="N36">
        <v>66</v>
      </c>
      <c r="O36" t="s">
        <v>25</v>
      </c>
      <c r="P36">
        <v>0.02</v>
      </c>
      <c r="Q36">
        <v>603.38</v>
      </c>
    </row>
    <row r="37" spans="1:17" x14ac:dyDescent="0.25">
      <c r="A37" t="s">
        <v>57</v>
      </c>
      <c r="B37" t="s">
        <v>58</v>
      </c>
      <c r="C37" t="s">
        <v>59</v>
      </c>
      <c r="D37" t="s">
        <v>20</v>
      </c>
      <c r="E37" t="s">
        <v>63</v>
      </c>
      <c r="F37" s="1">
        <v>45703</v>
      </c>
      <c r="G37" s="1">
        <v>45763</v>
      </c>
      <c r="H37">
        <v>60</v>
      </c>
      <c r="I37">
        <v>63350.62</v>
      </c>
      <c r="J37">
        <v>12032.06</v>
      </c>
      <c r="K37">
        <v>51318.559999999998</v>
      </c>
      <c r="L37" s="1">
        <v>45720</v>
      </c>
      <c r="M37">
        <v>106</v>
      </c>
      <c r="N37">
        <v>46</v>
      </c>
      <c r="O37" t="s">
        <v>29</v>
      </c>
      <c r="P37">
        <v>0.02</v>
      </c>
      <c r="Q37">
        <v>0</v>
      </c>
    </row>
    <row r="38" spans="1:17" x14ac:dyDescent="0.25">
      <c r="A38" t="s">
        <v>57</v>
      </c>
      <c r="B38" t="s">
        <v>58</v>
      </c>
      <c r="C38" t="s">
        <v>59</v>
      </c>
      <c r="D38" t="s">
        <v>20</v>
      </c>
      <c r="E38" t="s">
        <v>64</v>
      </c>
      <c r="F38" s="1">
        <v>45690</v>
      </c>
      <c r="G38" s="1">
        <v>45750</v>
      </c>
      <c r="H38">
        <v>60</v>
      </c>
      <c r="I38">
        <v>34034.879999999997</v>
      </c>
      <c r="J38">
        <v>34034.879999999997</v>
      </c>
      <c r="K38">
        <v>0</v>
      </c>
      <c r="L38" s="1">
        <v>45703</v>
      </c>
      <c r="M38">
        <v>119</v>
      </c>
      <c r="N38">
        <v>59</v>
      </c>
      <c r="O38" t="s">
        <v>25</v>
      </c>
      <c r="P38">
        <v>0.01</v>
      </c>
      <c r="Q38">
        <v>340.35</v>
      </c>
    </row>
    <row r="39" spans="1:17" x14ac:dyDescent="0.25">
      <c r="A39" t="s">
        <v>57</v>
      </c>
      <c r="B39" t="s">
        <v>58</v>
      </c>
      <c r="C39" t="s">
        <v>59</v>
      </c>
      <c r="D39" t="s">
        <v>20</v>
      </c>
      <c r="E39" t="s">
        <v>65</v>
      </c>
      <c r="F39" s="1">
        <v>45734</v>
      </c>
      <c r="G39" s="1">
        <v>45794</v>
      </c>
      <c r="H39">
        <v>60</v>
      </c>
      <c r="I39">
        <v>46240.43</v>
      </c>
      <c r="J39">
        <v>46240.43</v>
      </c>
      <c r="K39">
        <v>0</v>
      </c>
      <c r="L39" s="1">
        <v>45792</v>
      </c>
      <c r="M39">
        <v>75</v>
      </c>
      <c r="N39">
        <v>15</v>
      </c>
      <c r="O39" t="s">
        <v>25</v>
      </c>
      <c r="P39">
        <v>2.5000000000000001E-2</v>
      </c>
      <c r="Q39">
        <v>0</v>
      </c>
    </row>
    <row r="40" spans="1:17" x14ac:dyDescent="0.25">
      <c r="A40" t="s">
        <v>57</v>
      </c>
      <c r="B40" t="s">
        <v>58</v>
      </c>
      <c r="C40" t="s">
        <v>59</v>
      </c>
      <c r="D40" t="s">
        <v>20</v>
      </c>
      <c r="E40" t="s">
        <v>66</v>
      </c>
      <c r="F40" s="1">
        <v>45682</v>
      </c>
      <c r="G40" s="1">
        <v>45772</v>
      </c>
      <c r="H40">
        <v>90</v>
      </c>
      <c r="I40">
        <v>71541.42</v>
      </c>
      <c r="J40">
        <v>0</v>
      </c>
      <c r="K40">
        <v>71541.42</v>
      </c>
      <c r="M40">
        <v>127</v>
      </c>
      <c r="N40">
        <v>37</v>
      </c>
      <c r="O40" t="s">
        <v>36</v>
      </c>
      <c r="P40">
        <v>2.5000000000000001E-2</v>
      </c>
      <c r="Q40">
        <v>0</v>
      </c>
    </row>
    <row r="41" spans="1:17" x14ac:dyDescent="0.25">
      <c r="A41" t="s">
        <v>57</v>
      </c>
      <c r="B41" t="s">
        <v>58</v>
      </c>
      <c r="C41" t="s">
        <v>59</v>
      </c>
      <c r="D41" t="s">
        <v>20</v>
      </c>
      <c r="E41" t="s">
        <v>67</v>
      </c>
      <c r="F41" s="1">
        <v>45785</v>
      </c>
      <c r="G41" s="1">
        <v>45875</v>
      </c>
      <c r="H41">
        <v>90</v>
      </c>
      <c r="I41">
        <v>19926.27</v>
      </c>
      <c r="J41">
        <v>0</v>
      </c>
      <c r="K41">
        <v>19926.27</v>
      </c>
      <c r="M41">
        <v>24</v>
      </c>
      <c r="N41">
        <v>0</v>
      </c>
      <c r="O41" t="s">
        <v>22</v>
      </c>
      <c r="P41">
        <v>2.5000000000000001E-2</v>
      </c>
      <c r="Q41">
        <v>0</v>
      </c>
    </row>
    <row r="42" spans="1:17" x14ac:dyDescent="0.25">
      <c r="A42" t="s">
        <v>57</v>
      </c>
      <c r="B42" t="s">
        <v>58</v>
      </c>
      <c r="C42" t="s">
        <v>59</v>
      </c>
      <c r="D42" t="s">
        <v>20</v>
      </c>
      <c r="E42" t="s">
        <v>68</v>
      </c>
      <c r="F42" s="1">
        <v>45775</v>
      </c>
      <c r="G42" s="1">
        <v>45820</v>
      </c>
      <c r="H42">
        <v>45</v>
      </c>
      <c r="I42">
        <v>63904.89</v>
      </c>
      <c r="J42">
        <v>0</v>
      </c>
      <c r="K42">
        <v>63904.89</v>
      </c>
      <c r="M42">
        <v>34</v>
      </c>
      <c r="N42">
        <v>0</v>
      </c>
      <c r="O42" t="s">
        <v>22</v>
      </c>
      <c r="P42">
        <v>0</v>
      </c>
      <c r="Q42">
        <v>0</v>
      </c>
    </row>
    <row r="43" spans="1:17" x14ac:dyDescent="0.25">
      <c r="A43" t="s">
        <v>57</v>
      </c>
      <c r="B43" t="s">
        <v>58</v>
      </c>
      <c r="C43" t="s">
        <v>59</v>
      </c>
      <c r="D43" t="s">
        <v>20</v>
      </c>
      <c r="E43" t="s">
        <v>69</v>
      </c>
      <c r="F43" s="1">
        <v>45803</v>
      </c>
      <c r="G43" s="1">
        <v>45893</v>
      </c>
      <c r="H43">
        <v>90</v>
      </c>
      <c r="I43">
        <v>54769.74</v>
      </c>
      <c r="J43">
        <v>0</v>
      </c>
      <c r="K43">
        <v>54769.74</v>
      </c>
      <c r="M43">
        <v>6</v>
      </c>
      <c r="N43">
        <v>0</v>
      </c>
      <c r="O43" t="s">
        <v>22</v>
      </c>
      <c r="P43">
        <v>0.02</v>
      </c>
      <c r="Q43">
        <v>0</v>
      </c>
    </row>
    <row r="44" spans="1:17" x14ac:dyDescent="0.25">
      <c r="A44" t="s">
        <v>57</v>
      </c>
      <c r="B44" t="s">
        <v>58</v>
      </c>
      <c r="C44" t="s">
        <v>59</v>
      </c>
      <c r="D44" t="s">
        <v>20</v>
      </c>
      <c r="E44" t="s">
        <v>70</v>
      </c>
      <c r="F44" s="1">
        <v>45655</v>
      </c>
      <c r="G44" s="1">
        <v>45700</v>
      </c>
      <c r="H44">
        <v>45</v>
      </c>
      <c r="I44">
        <v>33701.17</v>
      </c>
      <c r="J44">
        <v>33701.17</v>
      </c>
      <c r="K44">
        <v>0</v>
      </c>
      <c r="L44" s="1">
        <v>45658</v>
      </c>
      <c r="M44">
        <v>154</v>
      </c>
      <c r="N44">
        <v>109</v>
      </c>
      <c r="O44" t="s">
        <v>25</v>
      </c>
      <c r="P44">
        <v>0.01</v>
      </c>
      <c r="Q44">
        <v>337.01</v>
      </c>
    </row>
    <row r="45" spans="1:17" x14ac:dyDescent="0.25">
      <c r="A45" t="s">
        <v>57</v>
      </c>
      <c r="B45" t="s">
        <v>58</v>
      </c>
      <c r="C45" t="s">
        <v>59</v>
      </c>
      <c r="D45" t="s">
        <v>20</v>
      </c>
      <c r="E45" t="s">
        <v>71</v>
      </c>
      <c r="F45" s="1">
        <v>45703</v>
      </c>
      <c r="G45" s="1">
        <v>45718</v>
      </c>
      <c r="H45">
        <v>15</v>
      </c>
      <c r="I45">
        <v>4772.75</v>
      </c>
      <c r="J45">
        <v>0</v>
      </c>
      <c r="K45">
        <v>4772.75</v>
      </c>
      <c r="M45">
        <v>106</v>
      </c>
      <c r="N45">
        <v>91</v>
      </c>
      <c r="O45" t="s">
        <v>36</v>
      </c>
      <c r="P45">
        <v>0.01</v>
      </c>
      <c r="Q45">
        <v>0</v>
      </c>
    </row>
    <row r="46" spans="1:17" x14ac:dyDescent="0.25">
      <c r="A46" t="s">
        <v>57</v>
      </c>
      <c r="B46" t="s">
        <v>58</v>
      </c>
      <c r="C46" t="s">
        <v>59</v>
      </c>
      <c r="D46" t="s">
        <v>20</v>
      </c>
      <c r="E46" t="s">
        <v>72</v>
      </c>
      <c r="F46" s="1">
        <v>45730</v>
      </c>
      <c r="G46" s="1">
        <v>45760</v>
      </c>
      <c r="H46">
        <v>30</v>
      </c>
      <c r="I46">
        <v>67188.87</v>
      </c>
      <c r="J46">
        <v>0</v>
      </c>
      <c r="K46">
        <v>67188.87</v>
      </c>
      <c r="M46">
        <v>79</v>
      </c>
      <c r="N46">
        <v>49</v>
      </c>
      <c r="O46" t="s">
        <v>36</v>
      </c>
      <c r="P46">
        <v>0</v>
      </c>
      <c r="Q46">
        <v>0</v>
      </c>
    </row>
    <row r="47" spans="1:17" x14ac:dyDescent="0.25">
      <c r="A47" t="s">
        <v>57</v>
      </c>
      <c r="B47" t="s">
        <v>58</v>
      </c>
      <c r="C47" t="s">
        <v>59</v>
      </c>
      <c r="D47" t="s">
        <v>20</v>
      </c>
      <c r="E47" t="s">
        <v>73</v>
      </c>
      <c r="F47" s="1">
        <v>45698</v>
      </c>
      <c r="G47" s="1">
        <v>45728</v>
      </c>
      <c r="H47">
        <v>30</v>
      </c>
      <c r="I47">
        <v>64622.99</v>
      </c>
      <c r="J47">
        <v>18802.77</v>
      </c>
      <c r="K47">
        <v>45820.22</v>
      </c>
      <c r="L47" s="1">
        <v>45783</v>
      </c>
      <c r="M47">
        <v>111</v>
      </c>
      <c r="N47">
        <v>81</v>
      </c>
      <c r="O47" t="s">
        <v>29</v>
      </c>
      <c r="P47">
        <v>0</v>
      </c>
      <c r="Q47">
        <v>0</v>
      </c>
    </row>
    <row r="48" spans="1:17" x14ac:dyDescent="0.25">
      <c r="A48" t="s">
        <v>57</v>
      </c>
      <c r="B48" t="s">
        <v>58</v>
      </c>
      <c r="C48" t="s">
        <v>59</v>
      </c>
      <c r="D48" t="s">
        <v>20</v>
      </c>
      <c r="E48" t="s">
        <v>74</v>
      </c>
      <c r="F48" s="1">
        <v>45711</v>
      </c>
      <c r="G48" s="1">
        <v>45726</v>
      </c>
      <c r="H48">
        <v>15</v>
      </c>
      <c r="I48">
        <v>45216.38</v>
      </c>
      <c r="J48">
        <v>45216.38</v>
      </c>
      <c r="K48">
        <v>0</v>
      </c>
      <c r="L48" s="1">
        <v>45732</v>
      </c>
      <c r="M48">
        <v>98</v>
      </c>
      <c r="N48">
        <v>83</v>
      </c>
      <c r="O48" t="s">
        <v>25</v>
      </c>
      <c r="P48">
        <v>0.01</v>
      </c>
      <c r="Q48">
        <v>0</v>
      </c>
    </row>
    <row r="49" spans="1:17" x14ac:dyDescent="0.25">
      <c r="A49" t="s">
        <v>57</v>
      </c>
      <c r="B49" t="s">
        <v>58</v>
      </c>
      <c r="C49" t="s">
        <v>59</v>
      </c>
      <c r="D49" t="s">
        <v>20</v>
      </c>
      <c r="E49" t="s">
        <v>75</v>
      </c>
      <c r="F49" s="1">
        <v>45714</v>
      </c>
      <c r="G49" s="1">
        <v>45804</v>
      </c>
      <c r="H49">
        <v>90</v>
      </c>
      <c r="I49">
        <v>7435.58</v>
      </c>
      <c r="J49">
        <v>7435.58</v>
      </c>
      <c r="K49">
        <v>0</v>
      </c>
      <c r="L49" s="1">
        <v>45831</v>
      </c>
      <c r="M49">
        <v>95</v>
      </c>
      <c r="N49">
        <v>5</v>
      </c>
      <c r="O49" t="s">
        <v>25</v>
      </c>
      <c r="P49">
        <v>0</v>
      </c>
      <c r="Q49">
        <v>0</v>
      </c>
    </row>
    <row r="50" spans="1:17" x14ac:dyDescent="0.25">
      <c r="A50" t="s">
        <v>57</v>
      </c>
      <c r="B50" t="s">
        <v>58</v>
      </c>
      <c r="C50" t="s">
        <v>59</v>
      </c>
      <c r="D50" t="s">
        <v>20</v>
      </c>
      <c r="E50" t="s">
        <v>76</v>
      </c>
      <c r="F50" s="1">
        <v>45769</v>
      </c>
      <c r="G50" s="1">
        <v>45799</v>
      </c>
      <c r="H50">
        <v>30</v>
      </c>
      <c r="I50">
        <v>44080.53</v>
      </c>
      <c r="J50">
        <v>44080.53</v>
      </c>
      <c r="K50">
        <v>0</v>
      </c>
      <c r="L50" s="1">
        <v>45820</v>
      </c>
      <c r="M50">
        <v>40</v>
      </c>
      <c r="N50">
        <v>10</v>
      </c>
      <c r="O50" t="s">
        <v>25</v>
      </c>
      <c r="P50">
        <v>0</v>
      </c>
      <c r="Q50">
        <v>0</v>
      </c>
    </row>
    <row r="51" spans="1:17" x14ac:dyDescent="0.25">
      <c r="A51" t="s">
        <v>57</v>
      </c>
      <c r="B51" t="s">
        <v>58</v>
      </c>
      <c r="C51" t="s">
        <v>59</v>
      </c>
      <c r="D51" t="s">
        <v>20</v>
      </c>
      <c r="E51" t="s">
        <v>77</v>
      </c>
      <c r="F51" s="1">
        <v>45707</v>
      </c>
      <c r="G51" s="1">
        <v>45737</v>
      </c>
      <c r="H51">
        <v>30</v>
      </c>
      <c r="I51">
        <v>28958.78</v>
      </c>
      <c r="J51">
        <v>0</v>
      </c>
      <c r="K51">
        <v>28958.78</v>
      </c>
      <c r="M51">
        <v>102</v>
      </c>
      <c r="N51">
        <v>72</v>
      </c>
      <c r="O51" t="s">
        <v>36</v>
      </c>
      <c r="P51">
        <v>0.01</v>
      </c>
      <c r="Q51">
        <v>0</v>
      </c>
    </row>
    <row r="52" spans="1:17" x14ac:dyDescent="0.25">
      <c r="A52" t="s">
        <v>57</v>
      </c>
      <c r="B52" t="s">
        <v>58</v>
      </c>
      <c r="C52" t="s">
        <v>59</v>
      </c>
      <c r="D52" t="s">
        <v>20</v>
      </c>
      <c r="E52" t="s">
        <v>78</v>
      </c>
      <c r="F52" s="1">
        <v>45648</v>
      </c>
      <c r="G52" s="1">
        <v>45678</v>
      </c>
      <c r="H52">
        <v>30</v>
      </c>
      <c r="I52">
        <v>27867.26</v>
      </c>
      <c r="J52">
        <v>27867.26</v>
      </c>
      <c r="K52">
        <v>0</v>
      </c>
      <c r="L52" s="1">
        <v>45704</v>
      </c>
      <c r="M52">
        <v>161</v>
      </c>
      <c r="N52">
        <v>131</v>
      </c>
      <c r="O52" t="s">
        <v>25</v>
      </c>
      <c r="P52">
        <v>0</v>
      </c>
      <c r="Q52">
        <v>0</v>
      </c>
    </row>
    <row r="53" spans="1:17" x14ac:dyDescent="0.25">
      <c r="A53" t="s">
        <v>57</v>
      </c>
      <c r="B53" t="s">
        <v>58</v>
      </c>
      <c r="C53" t="s">
        <v>59</v>
      </c>
      <c r="D53" t="s">
        <v>20</v>
      </c>
      <c r="E53" t="s">
        <v>79</v>
      </c>
      <c r="F53" s="1">
        <v>45644</v>
      </c>
      <c r="G53" s="1">
        <v>45704</v>
      </c>
      <c r="H53">
        <v>60</v>
      </c>
      <c r="I53">
        <v>15851.23</v>
      </c>
      <c r="J53">
        <v>15851.23</v>
      </c>
      <c r="K53">
        <v>0</v>
      </c>
      <c r="L53" s="1">
        <v>45709</v>
      </c>
      <c r="M53">
        <v>165</v>
      </c>
      <c r="N53">
        <v>105</v>
      </c>
      <c r="O53" t="s">
        <v>25</v>
      </c>
      <c r="P53">
        <v>0.01</v>
      </c>
      <c r="Q53">
        <v>0</v>
      </c>
    </row>
    <row r="54" spans="1:17" x14ac:dyDescent="0.25">
      <c r="A54" t="s">
        <v>57</v>
      </c>
      <c r="B54" t="s">
        <v>58</v>
      </c>
      <c r="C54" t="s">
        <v>59</v>
      </c>
      <c r="D54" t="s">
        <v>20</v>
      </c>
      <c r="E54" t="s">
        <v>80</v>
      </c>
      <c r="F54" s="1">
        <v>45677</v>
      </c>
      <c r="G54" s="1">
        <v>45767</v>
      </c>
      <c r="H54">
        <v>90</v>
      </c>
      <c r="I54">
        <v>58724.66</v>
      </c>
      <c r="J54">
        <v>58724.66</v>
      </c>
      <c r="K54">
        <v>0</v>
      </c>
      <c r="L54" s="1">
        <v>45764</v>
      </c>
      <c r="M54">
        <v>132</v>
      </c>
      <c r="N54">
        <v>42</v>
      </c>
      <c r="O54" t="s">
        <v>25</v>
      </c>
      <c r="P54">
        <v>0</v>
      </c>
      <c r="Q54">
        <v>0</v>
      </c>
    </row>
    <row r="55" spans="1:17" x14ac:dyDescent="0.25">
      <c r="A55" t="s">
        <v>57</v>
      </c>
      <c r="B55" t="s">
        <v>58</v>
      </c>
      <c r="C55" t="s">
        <v>59</v>
      </c>
      <c r="D55" t="s">
        <v>20</v>
      </c>
      <c r="E55" t="s">
        <v>81</v>
      </c>
      <c r="F55" s="1">
        <v>45780</v>
      </c>
      <c r="G55" s="1">
        <v>45810</v>
      </c>
      <c r="H55">
        <v>30</v>
      </c>
      <c r="I55">
        <v>45773.11</v>
      </c>
      <c r="J55">
        <v>0</v>
      </c>
      <c r="K55">
        <v>45773.11</v>
      </c>
      <c r="M55">
        <v>29</v>
      </c>
      <c r="N55">
        <v>0</v>
      </c>
      <c r="O55" t="s">
        <v>22</v>
      </c>
      <c r="P55">
        <v>0</v>
      </c>
      <c r="Q55">
        <v>0</v>
      </c>
    </row>
    <row r="56" spans="1:17" x14ac:dyDescent="0.25">
      <c r="A56" t="s">
        <v>57</v>
      </c>
      <c r="B56" t="s">
        <v>58</v>
      </c>
      <c r="C56" t="s">
        <v>59</v>
      </c>
      <c r="D56" t="s">
        <v>20</v>
      </c>
      <c r="E56" t="s">
        <v>82</v>
      </c>
      <c r="F56" s="1">
        <v>45763</v>
      </c>
      <c r="G56" s="1">
        <v>45793</v>
      </c>
      <c r="H56">
        <v>30</v>
      </c>
      <c r="I56">
        <v>62149.56</v>
      </c>
      <c r="J56">
        <v>62149.56</v>
      </c>
      <c r="K56">
        <v>0</v>
      </c>
      <c r="L56" s="1">
        <v>45781</v>
      </c>
      <c r="M56">
        <v>46</v>
      </c>
      <c r="N56">
        <v>16</v>
      </c>
      <c r="O56" t="s">
        <v>25</v>
      </c>
      <c r="P56">
        <v>0.02</v>
      </c>
      <c r="Q56">
        <v>1242.99</v>
      </c>
    </row>
    <row r="57" spans="1:17" x14ac:dyDescent="0.25">
      <c r="A57" t="s">
        <v>57</v>
      </c>
      <c r="B57" t="s">
        <v>58</v>
      </c>
      <c r="C57" t="s">
        <v>59</v>
      </c>
      <c r="D57" t="s">
        <v>20</v>
      </c>
      <c r="E57" t="s">
        <v>83</v>
      </c>
      <c r="F57" s="1">
        <v>45793</v>
      </c>
      <c r="G57" s="1">
        <v>45883</v>
      </c>
      <c r="H57">
        <v>90</v>
      </c>
      <c r="I57">
        <v>32325.599999999999</v>
      </c>
      <c r="J57">
        <v>0</v>
      </c>
      <c r="K57">
        <v>32325.599999999999</v>
      </c>
      <c r="M57">
        <v>16</v>
      </c>
      <c r="N57">
        <v>0</v>
      </c>
      <c r="O57" t="s">
        <v>22</v>
      </c>
      <c r="P57">
        <v>0.02</v>
      </c>
      <c r="Q57">
        <v>0</v>
      </c>
    </row>
    <row r="58" spans="1:17" x14ac:dyDescent="0.25">
      <c r="A58" t="s">
        <v>57</v>
      </c>
      <c r="B58" t="s">
        <v>58</v>
      </c>
      <c r="C58" t="s">
        <v>59</v>
      </c>
      <c r="D58" t="s">
        <v>20</v>
      </c>
      <c r="E58" t="s">
        <v>84</v>
      </c>
      <c r="F58" s="1">
        <v>45771</v>
      </c>
      <c r="G58" s="1">
        <v>45786</v>
      </c>
      <c r="H58">
        <v>15</v>
      </c>
      <c r="I58">
        <v>70595.520000000004</v>
      </c>
      <c r="J58">
        <v>70595.520000000004</v>
      </c>
      <c r="K58">
        <v>0</v>
      </c>
      <c r="L58" s="1">
        <v>45786</v>
      </c>
      <c r="M58">
        <v>38</v>
      </c>
      <c r="N58">
        <v>23</v>
      </c>
      <c r="O58" t="s">
        <v>25</v>
      </c>
      <c r="P58">
        <v>0.02</v>
      </c>
      <c r="Q58">
        <v>0</v>
      </c>
    </row>
    <row r="59" spans="1:17" x14ac:dyDescent="0.25">
      <c r="A59" t="s">
        <v>57</v>
      </c>
      <c r="B59" t="s">
        <v>58</v>
      </c>
      <c r="C59" t="s">
        <v>59</v>
      </c>
      <c r="D59" t="s">
        <v>20</v>
      </c>
      <c r="E59" t="s">
        <v>85</v>
      </c>
      <c r="F59" s="1">
        <v>45695</v>
      </c>
      <c r="G59" s="1">
        <v>45710</v>
      </c>
      <c r="H59">
        <v>15</v>
      </c>
      <c r="I59">
        <v>4183.28</v>
      </c>
      <c r="J59">
        <v>0</v>
      </c>
      <c r="K59">
        <v>4183.28</v>
      </c>
      <c r="M59">
        <v>114</v>
      </c>
      <c r="N59">
        <v>99</v>
      </c>
      <c r="O59" t="s">
        <v>36</v>
      </c>
      <c r="P59">
        <v>0.01</v>
      </c>
      <c r="Q59">
        <v>0</v>
      </c>
    </row>
    <row r="60" spans="1:17" x14ac:dyDescent="0.25">
      <c r="A60" t="s">
        <v>57</v>
      </c>
      <c r="B60" t="s">
        <v>58</v>
      </c>
      <c r="C60" t="s">
        <v>59</v>
      </c>
      <c r="D60" t="s">
        <v>20</v>
      </c>
      <c r="E60" t="s">
        <v>86</v>
      </c>
      <c r="F60" s="1">
        <v>45723</v>
      </c>
      <c r="G60" s="1">
        <v>45768</v>
      </c>
      <c r="H60">
        <v>45</v>
      </c>
      <c r="I60">
        <v>53455.28</v>
      </c>
      <c r="J60">
        <v>53455.28</v>
      </c>
      <c r="K60">
        <v>0</v>
      </c>
      <c r="L60" s="1">
        <v>45740</v>
      </c>
      <c r="M60">
        <v>86</v>
      </c>
      <c r="N60">
        <v>41</v>
      </c>
      <c r="O60" t="s">
        <v>25</v>
      </c>
      <c r="P60">
        <v>0</v>
      </c>
      <c r="Q60">
        <v>0</v>
      </c>
    </row>
    <row r="61" spans="1:17" x14ac:dyDescent="0.25">
      <c r="A61" t="s">
        <v>57</v>
      </c>
      <c r="B61" t="s">
        <v>58</v>
      </c>
      <c r="C61" t="s">
        <v>59</v>
      </c>
      <c r="D61" t="s">
        <v>20</v>
      </c>
      <c r="E61" t="s">
        <v>87</v>
      </c>
      <c r="F61" s="1">
        <v>45648</v>
      </c>
      <c r="G61" s="1">
        <v>45678</v>
      </c>
      <c r="H61">
        <v>30</v>
      </c>
      <c r="I61">
        <v>44290.13</v>
      </c>
      <c r="J61">
        <v>44290.13</v>
      </c>
      <c r="K61">
        <v>0</v>
      </c>
      <c r="L61" s="1">
        <v>45688</v>
      </c>
      <c r="M61">
        <v>161</v>
      </c>
      <c r="N61">
        <v>131</v>
      </c>
      <c r="O61" t="s">
        <v>25</v>
      </c>
      <c r="P61">
        <v>0</v>
      </c>
      <c r="Q61">
        <v>0</v>
      </c>
    </row>
    <row r="62" spans="1:17" x14ac:dyDescent="0.25">
      <c r="A62" t="s">
        <v>57</v>
      </c>
      <c r="B62" t="s">
        <v>58</v>
      </c>
      <c r="C62" t="s">
        <v>59</v>
      </c>
      <c r="D62" t="s">
        <v>20</v>
      </c>
      <c r="E62" t="s">
        <v>88</v>
      </c>
      <c r="F62" s="1">
        <v>45702</v>
      </c>
      <c r="G62" s="1">
        <v>45762</v>
      </c>
      <c r="H62">
        <v>60</v>
      </c>
      <c r="I62">
        <v>41469.51</v>
      </c>
      <c r="J62">
        <v>41469.51</v>
      </c>
      <c r="K62">
        <v>0</v>
      </c>
      <c r="L62" s="1">
        <v>45728</v>
      </c>
      <c r="M62">
        <v>107</v>
      </c>
      <c r="N62">
        <v>47</v>
      </c>
      <c r="O62" t="s">
        <v>25</v>
      </c>
      <c r="P62">
        <v>0.01</v>
      </c>
      <c r="Q62">
        <v>414.7</v>
      </c>
    </row>
    <row r="63" spans="1:17" x14ac:dyDescent="0.25">
      <c r="A63" t="s">
        <v>57</v>
      </c>
      <c r="B63" t="s">
        <v>58</v>
      </c>
      <c r="C63" t="s">
        <v>59</v>
      </c>
      <c r="D63" t="s">
        <v>20</v>
      </c>
      <c r="E63" t="s">
        <v>89</v>
      </c>
      <c r="F63" s="1">
        <v>45791</v>
      </c>
      <c r="G63" s="1">
        <v>45821</v>
      </c>
      <c r="H63">
        <v>30</v>
      </c>
      <c r="I63">
        <v>20099.45</v>
      </c>
      <c r="J63">
        <v>0</v>
      </c>
      <c r="K63">
        <v>20099.45</v>
      </c>
      <c r="M63">
        <v>18</v>
      </c>
      <c r="N63">
        <v>0</v>
      </c>
      <c r="O63" t="s">
        <v>22</v>
      </c>
      <c r="P63">
        <v>0.02</v>
      </c>
      <c r="Q63">
        <v>0</v>
      </c>
    </row>
    <row r="64" spans="1:17" x14ac:dyDescent="0.25">
      <c r="A64" t="s">
        <v>57</v>
      </c>
      <c r="B64" t="s">
        <v>58</v>
      </c>
      <c r="C64" t="s">
        <v>59</v>
      </c>
      <c r="D64" t="s">
        <v>20</v>
      </c>
      <c r="E64" t="s">
        <v>90</v>
      </c>
      <c r="F64" s="1">
        <v>45659</v>
      </c>
      <c r="G64" s="1">
        <v>45674</v>
      </c>
      <c r="H64">
        <v>15</v>
      </c>
      <c r="I64">
        <v>35342.199999999997</v>
      </c>
      <c r="J64">
        <v>35342.199999999997</v>
      </c>
      <c r="K64">
        <v>0</v>
      </c>
      <c r="L64" s="1">
        <v>45679</v>
      </c>
      <c r="M64">
        <v>150</v>
      </c>
      <c r="N64">
        <v>135</v>
      </c>
      <c r="O64" t="s">
        <v>25</v>
      </c>
      <c r="P64">
        <v>0</v>
      </c>
      <c r="Q64">
        <v>0</v>
      </c>
    </row>
    <row r="65" spans="1:17" x14ac:dyDescent="0.25">
      <c r="A65" t="s">
        <v>57</v>
      </c>
      <c r="B65" t="s">
        <v>58</v>
      </c>
      <c r="C65" t="s">
        <v>59</v>
      </c>
      <c r="D65" t="s">
        <v>20</v>
      </c>
      <c r="E65" t="s">
        <v>91</v>
      </c>
      <c r="F65" s="1">
        <v>45758</v>
      </c>
      <c r="G65" s="1">
        <v>45803</v>
      </c>
      <c r="H65">
        <v>45</v>
      </c>
      <c r="I65">
        <v>5840.46</v>
      </c>
      <c r="J65">
        <v>5840.46</v>
      </c>
      <c r="K65">
        <v>0</v>
      </c>
      <c r="L65" s="1">
        <v>45785</v>
      </c>
      <c r="M65">
        <v>51</v>
      </c>
      <c r="N65">
        <v>6</v>
      </c>
      <c r="O65" t="s">
        <v>25</v>
      </c>
      <c r="P65">
        <v>0.02</v>
      </c>
      <c r="Q65">
        <v>116.81</v>
      </c>
    </row>
    <row r="66" spans="1:17" x14ac:dyDescent="0.25">
      <c r="A66" t="s">
        <v>57</v>
      </c>
      <c r="B66" t="s">
        <v>58</v>
      </c>
      <c r="C66" t="s">
        <v>59</v>
      </c>
      <c r="D66" t="s">
        <v>20</v>
      </c>
      <c r="E66" t="s">
        <v>92</v>
      </c>
      <c r="F66" s="1">
        <v>45766</v>
      </c>
      <c r="G66" s="1">
        <v>45781</v>
      </c>
      <c r="H66">
        <v>15</v>
      </c>
      <c r="I66">
        <v>74680.759999999995</v>
      </c>
      <c r="J66">
        <v>56448.27</v>
      </c>
      <c r="K66">
        <v>18232.490000000002</v>
      </c>
      <c r="L66" s="1">
        <v>45795</v>
      </c>
      <c r="M66">
        <v>43</v>
      </c>
      <c r="N66">
        <v>28</v>
      </c>
      <c r="O66" t="s">
        <v>29</v>
      </c>
      <c r="P66">
        <v>0</v>
      </c>
      <c r="Q66">
        <v>0</v>
      </c>
    </row>
    <row r="67" spans="1:17" x14ac:dyDescent="0.25">
      <c r="A67" t="s">
        <v>57</v>
      </c>
      <c r="B67" t="s">
        <v>58</v>
      </c>
      <c r="C67" t="s">
        <v>59</v>
      </c>
      <c r="D67" t="s">
        <v>20</v>
      </c>
      <c r="E67" t="s">
        <v>93</v>
      </c>
      <c r="F67" s="1">
        <v>45786</v>
      </c>
      <c r="G67" s="1">
        <v>45816</v>
      </c>
      <c r="H67">
        <v>30</v>
      </c>
      <c r="I67">
        <v>47470.01</v>
      </c>
      <c r="J67">
        <v>0</v>
      </c>
      <c r="K67">
        <v>47470.01</v>
      </c>
      <c r="M67">
        <v>23</v>
      </c>
      <c r="N67">
        <v>0</v>
      </c>
      <c r="O67" t="s">
        <v>22</v>
      </c>
      <c r="P67">
        <v>0.02</v>
      </c>
      <c r="Q67">
        <v>0</v>
      </c>
    </row>
    <row r="68" spans="1:17" x14ac:dyDescent="0.25">
      <c r="A68" t="s">
        <v>57</v>
      </c>
      <c r="B68" t="s">
        <v>58</v>
      </c>
      <c r="C68" t="s">
        <v>59</v>
      </c>
      <c r="D68" t="s">
        <v>20</v>
      </c>
      <c r="E68" t="s">
        <v>94</v>
      </c>
      <c r="F68" s="1">
        <v>45682</v>
      </c>
      <c r="G68" s="1">
        <v>45772</v>
      </c>
      <c r="H68">
        <v>90</v>
      </c>
      <c r="I68">
        <v>8188.53</v>
      </c>
      <c r="J68">
        <v>8188.53</v>
      </c>
      <c r="K68">
        <v>0</v>
      </c>
      <c r="L68" s="1">
        <v>45755</v>
      </c>
      <c r="M68">
        <v>127</v>
      </c>
      <c r="N68">
        <v>37</v>
      </c>
      <c r="O68" t="s">
        <v>25</v>
      </c>
      <c r="P68">
        <v>0.01</v>
      </c>
      <c r="Q68">
        <v>81.89</v>
      </c>
    </row>
    <row r="69" spans="1:17" x14ac:dyDescent="0.25">
      <c r="A69" t="s">
        <v>57</v>
      </c>
      <c r="B69" t="s">
        <v>58</v>
      </c>
      <c r="C69" t="s">
        <v>59</v>
      </c>
      <c r="D69" t="s">
        <v>20</v>
      </c>
      <c r="E69" t="s">
        <v>95</v>
      </c>
      <c r="F69" s="1">
        <v>45680</v>
      </c>
      <c r="G69" s="1">
        <v>45710</v>
      </c>
      <c r="H69">
        <v>30</v>
      </c>
      <c r="I69">
        <v>57522.03</v>
      </c>
      <c r="J69">
        <v>13872.78</v>
      </c>
      <c r="K69">
        <v>43649.25</v>
      </c>
      <c r="L69" s="1">
        <v>45725</v>
      </c>
      <c r="M69">
        <v>129</v>
      </c>
      <c r="N69">
        <v>99</v>
      </c>
      <c r="O69" t="s">
        <v>29</v>
      </c>
      <c r="P69">
        <v>0</v>
      </c>
      <c r="Q69">
        <v>0</v>
      </c>
    </row>
    <row r="70" spans="1:17" x14ac:dyDescent="0.25">
      <c r="A70" t="s">
        <v>57</v>
      </c>
      <c r="B70" t="s">
        <v>58</v>
      </c>
      <c r="C70" t="s">
        <v>59</v>
      </c>
      <c r="D70" t="s">
        <v>20</v>
      </c>
      <c r="E70" t="s">
        <v>96</v>
      </c>
      <c r="F70" s="1">
        <v>45770</v>
      </c>
      <c r="G70" s="1">
        <v>45830</v>
      </c>
      <c r="H70">
        <v>60</v>
      </c>
      <c r="I70">
        <v>59314.02</v>
      </c>
      <c r="J70">
        <v>0</v>
      </c>
      <c r="K70">
        <v>59314.02</v>
      </c>
      <c r="M70">
        <v>39</v>
      </c>
      <c r="N70">
        <v>0</v>
      </c>
      <c r="O70" t="s">
        <v>22</v>
      </c>
      <c r="P70">
        <v>0.01</v>
      </c>
      <c r="Q70">
        <v>0</v>
      </c>
    </row>
    <row r="71" spans="1:17" x14ac:dyDescent="0.25">
      <c r="A71" t="s">
        <v>57</v>
      </c>
      <c r="B71" t="s">
        <v>58</v>
      </c>
      <c r="C71" t="s">
        <v>59</v>
      </c>
      <c r="D71" t="s">
        <v>20</v>
      </c>
      <c r="E71" t="s">
        <v>97</v>
      </c>
      <c r="F71" s="1">
        <v>45629</v>
      </c>
      <c r="G71" s="1">
        <v>45674</v>
      </c>
      <c r="H71">
        <v>45</v>
      </c>
      <c r="I71">
        <v>14259.59</v>
      </c>
      <c r="J71">
        <v>14259.59</v>
      </c>
      <c r="K71">
        <v>0</v>
      </c>
      <c r="L71" s="1">
        <v>45662</v>
      </c>
      <c r="M71">
        <v>180</v>
      </c>
      <c r="N71">
        <v>135</v>
      </c>
      <c r="O71" t="s">
        <v>25</v>
      </c>
      <c r="P71">
        <v>0</v>
      </c>
      <c r="Q71">
        <v>0</v>
      </c>
    </row>
    <row r="72" spans="1:17" x14ac:dyDescent="0.25">
      <c r="A72" t="s">
        <v>57</v>
      </c>
      <c r="B72" t="s">
        <v>58</v>
      </c>
      <c r="C72" t="s">
        <v>59</v>
      </c>
      <c r="D72" t="s">
        <v>20</v>
      </c>
      <c r="E72" t="s">
        <v>98</v>
      </c>
      <c r="F72" s="1">
        <v>45746</v>
      </c>
      <c r="G72" s="1">
        <v>45806</v>
      </c>
      <c r="H72">
        <v>60</v>
      </c>
      <c r="I72">
        <v>32238.99</v>
      </c>
      <c r="J72">
        <v>32238.99</v>
      </c>
      <c r="K72">
        <v>0</v>
      </c>
      <c r="L72" s="1">
        <v>45766</v>
      </c>
      <c r="M72">
        <v>63</v>
      </c>
      <c r="N72">
        <v>3</v>
      </c>
      <c r="O72" t="s">
        <v>25</v>
      </c>
      <c r="P72">
        <v>0</v>
      </c>
      <c r="Q72">
        <v>0</v>
      </c>
    </row>
    <row r="73" spans="1:17" x14ac:dyDescent="0.25">
      <c r="A73" t="s">
        <v>57</v>
      </c>
      <c r="B73" t="s">
        <v>58</v>
      </c>
      <c r="C73" t="s">
        <v>59</v>
      </c>
      <c r="D73" t="s">
        <v>20</v>
      </c>
      <c r="E73" t="s">
        <v>99</v>
      </c>
      <c r="F73" s="1">
        <v>45660</v>
      </c>
      <c r="G73" s="1">
        <v>45705</v>
      </c>
      <c r="H73">
        <v>45</v>
      </c>
      <c r="I73">
        <v>40160</v>
      </c>
      <c r="J73">
        <v>40160</v>
      </c>
      <c r="K73">
        <v>0</v>
      </c>
      <c r="L73" s="1">
        <v>45706</v>
      </c>
      <c r="M73">
        <v>149</v>
      </c>
      <c r="N73">
        <v>104</v>
      </c>
      <c r="O73" t="s">
        <v>25</v>
      </c>
      <c r="P73">
        <v>0</v>
      </c>
      <c r="Q73">
        <v>0</v>
      </c>
    </row>
    <row r="74" spans="1:17" x14ac:dyDescent="0.25">
      <c r="A74" t="s">
        <v>57</v>
      </c>
      <c r="B74" t="s">
        <v>58</v>
      </c>
      <c r="C74" t="s">
        <v>59</v>
      </c>
      <c r="D74" t="s">
        <v>20</v>
      </c>
      <c r="E74" t="s">
        <v>100</v>
      </c>
      <c r="F74" s="1">
        <v>45795</v>
      </c>
      <c r="G74" s="1">
        <v>45855</v>
      </c>
      <c r="H74">
        <v>60</v>
      </c>
      <c r="I74">
        <v>5910.12</v>
      </c>
      <c r="J74">
        <v>0</v>
      </c>
      <c r="K74">
        <v>5910.12</v>
      </c>
      <c r="M74">
        <v>14</v>
      </c>
      <c r="N74">
        <v>0</v>
      </c>
      <c r="O74" t="s">
        <v>22</v>
      </c>
      <c r="P74">
        <v>0.01</v>
      </c>
      <c r="Q74">
        <v>0</v>
      </c>
    </row>
    <row r="75" spans="1:17" x14ac:dyDescent="0.25">
      <c r="A75" t="s">
        <v>57</v>
      </c>
      <c r="B75" t="s">
        <v>58</v>
      </c>
      <c r="C75" t="s">
        <v>59</v>
      </c>
      <c r="D75" t="s">
        <v>20</v>
      </c>
      <c r="E75" t="s">
        <v>101</v>
      </c>
      <c r="F75" s="1">
        <v>45635</v>
      </c>
      <c r="G75" s="1">
        <v>45680</v>
      </c>
      <c r="H75">
        <v>45</v>
      </c>
      <c r="I75">
        <v>15624.27</v>
      </c>
      <c r="J75">
        <v>15624.27</v>
      </c>
      <c r="K75">
        <v>0</v>
      </c>
      <c r="L75" s="1">
        <v>45668</v>
      </c>
      <c r="M75">
        <v>174</v>
      </c>
      <c r="N75">
        <v>129</v>
      </c>
      <c r="O75" t="s">
        <v>25</v>
      </c>
      <c r="P75">
        <v>0.02</v>
      </c>
      <c r="Q75">
        <v>312.49</v>
      </c>
    </row>
    <row r="76" spans="1:17" x14ac:dyDescent="0.25">
      <c r="A76" t="s">
        <v>57</v>
      </c>
      <c r="B76" t="s">
        <v>58</v>
      </c>
      <c r="C76" t="s">
        <v>59</v>
      </c>
      <c r="D76" t="s">
        <v>20</v>
      </c>
      <c r="E76" t="s">
        <v>102</v>
      </c>
      <c r="F76" s="1">
        <v>45729</v>
      </c>
      <c r="G76" s="1">
        <v>45759</v>
      </c>
      <c r="H76">
        <v>30</v>
      </c>
      <c r="I76">
        <v>58329.599999999999</v>
      </c>
      <c r="J76">
        <v>58329.599999999999</v>
      </c>
      <c r="K76">
        <v>0</v>
      </c>
      <c r="L76" s="1">
        <v>45741</v>
      </c>
      <c r="M76">
        <v>80</v>
      </c>
      <c r="N76">
        <v>50</v>
      </c>
      <c r="O76" t="s">
        <v>25</v>
      </c>
      <c r="P76">
        <v>0</v>
      </c>
      <c r="Q76">
        <v>0</v>
      </c>
    </row>
    <row r="77" spans="1:17" x14ac:dyDescent="0.25">
      <c r="A77" t="s">
        <v>103</v>
      </c>
      <c r="B77" t="s">
        <v>104</v>
      </c>
      <c r="C77" t="s">
        <v>105</v>
      </c>
      <c r="D77" t="s">
        <v>106</v>
      </c>
      <c r="E77" t="s">
        <v>107</v>
      </c>
      <c r="F77" s="1">
        <v>45669</v>
      </c>
      <c r="G77" s="1">
        <v>45714</v>
      </c>
      <c r="H77">
        <v>45</v>
      </c>
      <c r="I77">
        <v>16650.990000000002</v>
      </c>
      <c r="J77">
        <v>16650.990000000002</v>
      </c>
      <c r="K77">
        <v>0</v>
      </c>
      <c r="L77" s="1">
        <v>45715</v>
      </c>
      <c r="M77">
        <v>140</v>
      </c>
      <c r="N77">
        <v>95</v>
      </c>
      <c r="O77" t="s">
        <v>25</v>
      </c>
      <c r="P77">
        <v>0</v>
      </c>
      <c r="Q77">
        <v>0</v>
      </c>
    </row>
    <row r="78" spans="1:17" x14ac:dyDescent="0.25">
      <c r="A78" t="s">
        <v>103</v>
      </c>
      <c r="B78" t="s">
        <v>104</v>
      </c>
      <c r="C78" t="s">
        <v>105</v>
      </c>
      <c r="D78" t="s">
        <v>106</v>
      </c>
      <c r="E78" t="s">
        <v>108</v>
      </c>
      <c r="F78" s="1">
        <v>45714</v>
      </c>
      <c r="G78" s="1">
        <v>45744</v>
      </c>
      <c r="H78">
        <v>30</v>
      </c>
      <c r="I78">
        <v>12149.77</v>
      </c>
      <c r="J78">
        <v>12149.77</v>
      </c>
      <c r="K78">
        <v>0</v>
      </c>
      <c r="L78" s="1">
        <v>45757</v>
      </c>
      <c r="M78">
        <v>95</v>
      </c>
      <c r="N78">
        <v>65</v>
      </c>
      <c r="O78" t="s">
        <v>25</v>
      </c>
      <c r="P78">
        <v>0</v>
      </c>
      <c r="Q78">
        <v>0</v>
      </c>
    </row>
    <row r="79" spans="1:17" x14ac:dyDescent="0.25">
      <c r="A79" t="s">
        <v>103</v>
      </c>
      <c r="B79" t="s">
        <v>104</v>
      </c>
      <c r="C79" t="s">
        <v>105</v>
      </c>
      <c r="D79" t="s">
        <v>106</v>
      </c>
      <c r="E79" t="s">
        <v>109</v>
      </c>
      <c r="F79" s="1">
        <v>45800</v>
      </c>
      <c r="G79" s="1">
        <v>45845</v>
      </c>
      <c r="H79">
        <v>45</v>
      </c>
      <c r="I79">
        <v>75367.649999999994</v>
      </c>
      <c r="J79">
        <v>0</v>
      </c>
      <c r="K79">
        <v>75367.649999999994</v>
      </c>
      <c r="M79">
        <v>9</v>
      </c>
      <c r="N79">
        <v>0</v>
      </c>
      <c r="O79" t="s">
        <v>22</v>
      </c>
      <c r="P79">
        <v>2.5000000000000001E-2</v>
      </c>
      <c r="Q79">
        <v>0</v>
      </c>
    </row>
    <row r="80" spans="1:17" x14ac:dyDescent="0.25">
      <c r="A80" t="s">
        <v>103</v>
      </c>
      <c r="B80" t="s">
        <v>104</v>
      </c>
      <c r="C80" t="s">
        <v>105</v>
      </c>
      <c r="D80" t="s">
        <v>106</v>
      </c>
      <c r="E80" t="s">
        <v>110</v>
      </c>
      <c r="F80" s="1">
        <v>45765</v>
      </c>
      <c r="G80" s="1">
        <v>45780</v>
      </c>
      <c r="H80">
        <v>15</v>
      </c>
      <c r="I80">
        <v>2701.38</v>
      </c>
      <c r="J80">
        <v>2701.38</v>
      </c>
      <c r="K80">
        <v>0</v>
      </c>
      <c r="L80" s="1">
        <v>45775</v>
      </c>
      <c r="M80">
        <v>44</v>
      </c>
      <c r="N80">
        <v>29</v>
      </c>
      <c r="O80" t="s">
        <v>25</v>
      </c>
      <c r="P80">
        <v>0.01</v>
      </c>
      <c r="Q80">
        <v>27.01</v>
      </c>
    </row>
    <row r="81" spans="1:17" x14ac:dyDescent="0.25">
      <c r="A81" t="s">
        <v>103</v>
      </c>
      <c r="B81" t="s">
        <v>104</v>
      </c>
      <c r="C81" t="s">
        <v>105</v>
      </c>
      <c r="D81" t="s">
        <v>106</v>
      </c>
      <c r="E81" t="s">
        <v>111</v>
      </c>
      <c r="F81" s="1">
        <v>45646</v>
      </c>
      <c r="G81" s="1">
        <v>45691</v>
      </c>
      <c r="H81">
        <v>45</v>
      </c>
      <c r="I81">
        <v>61082.55</v>
      </c>
      <c r="J81">
        <v>0</v>
      </c>
      <c r="K81">
        <v>61082.55</v>
      </c>
      <c r="M81">
        <v>163</v>
      </c>
      <c r="N81">
        <v>118</v>
      </c>
      <c r="O81" t="s">
        <v>36</v>
      </c>
      <c r="P81">
        <v>0</v>
      </c>
      <c r="Q81">
        <v>0</v>
      </c>
    </row>
    <row r="82" spans="1:17" x14ac:dyDescent="0.25">
      <c r="A82" t="s">
        <v>103</v>
      </c>
      <c r="B82" t="s">
        <v>104</v>
      </c>
      <c r="C82" t="s">
        <v>105</v>
      </c>
      <c r="D82" t="s">
        <v>106</v>
      </c>
      <c r="E82" t="s">
        <v>112</v>
      </c>
      <c r="F82" s="1">
        <v>45693</v>
      </c>
      <c r="G82" s="1">
        <v>45708</v>
      </c>
      <c r="H82">
        <v>15</v>
      </c>
      <c r="I82">
        <v>52941.52</v>
      </c>
      <c r="J82">
        <v>0</v>
      </c>
      <c r="K82">
        <v>52941.52</v>
      </c>
      <c r="M82">
        <v>116</v>
      </c>
      <c r="N82">
        <v>101</v>
      </c>
      <c r="O82" t="s">
        <v>36</v>
      </c>
      <c r="P82">
        <v>0</v>
      </c>
      <c r="Q82">
        <v>0</v>
      </c>
    </row>
    <row r="83" spans="1:17" x14ac:dyDescent="0.25">
      <c r="A83" t="s">
        <v>103</v>
      </c>
      <c r="B83" t="s">
        <v>104</v>
      </c>
      <c r="C83" t="s">
        <v>105</v>
      </c>
      <c r="D83" t="s">
        <v>106</v>
      </c>
      <c r="E83" t="s">
        <v>113</v>
      </c>
      <c r="F83" s="1">
        <v>45710</v>
      </c>
      <c r="G83" s="1">
        <v>45770</v>
      </c>
      <c r="H83">
        <v>60</v>
      </c>
      <c r="I83">
        <v>34476.199999999997</v>
      </c>
      <c r="J83">
        <v>34476.199999999997</v>
      </c>
      <c r="K83">
        <v>0</v>
      </c>
      <c r="L83" s="1">
        <v>45799</v>
      </c>
      <c r="M83">
        <v>99</v>
      </c>
      <c r="N83">
        <v>39</v>
      </c>
      <c r="O83" t="s">
        <v>25</v>
      </c>
      <c r="P83">
        <v>2.5000000000000001E-2</v>
      </c>
      <c r="Q83">
        <v>0</v>
      </c>
    </row>
    <row r="84" spans="1:17" x14ac:dyDescent="0.25">
      <c r="A84" t="s">
        <v>103</v>
      </c>
      <c r="B84" t="s">
        <v>104</v>
      </c>
      <c r="C84" t="s">
        <v>105</v>
      </c>
      <c r="D84" t="s">
        <v>106</v>
      </c>
      <c r="E84" t="s">
        <v>114</v>
      </c>
      <c r="F84" s="1">
        <v>45639</v>
      </c>
      <c r="G84" s="1">
        <v>45684</v>
      </c>
      <c r="H84">
        <v>45</v>
      </c>
      <c r="I84">
        <v>26839.38</v>
      </c>
      <c r="J84">
        <v>26839.38</v>
      </c>
      <c r="K84">
        <v>0</v>
      </c>
      <c r="L84" s="1">
        <v>45693</v>
      </c>
      <c r="M84">
        <v>170</v>
      </c>
      <c r="N84">
        <v>125</v>
      </c>
      <c r="O84" t="s">
        <v>25</v>
      </c>
      <c r="P84">
        <v>0.02</v>
      </c>
      <c r="Q84">
        <v>0</v>
      </c>
    </row>
    <row r="85" spans="1:17" x14ac:dyDescent="0.25">
      <c r="A85" t="s">
        <v>103</v>
      </c>
      <c r="B85" t="s">
        <v>104</v>
      </c>
      <c r="C85" t="s">
        <v>105</v>
      </c>
      <c r="D85" t="s">
        <v>106</v>
      </c>
      <c r="E85" t="s">
        <v>115</v>
      </c>
      <c r="F85" s="1">
        <v>45669</v>
      </c>
      <c r="G85" s="1">
        <v>45699</v>
      </c>
      <c r="H85">
        <v>30</v>
      </c>
      <c r="I85">
        <v>6089.48</v>
      </c>
      <c r="J85">
        <v>6089.48</v>
      </c>
      <c r="K85">
        <v>0</v>
      </c>
      <c r="L85" s="1">
        <v>45679</v>
      </c>
      <c r="M85">
        <v>140</v>
      </c>
      <c r="N85">
        <v>110</v>
      </c>
      <c r="O85" t="s">
        <v>25</v>
      </c>
      <c r="P85">
        <v>0</v>
      </c>
      <c r="Q85">
        <v>0</v>
      </c>
    </row>
    <row r="86" spans="1:17" x14ac:dyDescent="0.25">
      <c r="A86" t="s">
        <v>103</v>
      </c>
      <c r="B86" t="s">
        <v>104</v>
      </c>
      <c r="C86" t="s">
        <v>105</v>
      </c>
      <c r="D86" t="s">
        <v>106</v>
      </c>
      <c r="E86" t="s">
        <v>116</v>
      </c>
      <c r="F86" s="1">
        <v>45646</v>
      </c>
      <c r="G86" s="1">
        <v>45661</v>
      </c>
      <c r="H86">
        <v>15</v>
      </c>
      <c r="I86">
        <v>22407.51</v>
      </c>
      <c r="J86">
        <v>0</v>
      </c>
      <c r="K86">
        <v>22407.51</v>
      </c>
      <c r="M86">
        <v>163</v>
      </c>
      <c r="N86">
        <v>148</v>
      </c>
      <c r="O86" t="s">
        <v>36</v>
      </c>
      <c r="P86">
        <v>0.02</v>
      </c>
      <c r="Q86">
        <v>0</v>
      </c>
    </row>
    <row r="87" spans="1:17" x14ac:dyDescent="0.25">
      <c r="A87" t="s">
        <v>103</v>
      </c>
      <c r="B87" t="s">
        <v>104</v>
      </c>
      <c r="C87" t="s">
        <v>105</v>
      </c>
      <c r="D87" t="s">
        <v>106</v>
      </c>
      <c r="E87" t="s">
        <v>117</v>
      </c>
      <c r="F87" s="1">
        <v>45742</v>
      </c>
      <c r="G87" s="1">
        <v>45772</v>
      </c>
      <c r="H87">
        <v>30</v>
      </c>
      <c r="I87">
        <v>35938.93</v>
      </c>
      <c r="J87">
        <v>18736.63</v>
      </c>
      <c r="K87">
        <v>17202.3</v>
      </c>
      <c r="L87" s="1">
        <v>45776</v>
      </c>
      <c r="M87">
        <v>67</v>
      </c>
      <c r="N87">
        <v>37</v>
      </c>
      <c r="O87" t="s">
        <v>29</v>
      </c>
      <c r="P87">
        <v>2.5000000000000001E-2</v>
      </c>
      <c r="Q87">
        <v>0</v>
      </c>
    </row>
    <row r="88" spans="1:17" x14ac:dyDescent="0.25">
      <c r="A88" t="s">
        <v>103</v>
      </c>
      <c r="B88" t="s">
        <v>104</v>
      </c>
      <c r="C88" t="s">
        <v>105</v>
      </c>
      <c r="D88" t="s">
        <v>106</v>
      </c>
      <c r="E88" t="s">
        <v>118</v>
      </c>
      <c r="F88" s="1">
        <v>45785</v>
      </c>
      <c r="G88" s="1">
        <v>45845</v>
      </c>
      <c r="H88">
        <v>60</v>
      </c>
      <c r="I88">
        <v>10634.03</v>
      </c>
      <c r="J88">
        <v>0</v>
      </c>
      <c r="K88">
        <v>10634.03</v>
      </c>
      <c r="M88">
        <v>24</v>
      </c>
      <c r="N88">
        <v>0</v>
      </c>
      <c r="O88" t="s">
        <v>22</v>
      </c>
      <c r="P88">
        <v>0</v>
      </c>
      <c r="Q88">
        <v>0</v>
      </c>
    </row>
    <row r="89" spans="1:17" x14ac:dyDescent="0.25">
      <c r="A89" t="s">
        <v>103</v>
      </c>
      <c r="B89" t="s">
        <v>104</v>
      </c>
      <c r="C89" t="s">
        <v>105</v>
      </c>
      <c r="D89" t="s">
        <v>106</v>
      </c>
      <c r="E89" t="s">
        <v>119</v>
      </c>
      <c r="F89" s="1">
        <v>45691</v>
      </c>
      <c r="G89" s="1">
        <v>45751</v>
      </c>
      <c r="H89">
        <v>60</v>
      </c>
      <c r="I89">
        <v>63727.5</v>
      </c>
      <c r="J89">
        <v>16864</v>
      </c>
      <c r="K89">
        <v>46863.5</v>
      </c>
      <c r="L89" s="1">
        <v>45780</v>
      </c>
      <c r="M89">
        <v>118</v>
      </c>
      <c r="N89">
        <v>58</v>
      </c>
      <c r="O89" t="s">
        <v>29</v>
      </c>
      <c r="P89">
        <v>0.02</v>
      </c>
      <c r="Q89">
        <v>0</v>
      </c>
    </row>
    <row r="90" spans="1:17" x14ac:dyDescent="0.25">
      <c r="A90" t="s">
        <v>103</v>
      </c>
      <c r="B90" t="s">
        <v>104</v>
      </c>
      <c r="C90" t="s">
        <v>105</v>
      </c>
      <c r="D90" t="s">
        <v>106</v>
      </c>
      <c r="E90" t="s">
        <v>120</v>
      </c>
      <c r="F90" s="1">
        <v>45668</v>
      </c>
      <c r="G90" s="1">
        <v>45683</v>
      </c>
      <c r="H90">
        <v>15</v>
      </c>
      <c r="I90">
        <v>73374.740000000005</v>
      </c>
      <c r="J90">
        <v>73374.740000000005</v>
      </c>
      <c r="K90">
        <v>0</v>
      </c>
      <c r="L90" s="1">
        <v>45686</v>
      </c>
      <c r="M90">
        <v>141</v>
      </c>
      <c r="N90">
        <v>126</v>
      </c>
      <c r="O90" t="s">
        <v>25</v>
      </c>
      <c r="P90">
        <v>2.5000000000000001E-2</v>
      </c>
      <c r="Q90">
        <v>0</v>
      </c>
    </row>
    <row r="91" spans="1:17" x14ac:dyDescent="0.25">
      <c r="A91" t="s">
        <v>103</v>
      </c>
      <c r="B91" t="s">
        <v>104</v>
      </c>
      <c r="C91" t="s">
        <v>105</v>
      </c>
      <c r="D91" t="s">
        <v>106</v>
      </c>
      <c r="E91" t="s">
        <v>121</v>
      </c>
      <c r="F91" s="1">
        <v>45653</v>
      </c>
      <c r="G91" s="1">
        <v>45698</v>
      </c>
      <c r="H91">
        <v>45</v>
      </c>
      <c r="I91">
        <v>36847.9</v>
      </c>
      <c r="J91">
        <v>36847.9</v>
      </c>
      <c r="K91">
        <v>0</v>
      </c>
      <c r="L91" s="1">
        <v>45691</v>
      </c>
      <c r="M91">
        <v>156</v>
      </c>
      <c r="N91">
        <v>111</v>
      </c>
      <c r="O91" t="s">
        <v>25</v>
      </c>
      <c r="P91">
        <v>2.5000000000000001E-2</v>
      </c>
      <c r="Q91">
        <v>921.2</v>
      </c>
    </row>
    <row r="92" spans="1:17" x14ac:dyDescent="0.25">
      <c r="A92" t="s">
        <v>103</v>
      </c>
      <c r="B92" t="s">
        <v>104</v>
      </c>
      <c r="C92" t="s">
        <v>105</v>
      </c>
      <c r="D92" t="s">
        <v>106</v>
      </c>
      <c r="E92" t="s">
        <v>122</v>
      </c>
      <c r="F92" s="1">
        <v>45783</v>
      </c>
      <c r="G92" s="1">
        <v>45798</v>
      </c>
      <c r="H92">
        <v>15</v>
      </c>
      <c r="I92">
        <v>4756.79</v>
      </c>
      <c r="J92">
        <v>0</v>
      </c>
      <c r="K92">
        <v>4756.79</v>
      </c>
      <c r="M92">
        <v>26</v>
      </c>
      <c r="N92">
        <v>11</v>
      </c>
      <c r="O92" t="s">
        <v>36</v>
      </c>
      <c r="P92">
        <v>0</v>
      </c>
      <c r="Q92">
        <v>0</v>
      </c>
    </row>
    <row r="93" spans="1:17" x14ac:dyDescent="0.25">
      <c r="A93" t="s">
        <v>103</v>
      </c>
      <c r="B93" t="s">
        <v>104</v>
      </c>
      <c r="C93" t="s">
        <v>105</v>
      </c>
      <c r="D93" t="s">
        <v>106</v>
      </c>
      <c r="E93" t="s">
        <v>123</v>
      </c>
      <c r="F93" s="1">
        <v>45700</v>
      </c>
      <c r="G93" s="1">
        <v>45730</v>
      </c>
      <c r="H93">
        <v>30</v>
      </c>
      <c r="I93">
        <v>34445.949999999997</v>
      </c>
      <c r="J93">
        <v>34445.949999999997</v>
      </c>
      <c r="K93">
        <v>0</v>
      </c>
      <c r="L93" s="1">
        <v>45725</v>
      </c>
      <c r="M93">
        <v>109</v>
      </c>
      <c r="N93">
        <v>79</v>
      </c>
      <c r="O93" t="s">
        <v>25</v>
      </c>
      <c r="P93">
        <v>0</v>
      </c>
      <c r="Q93">
        <v>0</v>
      </c>
    </row>
    <row r="94" spans="1:17" x14ac:dyDescent="0.25">
      <c r="A94" t="s">
        <v>103</v>
      </c>
      <c r="B94" t="s">
        <v>104</v>
      </c>
      <c r="C94" t="s">
        <v>105</v>
      </c>
      <c r="D94" t="s">
        <v>106</v>
      </c>
      <c r="E94" t="s">
        <v>124</v>
      </c>
      <c r="F94" s="1">
        <v>45722</v>
      </c>
      <c r="G94" s="1">
        <v>45752</v>
      </c>
      <c r="H94">
        <v>30</v>
      </c>
      <c r="I94">
        <v>17090.54</v>
      </c>
      <c r="J94">
        <v>17090.54</v>
      </c>
      <c r="K94">
        <v>0</v>
      </c>
      <c r="L94" s="1">
        <v>45735</v>
      </c>
      <c r="M94">
        <v>87</v>
      </c>
      <c r="N94">
        <v>57</v>
      </c>
      <c r="O94" t="s">
        <v>25</v>
      </c>
      <c r="P94">
        <v>0</v>
      </c>
      <c r="Q94">
        <v>0</v>
      </c>
    </row>
    <row r="95" spans="1:17" x14ac:dyDescent="0.25">
      <c r="A95" t="s">
        <v>103</v>
      </c>
      <c r="B95" t="s">
        <v>104</v>
      </c>
      <c r="C95" t="s">
        <v>105</v>
      </c>
      <c r="D95" t="s">
        <v>106</v>
      </c>
      <c r="E95" t="s">
        <v>125</v>
      </c>
      <c r="F95" s="1">
        <v>45731</v>
      </c>
      <c r="G95" s="1">
        <v>45761</v>
      </c>
      <c r="H95">
        <v>30</v>
      </c>
      <c r="I95">
        <v>67194.539999999994</v>
      </c>
      <c r="J95">
        <v>67194.539999999994</v>
      </c>
      <c r="K95">
        <v>0</v>
      </c>
      <c r="L95" s="1">
        <v>45784</v>
      </c>
      <c r="M95">
        <v>78</v>
      </c>
      <c r="N95">
        <v>48</v>
      </c>
      <c r="O95" t="s">
        <v>25</v>
      </c>
      <c r="P95">
        <v>0.02</v>
      </c>
      <c r="Q95">
        <v>0</v>
      </c>
    </row>
    <row r="96" spans="1:17" x14ac:dyDescent="0.25">
      <c r="A96" t="s">
        <v>103</v>
      </c>
      <c r="B96" t="s">
        <v>104</v>
      </c>
      <c r="C96" t="s">
        <v>105</v>
      </c>
      <c r="D96" t="s">
        <v>106</v>
      </c>
      <c r="E96" t="s">
        <v>126</v>
      </c>
      <c r="F96" s="1">
        <v>45698</v>
      </c>
      <c r="G96" s="1">
        <v>45713</v>
      </c>
      <c r="H96">
        <v>15</v>
      </c>
      <c r="I96">
        <v>25471.360000000001</v>
      </c>
      <c r="J96">
        <v>25471.360000000001</v>
      </c>
      <c r="K96">
        <v>0</v>
      </c>
      <c r="L96" s="1">
        <v>45726</v>
      </c>
      <c r="M96">
        <v>111</v>
      </c>
      <c r="N96">
        <v>96</v>
      </c>
      <c r="O96" t="s">
        <v>25</v>
      </c>
      <c r="P96">
        <v>0.01</v>
      </c>
      <c r="Q96">
        <v>0</v>
      </c>
    </row>
    <row r="97" spans="1:17" x14ac:dyDescent="0.25">
      <c r="A97" t="s">
        <v>103</v>
      </c>
      <c r="B97" t="s">
        <v>104</v>
      </c>
      <c r="C97" t="s">
        <v>105</v>
      </c>
      <c r="D97" t="s">
        <v>106</v>
      </c>
      <c r="E97" t="s">
        <v>127</v>
      </c>
      <c r="F97" s="1">
        <v>45643</v>
      </c>
      <c r="G97" s="1">
        <v>45658</v>
      </c>
      <c r="H97">
        <v>15</v>
      </c>
      <c r="I97">
        <v>7137.34</v>
      </c>
      <c r="J97">
        <v>7137.34</v>
      </c>
      <c r="K97">
        <v>0</v>
      </c>
      <c r="L97" s="1">
        <v>45648</v>
      </c>
      <c r="M97">
        <v>166</v>
      </c>
      <c r="N97">
        <v>151</v>
      </c>
      <c r="O97" t="s">
        <v>25</v>
      </c>
      <c r="P97">
        <v>0.02</v>
      </c>
      <c r="Q97">
        <v>142.75</v>
      </c>
    </row>
    <row r="98" spans="1:17" x14ac:dyDescent="0.25">
      <c r="A98" t="s">
        <v>103</v>
      </c>
      <c r="B98" t="s">
        <v>104</v>
      </c>
      <c r="C98" t="s">
        <v>105</v>
      </c>
      <c r="D98" t="s">
        <v>106</v>
      </c>
      <c r="E98" t="s">
        <v>128</v>
      </c>
      <c r="F98" s="1">
        <v>45734</v>
      </c>
      <c r="G98" s="1">
        <v>45749</v>
      </c>
      <c r="H98">
        <v>15</v>
      </c>
      <c r="I98">
        <v>3774.98</v>
      </c>
      <c r="J98">
        <v>3774.98</v>
      </c>
      <c r="K98">
        <v>0</v>
      </c>
      <c r="L98" s="1">
        <v>45746</v>
      </c>
      <c r="M98">
        <v>75</v>
      </c>
      <c r="N98">
        <v>60</v>
      </c>
      <c r="O98" t="s">
        <v>25</v>
      </c>
      <c r="P98">
        <v>0</v>
      </c>
      <c r="Q98">
        <v>0</v>
      </c>
    </row>
    <row r="99" spans="1:17" x14ac:dyDescent="0.25">
      <c r="A99" t="s">
        <v>103</v>
      </c>
      <c r="B99" t="s">
        <v>104</v>
      </c>
      <c r="C99" t="s">
        <v>105</v>
      </c>
      <c r="D99" t="s">
        <v>106</v>
      </c>
      <c r="E99" t="s">
        <v>129</v>
      </c>
      <c r="F99" s="1">
        <v>45772</v>
      </c>
      <c r="G99" s="1">
        <v>45817</v>
      </c>
      <c r="H99">
        <v>45</v>
      </c>
      <c r="I99">
        <v>48220.98</v>
      </c>
      <c r="J99">
        <v>0</v>
      </c>
      <c r="K99">
        <v>48220.98</v>
      </c>
      <c r="M99">
        <v>37</v>
      </c>
      <c r="N99">
        <v>0</v>
      </c>
      <c r="O99" t="s">
        <v>22</v>
      </c>
      <c r="P99">
        <v>0.01</v>
      </c>
      <c r="Q99">
        <v>0</v>
      </c>
    </row>
    <row r="100" spans="1:17" x14ac:dyDescent="0.25">
      <c r="A100" t="s">
        <v>103</v>
      </c>
      <c r="B100" t="s">
        <v>104</v>
      </c>
      <c r="C100" t="s">
        <v>105</v>
      </c>
      <c r="D100" t="s">
        <v>106</v>
      </c>
      <c r="E100" t="s">
        <v>130</v>
      </c>
      <c r="F100" s="1">
        <v>45676</v>
      </c>
      <c r="G100" s="1">
        <v>45721</v>
      </c>
      <c r="H100">
        <v>45</v>
      </c>
      <c r="I100">
        <v>66448.490000000005</v>
      </c>
      <c r="J100">
        <v>36158.800000000003</v>
      </c>
      <c r="K100">
        <v>30289.69</v>
      </c>
      <c r="L100" s="1">
        <v>45794</v>
      </c>
      <c r="M100">
        <v>133</v>
      </c>
      <c r="N100">
        <v>88</v>
      </c>
      <c r="O100" t="s">
        <v>29</v>
      </c>
      <c r="P100">
        <v>0.02</v>
      </c>
      <c r="Q100">
        <v>0</v>
      </c>
    </row>
    <row r="101" spans="1:17" x14ac:dyDescent="0.25">
      <c r="A101" t="s">
        <v>131</v>
      </c>
      <c r="B101" t="s">
        <v>132</v>
      </c>
      <c r="C101" t="s">
        <v>133</v>
      </c>
      <c r="D101" t="s">
        <v>134</v>
      </c>
      <c r="E101" t="s">
        <v>135</v>
      </c>
      <c r="F101" s="1">
        <v>45756</v>
      </c>
      <c r="G101" s="1">
        <v>45801</v>
      </c>
      <c r="H101">
        <v>45</v>
      </c>
      <c r="I101">
        <v>41321.129999999997</v>
      </c>
      <c r="J101">
        <v>0</v>
      </c>
      <c r="K101">
        <v>41321.129999999997</v>
      </c>
      <c r="M101">
        <v>53</v>
      </c>
      <c r="N101">
        <v>8</v>
      </c>
      <c r="O101" t="s">
        <v>36</v>
      </c>
      <c r="P101">
        <v>0.01</v>
      </c>
      <c r="Q101">
        <v>0</v>
      </c>
    </row>
    <row r="102" spans="1:17" x14ac:dyDescent="0.25">
      <c r="A102" t="s">
        <v>131</v>
      </c>
      <c r="B102" t="s">
        <v>132</v>
      </c>
      <c r="C102" t="s">
        <v>133</v>
      </c>
      <c r="D102" t="s">
        <v>134</v>
      </c>
      <c r="E102" t="s">
        <v>136</v>
      </c>
      <c r="F102" s="1">
        <v>45650</v>
      </c>
      <c r="G102" s="1">
        <v>45740</v>
      </c>
      <c r="H102">
        <v>90</v>
      </c>
      <c r="I102">
        <v>6575.19</v>
      </c>
      <c r="J102">
        <v>6575.19</v>
      </c>
      <c r="K102">
        <v>0</v>
      </c>
      <c r="L102" s="1">
        <v>45759</v>
      </c>
      <c r="M102">
        <v>159</v>
      </c>
      <c r="N102">
        <v>69</v>
      </c>
      <c r="O102" t="s">
        <v>25</v>
      </c>
      <c r="P102">
        <v>2.5000000000000001E-2</v>
      </c>
      <c r="Q102">
        <v>0</v>
      </c>
    </row>
    <row r="103" spans="1:17" x14ac:dyDescent="0.25">
      <c r="A103" t="s">
        <v>131</v>
      </c>
      <c r="B103" t="s">
        <v>132</v>
      </c>
      <c r="C103" t="s">
        <v>133</v>
      </c>
      <c r="D103" t="s">
        <v>134</v>
      </c>
      <c r="E103" t="s">
        <v>137</v>
      </c>
      <c r="F103" s="1">
        <v>45804</v>
      </c>
      <c r="G103" s="1">
        <v>45849</v>
      </c>
      <c r="H103">
        <v>45</v>
      </c>
      <c r="I103">
        <v>58268.53</v>
      </c>
      <c r="J103">
        <v>0</v>
      </c>
      <c r="K103">
        <v>58268.53</v>
      </c>
      <c r="M103">
        <v>5</v>
      </c>
      <c r="N103">
        <v>0</v>
      </c>
      <c r="O103" t="s">
        <v>22</v>
      </c>
      <c r="P103">
        <v>2.5000000000000001E-2</v>
      </c>
      <c r="Q103">
        <v>0</v>
      </c>
    </row>
    <row r="104" spans="1:17" x14ac:dyDescent="0.25">
      <c r="A104" t="s">
        <v>131</v>
      </c>
      <c r="B104" t="s">
        <v>132</v>
      </c>
      <c r="C104" t="s">
        <v>133</v>
      </c>
      <c r="D104" t="s">
        <v>134</v>
      </c>
      <c r="E104" t="s">
        <v>138</v>
      </c>
      <c r="F104" s="1">
        <v>45783</v>
      </c>
      <c r="G104" s="1">
        <v>45798</v>
      </c>
      <c r="H104">
        <v>15</v>
      </c>
      <c r="I104">
        <v>34345.269999999997</v>
      </c>
      <c r="J104">
        <v>5445.83</v>
      </c>
      <c r="K104">
        <v>28899.439999999999</v>
      </c>
      <c r="L104" s="1">
        <v>45790</v>
      </c>
      <c r="M104">
        <v>26</v>
      </c>
      <c r="N104">
        <v>11</v>
      </c>
      <c r="O104" t="s">
        <v>29</v>
      </c>
      <c r="P104">
        <v>2.5000000000000001E-2</v>
      </c>
      <c r="Q104">
        <v>0</v>
      </c>
    </row>
    <row r="105" spans="1:17" x14ac:dyDescent="0.25">
      <c r="A105" t="s">
        <v>131</v>
      </c>
      <c r="B105" t="s">
        <v>132</v>
      </c>
      <c r="C105" t="s">
        <v>133</v>
      </c>
      <c r="D105" t="s">
        <v>134</v>
      </c>
      <c r="E105" t="s">
        <v>139</v>
      </c>
      <c r="F105" s="1">
        <v>45782</v>
      </c>
      <c r="G105" s="1">
        <v>45812</v>
      </c>
      <c r="H105">
        <v>30</v>
      </c>
      <c r="I105">
        <v>24598.79</v>
      </c>
      <c r="J105">
        <v>0</v>
      </c>
      <c r="K105">
        <v>24598.79</v>
      </c>
      <c r="M105">
        <v>27</v>
      </c>
      <c r="N105">
        <v>0</v>
      </c>
      <c r="O105" t="s">
        <v>22</v>
      </c>
      <c r="P105">
        <v>0</v>
      </c>
      <c r="Q105">
        <v>0</v>
      </c>
    </row>
    <row r="106" spans="1:17" x14ac:dyDescent="0.25">
      <c r="A106" t="s">
        <v>131</v>
      </c>
      <c r="B106" t="s">
        <v>132</v>
      </c>
      <c r="C106" t="s">
        <v>133</v>
      </c>
      <c r="D106" t="s">
        <v>134</v>
      </c>
      <c r="E106" t="s">
        <v>140</v>
      </c>
      <c r="F106" s="1">
        <v>45738</v>
      </c>
      <c r="G106" s="1">
        <v>45783</v>
      </c>
      <c r="H106">
        <v>45</v>
      </c>
      <c r="I106">
        <v>14685.4</v>
      </c>
      <c r="J106">
        <v>14685.4</v>
      </c>
      <c r="K106">
        <v>0</v>
      </c>
      <c r="L106" s="1">
        <v>45745</v>
      </c>
      <c r="M106">
        <v>71</v>
      </c>
      <c r="N106">
        <v>26</v>
      </c>
      <c r="O106" t="s">
        <v>25</v>
      </c>
      <c r="P106">
        <v>0.01</v>
      </c>
      <c r="Q106">
        <v>146.85</v>
      </c>
    </row>
    <row r="107" spans="1:17" x14ac:dyDescent="0.25">
      <c r="A107" t="s">
        <v>131</v>
      </c>
      <c r="B107" t="s">
        <v>132</v>
      </c>
      <c r="C107" t="s">
        <v>133</v>
      </c>
      <c r="D107" t="s">
        <v>134</v>
      </c>
      <c r="E107" t="s">
        <v>141</v>
      </c>
      <c r="F107" s="1">
        <v>45722</v>
      </c>
      <c r="G107" s="1">
        <v>45737</v>
      </c>
      <c r="H107">
        <v>15</v>
      </c>
      <c r="I107">
        <v>77291.17</v>
      </c>
      <c r="J107">
        <v>77291.17</v>
      </c>
      <c r="K107">
        <v>0</v>
      </c>
      <c r="L107" s="1">
        <v>45732</v>
      </c>
      <c r="M107">
        <v>87</v>
      </c>
      <c r="N107">
        <v>72</v>
      </c>
      <c r="O107" t="s">
        <v>25</v>
      </c>
      <c r="P107">
        <v>0.01</v>
      </c>
      <c r="Q107">
        <v>772.91</v>
      </c>
    </row>
    <row r="108" spans="1:17" x14ac:dyDescent="0.25">
      <c r="A108" t="s">
        <v>131</v>
      </c>
      <c r="B108" t="s">
        <v>132</v>
      </c>
      <c r="C108" t="s">
        <v>133</v>
      </c>
      <c r="D108" t="s">
        <v>134</v>
      </c>
      <c r="E108" t="s">
        <v>142</v>
      </c>
      <c r="F108" s="1">
        <v>45675</v>
      </c>
      <c r="G108" s="1">
        <v>45690</v>
      </c>
      <c r="H108">
        <v>15</v>
      </c>
      <c r="I108">
        <v>35997.519999999997</v>
      </c>
      <c r="J108">
        <v>19135.599999999999</v>
      </c>
      <c r="K108">
        <v>16861.919999999998</v>
      </c>
      <c r="L108" s="1">
        <v>45731</v>
      </c>
      <c r="M108">
        <v>134</v>
      </c>
      <c r="N108">
        <v>119</v>
      </c>
      <c r="O108" t="s">
        <v>29</v>
      </c>
      <c r="P108">
        <v>0.02</v>
      </c>
      <c r="Q108">
        <v>0</v>
      </c>
    </row>
    <row r="109" spans="1:17" x14ac:dyDescent="0.25">
      <c r="A109" t="s">
        <v>131</v>
      </c>
      <c r="B109" t="s">
        <v>132</v>
      </c>
      <c r="C109" t="s">
        <v>133</v>
      </c>
      <c r="D109" t="s">
        <v>134</v>
      </c>
      <c r="E109" t="s">
        <v>143</v>
      </c>
      <c r="F109" s="1">
        <v>45715</v>
      </c>
      <c r="G109" s="1">
        <v>45745</v>
      </c>
      <c r="H109">
        <v>30</v>
      </c>
      <c r="I109">
        <v>4398.3100000000004</v>
      </c>
      <c r="J109">
        <v>0</v>
      </c>
      <c r="K109">
        <v>4398.3100000000004</v>
      </c>
      <c r="M109">
        <v>94</v>
      </c>
      <c r="N109">
        <v>64</v>
      </c>
      <c r="O109" t="s">
        <v>36</v>
      </c>
      <c r="P109">
        <v>0.02</v>
      </c>
      <c r="Q109">
        <v>0</v>
      </c>
    </row>
    <row r="110" spans="1:17" x14ac:dyDescent="0.25">
      <c r="A110" t="s">
        <v>131</v>
      </c>
      <c r="B110" t="s">
        <v>132</v>
      </c>
      <c r="C110" t="s">
        <v>133</v>
      </c>
      <c r="D110" t="s">
        <v>134</v>
      </c>
      <c r="E110" t="s">
        <v>144</v>
      </c>
      <c r="F110" s="1">
        <v>45663</v>
      </c>
      <c r="G110" s="1">
        <v>45693</v>
      </c>
      <c r="H110">
        <v>30</v>
      </c>
      <c r="I110">
        <v>68214.84</v>
      </c>
      <c r="J110">
        <v>68214.84</v>
      </c>
      <c r="K110">
        <v>0</v>
      </c>
      <c r="L110" s="1">
        <v>45699</v>
      </c>
      <c r="M110">
        <v>146</v>
      </c>
      <c r="N110">
        <v>116</v>
      </c>
      <c r="O110" t="s">
        <v>25</v>
      </c>
      <c r="P110">
        <v>2.5000000000000001E-2</v>
      </c>
      <c r="Q110">
        <v>0</v>
      </c>
    </row>
    <row r="111" spans="1:17" x14ac:dyDescent="0.25">
      <c r="A111" t="s">
        <v>131</v>
      </c>
      <c r="B111" t="s">
        <v>132</v>
      </c>
      <c r="C111" t="s">
        <v>133</v>
      </c>
      <c r="D111" t="s">
        <v>134</v>
      </c>
      <c r="E111" t="s">
        <v>145</v>
      </c>
      <c r="F111" s="1">
        <v>45650</v>
      </c>
      <c r="G111" s="1">
        <v>45695</v>
      </c>
      <c r="H111">
        <v>45</v>
      </c>
      <c r="I111">
        <v>45033.26</v>
      </c>
      <c r="J111">
        <v>45033.26</v>
      </c>
      <c r="K111">
        <v>0</v>
      </c>
      <c r="L111" s="1">
        <v>45688</v>
      </c>
      <c r="M111">
        <v>159</v>
      </c>
      <c r="N111">
        <v>114</v>
      </c>
      <c r="O111" t="s">
        <v>25</v>
      </c>
      <c r="P111">
        <v>0.02</v>
      </c>
      <c r="Q111">
        <v>900.67</v>
      </c>
    </row>
    <row r="112" spans="1:17" x14ac:dyDescent="0.25">
      <c r="A112" t="s">
        <v>131</v>
      </c>
      <c r="B112" t="s">
        <v>132</v>
      </c>
      <c r="C112" t="s">
        <v>133</v>
      </c>
      <c r="D112" t="s">
        <v>134</v>
      </c>
      <c r="E112" t="s">
        <v>146</v>
      </c>
      <c r="F112" s="1">
        <v>45653</v>
      </c>
      <c r="G112" s="1">
        <v>45698</v>
      </c>
      <c r="H112">
        <v>45</v>
      </c>
      <c r="I112">
        <v>13072.71</v>
      </c>
      <c r="J112">
        <v>13072.71</v>
      </c>
      <c r="K112">
        <v>0</v>
      </c>
      <c r="L112" s="1">
        <v>45687</v>
      </c>
      <c r="M112">
        <v>156</v>
      </c>
      <c r="N112">
        <v>111</v>
      </c>
      <c r="O112" t="s">
        <v>25</v>
      </c>
      <c r="P112">
        <v>2.5000000000000001E-2</v>
      </c>
      <c r="Q112">
        <v>326.82</v>
      </c>
    </row>
    <row r="113" spans="1:17" x14ac:dyDescent="0.25">
      <c r="A113" t="s">
        <v>131</v>
      </c>
      <c r="B113" t="s">
        <v>132</v>
      </c>
      <c r="C113" t="s">
        <v>133</v>
      </c>
      <c r="D113" t="s">
        <v>134</v>
      </c>
      <c r="E113" t="s">
        <v>147</v>
      </c>
      <c r="F113" s="1">
        <v>45723</v>
      </c>
      <c r="G113" s="1">
        <v>45813</v>
      </c>
      <c r="H113">
        <v>90</v>
      </c>
      <c r="I113">
        <v>24138.52</v>
      </c>
      <c r="J113">
        <v>0</v>
      </c>
      <c r="K113">
        <v>24138.52</v>
      </c>
      <c r="M113">
        <v>86</v>
      </c>
      <c r="N113">
        <v>0</v>
      </c>
      <c r="O113" t="s">
        <v>22</v>
      </c>
      <c r="P113">
        <v>0.02</v>
      </c>
      <c r="Q113">
        <v>0</v>
      </c>
    </row>
    <row r="114" spans="1:17" x14ac:dyDescent="0.25">
      <c r="A114" t="s">
        <v>131</v>
      </c>
      <c r="B114" t="s">
        <v>132</v>
      </c>
      <c r="C114" t="s">
        <v>133</v>
      </c>
      <c r="D114" t="s">
        <v>134</v>
      </c>
      <c r="E114" t="s">
        <v>148</v>
      </c>
      <c r="F114" s="1">
        <v>45720</v>
      </c>
      <c r="G114" s="1">
        <v>45735</v>
      </c>
      <c r="H114">
        <v>15</v>
      </c>
      <c r="I114">
        <v>58409.64</v>
      </c>
      <c r="J114">
        <v>58409.64</v>
      </c>
      <c r="K114">
        <v>0</v>
      </c>
      <c r="L114" s="1">
        <v>45730</v>
      </c>
      <c r="M114">
        <v>89</v>
      </c>
      <c r="N114">
        <v>74</v>
      </c>
      <c r="O114" t="s">
        <v>25</v>
      </c>
      <c r="P114">
        <v>0.02</v>
      </c>
      <c r="Q114">
        <v>1168.19</v>
      </c>
    </row>
    <row r="115" spans="1:17" x14ac:dyDescent="0.25">
      <c r="A115" t="s">
        <v>131</v>
      </c>
      <c r="B115" t="s">
        <v>132</v>
      </c>
      <c r="C115" t="s">
        <v>133</v>
      </c>
      <c r="D115" t="s">
        <v>134</v>
      </c>
      <c r="E115" t="s">
        <v>149</v>
      </c>
      <c r="F115" s="1">
        <v>45696</v>
      </c>
      <c r="G115" s="1">
        <v>45726</v>
      </c>
      <c r="H115">
        <v>30</v>
      </c>
      <c r="I115">
        <v>51221.25</v>
      </c>
      <c r="J115">
        <v>51221.25</v>
      </c>
      <c r="K115">
        <v>0</v>
      </c>
      <c r="L115" s="1">
        <v>45698</v>
      </c>
      <c r="M115">
        <v>113</v>
      </c>
      <c r="N115">
        <v>83</v>
      </c>
      <c r="O115" t="s">
        <v>25</v>
      </c>
      <c r="P115">
        <v>0</v>
      </c>
      <c r="Q115">
        <v>0</v>
      </c>
    </row>
    <row r="116" spans="1:17" x14ac:dyDescent="0.25">
      <c r="A116" t="s">
        <v>131</v>
      </c>
      <c r="B116" t="s">
        <v>132</v>
      </c>
      <c r="C116" t="s">
        <v>133</v>
      </c>
      <c r="D116" t="s">
        <v>134</v>
      </c>
      <c r="E116" t="s">
        <v>150</v>
      </c>
      <c r="F116" s="1">
        <v>45683</v>
      </c>
      <c r="G116" s="1">
        <v>45743</v>
      </c>
      <c r="H116">
        <v>60</v>
      </c>
      <c r="I116">
        <v>34870.03</v>
      </c>
      <c r="J116">
        <v>34870.03</v>
      </c>
      <c r="K116">
        <v>0</v>
      </c>
      <c r="L116" s="1">
        <v>45724</v>
      </c>
      <c r="M116">
        <v>126</v>
      </c>
      <c r="N116">
        <v>66</v>
      </c>
      <c r="O116" t="s">
        <v>25</v>
      </c>
      <c r="P116">
        <v>2.5000000000000001E-2</v>
      </c>
      <c r="Q116">
        <v>871.75</v>
      </c>
    </row>
    <row r="117" spans="1:17" x14ac:dyDescent="0.25">
      <c r="A117" t="s">
        <v>131</v>
      </c>
      <c r="B117" t="s">
        <v>132</v>
      </c>
      <c r="C117" t="s">
        <v>133</v>
      </c>
      <c r="D117" t="s">
        <v>134</v>
      </c>
      <c r="E117" t="s">
        <v>151</v>
      </c>
      <c r="F117" s="1">
        <v>45708</v>
      </c>
      <c r="G117" s="1">
        <v>45753</v>
      </c>
      <c r="H117">
        <v>45</v>
      </c>
      <c r="I117">
        <v>9302.01</v>
      </c>
      <c r="J117">
        <v>9302.01</v>
      </c>
      <c r="K117">
        <v>0</v>
      </c>
      <c r="L117" s="1">
        <v>45765</v>
      </c>
      <c r="M117">
        <v>101</v>
      </c>
      <c r="N117">
        <v>56</v>
      </c>
      <c r="O117" t="s">
        <v>25</v>
      </c>
      <c r="P117">
        <v>0.01</v>
      </c>
      <c r="Q117">
        <v>0</v>
      </c>
    </row>
    <row r="118" spans="1:17" x14ac:dyDescent="0.25">
      <c r="A118" t="s">
        <v>131</v>
      </c>
      <c r="B118" t="s">
        <v>132</v>
      </c>
      <c r="C118" t="s">
        <v>133</v>
      </c>
      <c r="D118" t="s">
        <v>134</v>
      </c>
      <c r="E118" t="s">
        <v>152</v>
      </c>
      <c r="F118" s="1">
        <v>45770</v>
      </c>
      <c r="G118" s="1">
        <v>45785</v>
      </c>
      <c r="H118">
        <v>15</v>
      </c>
      <c r="I118">
        <v>21676.95</v>
      </c>
      <c r="J118">
        <v>21676.95</v>
      </c>
      <c r="K118">
        <v>0</v>
      </c>
      <c r="L118" s="1">
        <v>45797</v>
      </c>
      <c r="M118">
        <v>39</v>
      </c>
      <c r="N118">
        <v>24</v>
      </c>
      <c r="O118" t="s">
        <v>25</v>
      </c>
      <c r="P118">
        <v>0</v>
      </c>
      <c r="Q118">
        <v>0</v>
      </c>
    </row>
    <row r="119" spans="1:17" x14ac:dyDescent="0.25">
      <c r="A119" t="s">
        <v>131</v>
      </c>
      <c r="B119" t="s">
        <v>132</v>
      </c>
      <c r="C119" t="s">
        <v>133</v>
      </c>
      <c r="D119" t="s">
        <v>134</v>
      </c>
      <c r="E119" t="s">
        <v>153</v>
      </c>
      <c r="F119" s="1">
        <v>45705</v>
      </c>
      <c r="G119" s="1">
        <v>45750</v>
      </c>
      <c r="H119">
        <v>45</v>
      </c>
      <c r="I119">
        <v>47880.77</v>
      </c>
      <c r="J119">
        <v>0</v>
      </c>
      <c r="K119">
        <v>47880.77</v>
      </c>
      <c r="M119">
        <v>104</v>
      </c>
      <c r="N119">
        <v>59</v>
      </c>
      <c r="O119" t="s">
        <v>36</v>
      </c>
      <c r="P119">
        <v>0</v>
      </c>
      <c r="Q119">
        <v>0</v>
      </c>
    </row>
    <row r="120" spans="1:17" x14ac:dyDescent="0.25">
      <c r="A120" t="s">
        <v>131</v>
      </c>
      <c r="B120" t="s">
        <v>132</v>
      </c>
      <c r="C120" t="s">
        <v>133</v>
      </c>
      <c r="D120" t="s">
        <v>134</v>
      </c>
      <c r="E120" t="s">
        <v>154</v>
      </c>
      <c r="F120" s="1">
        <v>45730</v>
      </c>
      <c r="G120" s="1">
        <v>45775</v>
      </c>
      <c r="H120">
        <v>45</v>
      </c>
      <c r="I120">
        <v>33218.21</v>
      </c>
      <c r="J120">
        <v>33218.21</v>
      </c>
      <c r="K120">
        <v>0</v>
      </c>
      <c r="L120" s="1">
        <v>45738</v>
      </c>
      <c r="M120">
        <v>79</v>
      </c>
      <c r="N120">
        <v>34</v>
      </c>
      <c r="O120" t="s">
        <v>25</v>
      </c>
      <c r="P120">
        <v>0.01</v>
      </c>
      <c r="Q120">
        <v>332.18</v>
      </c>
    </row>
    <row r="121" spans="1:17" x14ac:dyDescent="0.25">
      <c r="A121" t="s">
        <v>131</v>
      </c>
      <c r="B121" t="s">
        <v>132</v>
      </c>
      <c r="C121" t="s">
        <v>133</v>
      </c>
      <c r="D121" t="s">
        <v>134</v>
      </c>
      <c r="E121" t="s">
        <v>155</v>
      </c>
      <c r="F121" s="1">
        <v>45731</v>
      </c>
      <c r="G121" s="1">
        <v>45746</v>
      </c>
      <c r="H121">
        <v>15</v>
      </c>
      <c r="I121">
        <v>44300.83</v>
      </c>
      <c r="J121">
        <v>44300.83</v>
      </c>
      <c r="K121">
        <v>0</v>
      </c>
      <c r="L121" s="1">
        <v>45744</v>
      </c>
      <c r="M121">
        <v>78</v>
      </c>
      <c r="N121">
        <v>63</v>
      </c>
      <c r="O121" t="s">
        <v>25</v>
      </c>
      <c r="P121">
        <v>0.02</v>
      </c>
      <c r="Q121">
        <v>0</v>
      </c>
    </row>
    <row r="122" spans="1:17" x14ac:dyDescent="0.25">
      <c r="A122" t="s">
        <v>131</v>
      </c>
      <c r="B122" t="s">
        <v>132</v>
      </c>
      <c r="C122" t="s">
        <v>133</v>
      </c>
      <c r="D122" t="s">
        <v>134</v>
      </c>
      <c r="E122" t="s">
        <v>156</v>
      </c>
      <c r="F122" s="1">
        <v>45670</v>
      </c>
      <c r="G122" s="1">
        <v>45760</v>
      </c>
      <c r="H122">
        <v>90</v>
      </c>
      <c r="I122">
        <v>11138.68</v>
      </c>
      <c r="J122">
        <v>4107.1400000000003</v>
      </c>
      <c r="K122">
        <v>7031.54</v>
      </c>
      <c r="L122" s="1">
        <v>45759</v>
      </c>
      <c r="M122">
        <v>139</v>
      </c>
      <c r="N122">
        <v>49</v>
      </c>
      <c r="O122" t="s">
        <v>29</v>
      </c>
      <c r="P122">
        <v>0.02</v>
      </c>
      <c r="Q122">
        <v>0</v>
      </c>
    </row>
    <row r="123" spans="1:17" x14ac:dyDescent="0.25">
      <c r="A123" t="s">
        <v>131</v>
      </c>
      <c r="B123" t="s">
        <v>132</v>
      </c>
      <c r="C123" t="s">
        <v>133</v>
      </c>
      <c r="D123" t="s">
        <v>134</v>
      </c>
      <c r="E123" t="s">
        <v>157</v>
      </c>
      <c r="F123" s="1">
        <v>45797</v>
      </c>
      <c r="G123" s="1">
        <v>45857</v>
      </c>
      <c r="H123">
        <v>60</v>
      </c>
      <c r="I123">
        <v>19049.310000000001</v>
      </c>
      <c r="J123">
        <v>0</v>
      </c>
      <c r="K123">
        <v>19049.310000000001</v>
      </c>
      <c r="M123">
        <v>12</v>
      </c>
      <c r="N123">
        <v>0</v>
      </c>
      <c r="O123" t="s">
        <v>22</v>
      </c>
      <c r="P123">
        <v>0</v>
      </c>
      <c r="Q123">
        <v>0</v>
      </c>
    </row>
    <row r="124" spans="1:17" x14ac:dyDescent="0.25">
      <c r="A124" t="s">
        <v>131</v>
      </c>
      <c r="B124" t="s">
        <v>132</v>
      </c>
      <c r="C124" t="s">
        <v>133</v>
      </c>
      <c r="D124" t="s">
        <v>134</v>
      </c>
      <c r="E124" t="s">
        <v>158</v>
      </c>
      <c r="F124" s="1">
        <v>45727</v>
      </c>
      <c r="G124" s="1">
        <v>45757</v>
      </c>
      <c r="H124">
        <v>30</v>
      </c>
      <c r="I124">
        <v>62579.96</v>
      </c>
      <c r="J124">
        <v>62579.96</v>
      </c>
      <c r="K124">
        <v>0</v>
      </c>
      <c r="L124" s="1">
        <v>45752</v>
      </c>
      <c r="M124">
        <v>82</v>
      </c>
      <c r="N124">
        <v>52</v>
      </c>
      <c r="O124" t="s">
        <v>25</v>
      </c>
      <c r="P124">
        <v>0</v>
      </c>
      <c r="Q124">
        <v>0</v>
      </c>
    </row>
    <row r="125" spans="1:17" x14ac:dyDescent="0.25">
      <c r="A125" t="s">
        <v>131</v>
      </c>
      <c r="B125" t="s">
        <v>132</v>
      </c>
      <c r="C125" t="s">
        <v>133</v>
      </c>
      <c r="D125" t="s">
        <v>134</v>
      </c>
      <c r="E125" t="s">
        <v>159</v>
      </c>
      <c r="F125" s="1">
        <v>45787</v>
      </c>
      <c r="G125" s="1">
        <v>45832</v>
      </c>
      <c r="H125">
        <v>45</v>
      </c>
      <c r="I125">
        <v>45360.21</v>
      </c>
      <c r="J125">
        <v>0</v>
      </c>
      <c r="K125">
        <v>45360.21</v>
      </c>
      <c r="M125">
        <v>22</v>
      </c>
      <c r="N125">
        <v>0</v>
      </c>
      <c r="O125" t="s">
        <v>22</v>
      </c>
      <c r="P125">
        <v>0.01</v>
      </c>
      <c r="Q125">
        <v>0</v>
      </c>
    </row>
    <row r="126" spans="1:17" x14ac:dyDescent="0.25">
      <c r="A126" t="s">
        <v>131</v>
      </c>
      <c r="B126" t="s">
        <v>132</v>
      </c>
      <c r="C126" t="s">
        <v>133</v>
      </c>
      <c r="D126" t="s">
        <v>134</v>
      </c>
      <c r="E126" t="s">
        <v>160</v>
      </c>
      <c r="F126" s="1">
        <v>45714</v>
      </c>
      <c r="G126" s="1">
        <v>45804</v>
      </c>
      <c r="H126">
        <v>90</v>
      </c>
      <c r="I126">
        <v>78195.5</v>
      </c>
      <c r="J126">
        <v>78195.5</v>
      </c>
      <c r="K126">
        <v>0</v>
      </c>
      <c r="L126" s="1">
        <v>45741</v>
      </c>
      <c r="M126">
        <v>95</v>
      </c>
      <c r="N126">
        <v>5</v>
      </c>
      <c r="O126" t="s">
        <v>25</v>
      </c>
      <c r="P126">
        <v>0</v>
      </c>
      <c r="Q126">
        <v>0</v>
      </c>
    </row>
    <row r="127" spans="1:17" x14ac:dyDescent="0.25">
      <c r="A127" t="s">
        <v>131</v>
      </c>
      <c r="B127" t="s">
        <v>132</v>
      </c>
      <c r="C127" t="s">
        <v>133</v>
      </c>
      <c r="D127" t="s">
        <v>134</v>
      </c>
      <c r="E127" t="s">
        <v>161</v>
      </c>
      <c r="F127" s="1">
        <v>45801</v>
      </c>
      <c r="G127" s="1">
        <v>45861</v>
      </c>
      <c r="H127">
        <v>60</v>
      </c>
      <c r="I127">
        <v>17000.07</v>
      </c>
      <c r="J127">
        <v>0</v>
      </c>
      <c r="K127">
        <v>17000.07</v>
      </c>
      <c r="M127">
        <v>8</v>
      </c>
      <c r="N127">
        <v>0</v>
      </c>
      <c r="O127" t="s">
        <v>22</v>
      </c>
      <c r="P127">
        <v>2.5000000000000001E-2</v>
      </c>
      <c r="Q127">
        <v>0</v>
      </c>
    </row>
    <row r="128" spans="1:17" x14ac:dyDescent="0.25">
      <c r="A128" t="s">
        <v>131</v>
      </c>
      <c r="B128" t="s">
        <v>132</v>
      </c>
      <c r="C128" t="s">
        <v>133</v>
      </c>
      <c r="D128" t="s">
        <v>134</v>
      </c>
      <c r="E128" t="s">
        <v>162</v>
      </c>
      <c r="F128" s="1">
        <v>45804</v>
      </c>
      <c r="G128" s="1">
        <v>45834</v>
      </c>
      <c r="H128">
        <v>30</v>
      </c>
      <c r="I128">
        <v>58527.94</v>
      </c>
      <c r="J128">
        <v>0</v>
      </c>
      <c r="K128">
        <v>58527.94</v>
      </c>
      <c r="M128">
        <v>5</v>
      </c>
      <c r="N128">
        <v>0</v>
      </c>
      <c r="O128" t="s">
        <v>22</v>
      </c>
      <c r="P128">
        <v>0.01</v>
      </c>
      <c r="Q128">
        <v>0</v>
      </c>
    </row>
    <row r="129" spans="1:17" x14ac:dyDescent="0.25">
      <c r="A129" t="s">
        <v>131</v>
      </c>
      <c r="B129" t="s">
        <v>132</v>
      </c>
      <c r="C129" t="s">
        <v>133</v>
      </c>
      <c r="D129" t="s">
        <v>134</v>
      </c>
      <c r="E129" t="s">
        <v>163</v>
      </c>
      <c r="F129" s="1">
        <v>45641</v>
      </c>
      <c r="G129" s="1">
        <v>45701</v>
      </c>
      <c r="H129">
        <v>60</v>
      </c>
      <c r="I129">
        <v>15571.96</v>
      </c>
      <c r="J129">
        <v>15571.96</v>
      </c>
      <c r="K129">
        <v>0</v>
      </c>
      <c r="L129" s="1">
        <v>45731</v>
      </c>
      <c r="M129">
        <v>168</v>
      </c>
      <c r="N129">
        <v>108</v>
      </c>
      <c r="O129" t="s">
        <v>25</v>
      </c>
      <c r="P129">
        <v>0.01</v>
      </c>
      <c r="Q129">
        <v>0</v>
      </c>
    </row>
    <row r="130" spans="1:17" x14ac:dyDescent="0.25">
      <c r="A130" t="s">
        <v>164</v>
      </c>
      <c r="B130" t="s">
        <v>165</v>
      </c>
      <c r="C130" t="s">
        <v>166</v>
      </c>
      <c r="D130" t="s">
        <v>167</v>
      </c>
      <c r="E130" t="s">
        <v>168</v>
      </c>
      <c r="F130" s="1">
        <v>45687</v>
      </c>
      <c r="G130" s="1">
        <v>45732</v>
      </c>
      <c r="H130">
        <v>45</v>
      </c>
      <c r="I130">
        <v>66911.91</v>
      </c>
      <c r="J130">
        <v>66911.91</v>
      </c>
      <c r="K130">
        <v>0</v>
      </c>
      <c r="L130" s="1">
        <v>45756</v>
      </c>
      <c r="M130">
        <v>122</v>
      </c>
      <c r="N130">
        <v>77</v>
      </c>
      <c r="O130" t="s">
        <v>25</v>
      </c>
      <c r="P130">
        <v>0</v>
      </c>
      <c r="Q130">
        <v>0</v>
      </c>
    </row>
    <row r="131" spans="1:17" x14ac:dyDescent="0.25">
      <c r="A131" t="s">
        <v>164</v>
      </c>
      <c r="B131" t="s">
        <v>165</v>
      </c>
      <c r="C131" t="s">
        <v>166</v>
      </c>
      <c r="D131" t="s">
        <v>167</v>
      </c>
      <c r="E131" t="s">
        <v>169</v>
      </c>
      <c r="F131" s="1">
        <v>45796</v>
      </c>
      <c r="G131" s="1">
        <v>45841</v>
      </c>
      <c r="H131">
        <v>45</v>
      </c>
      <c r="I131">
        <v>5466.43</v>
      </c>
      <c r="J131">
        <v>0</v>
      </c>
      <c r="K131">
        <v>5466.43</v>
      </c>
      <c r="M131">
        <v>13</v>
      </c>
      <c r="N131">
        <v>0</v>
      </c>
      <c r="O131" t="s">
        <v>22</v>
      </c>
      <c r="P131">
        <v>0</v>
      </c>
      <c r="Q131">
        <v>0</v>
      </c>
    </row>
    <row r="132" spans="1:17" x14ac:dyDescent="0.25">
      <c r="A132" t="s">
        <v>164</v>
      </c>
      <c r="B132" t="s">
        <v>165</v>
      </c>
      <c r="C132" t="s">
        <v>166</v>
      </c>
      <c r="D132" t="s">
        <v>167</v>
      </c>
      <c r="E132" t="s">
        <v>170</v>
      </c>
      <c r="F132" s="1">
        <v>45659</v>
      </c>
      <c r="G132" s="1">
        <v>45719</v>
      </c>
      <c r="H132">
        <v>60</v>
      </c>
      <c r="I132">
        <v>68028.149999999994</v>
      </c>
      <c r="J132">
        <v>68028.149999999994</v>
      </c>
      <c r="K132">
        <v>0</v>
      </c>
      <c r="L132" s="1">
        <v>45729</v>
      </c>
      <c r="M132">
        <v>150</v>
      </c>
      <c r="N132">
        <v>90</v>
      </c>
      <c r="O132" t="s">
        <v>25</v>
      </c>
      <c r="P132">
        <v>2.5000000000000001E-2</v>
      </c>
      <c r="Q132">
        <v>0</v>
      </c>
    </row>
    <row r="133" spans="1:17" x14ac:dyDescent="0.25">
      <c r="A133" t="s">
        <v>164</v>
      </c>
      <c r="B133" t="s">
        <v>165</v>
      </c>
      <c r="C133" t="s">
        <v>166</v>
      </c>
      <c r="D133" t="s">
        <v>167</v>
      </c>
      <c r="E133" t="s">
        <v>171</v>
      </c>
      <c r="F133" s="1">
        <v>45658</v>
      </c>
      <c r="G133" s="1">
        <v>45703</v>
      </c>
      <c r="H133">
        <v>45</v>
      </c>
      <c r="I133">
        <v>56104.83</v>
      </c>
      <c r="J133">
        <v>0</v>
      </c>
      <c r="K133">
        <v>56104.83</v>
      </c>
      <c r="M133">
        <v>151</v>
      </c>
      <c r="N133">
        <v>106</v>
      </c>
      <c r="O133" t="s">
        <v>36</v>
      </c>
      <c r="P133">
        <v>0.01</v>
      </c>
      <c r="Q133">
        <v>0</v>
      </c>
    </row>
    <row r="134" spans="1:17" x14ac:dyDescent="0.25">
      <c r="A134" t="s">
        <v>164</v>
      </c>
      <c r="B134" t="s">
        <v>165</v>
      </c>
      <c r="C134" t="s">
        <v>166</v>
      </c>
      <c r="D134" t="s">
        <v>167</v>
      </c>
      <c r="E134" t="s">
        <v>172</v>
      </c>
      <c r="F134" s="1">
        <v>45796</v>
      </c>
      <c r="G134" s="1">
        <v>45841</v>
      </c>
      <c r="H134">
        <v>45</v>
      </c>
      <c r="I134">
        <v>46505.94</v>
      </c>
      <c r="J134">
        <v>0</v>
      </c>
      <c r="K134">
        <v>46505.94</v>
      </c>
      <c r="M134">
        <v>13</v>
      </c>
      <c r="N134">
        <v>0</v>
      </c>
      <c r="O134" t="s">
        <v>22</v>
      </c>
      <c r="P134">
        <v>0.02</v>
      </c>
      <c r="Q134">
        <v>0</v>
      </c>
    </row>
    <row r="135" spans="1:17" x14ac:dyDescent="0.25">
      <c r="A135" t="s">
        <v>164</v>
      </c>
      <c r="B135" t="s">
        <v>165</v>
      </c>
      <c r="C135" t="s">
        <v>166</v>
      </c>
      <c r="D135" t="s">
        <v>167</v>
      </c>
      <c r="E135" t="s">
        <v>173</v>
      </c>
      <c r="F135" s="1">
        <v>45753</v>
      </c>
      <c r="G135" s="1">
        <v>45813</v>
      </c>
      <c r="H135">
        <v>60</v>
      </c>
      <c r="I135">
        <v>76533.929999999993</v>
      </c>
      <c r="J135">
        <v>0</v>
      </c>
      <c r="K135">
        <v>76533.929999999993</v>
      </c>
      <c r="M135">
        <v>56</v>
      </c>
      <c r="N135">
        <v>0</v>
      </c>
      <c r="O135" t="s">
        <v>22</v>
      </c>
      <c r="P135">
        <v>0.02</v>
      </c>
      <c r="Q135">
        <v>0</v>
      </c>
    </row>
    <row r="136" spans="1:17" x14ac:dyDescent="0.25">
      <c r="A136" t="s">
        <v>164</v>
      </c>
      <c r="B136" t="s">
        <v>165</v>
      </c>
      <c r="C136" t="s">
        <v>166</v>
      </c>
      <c r="D136" t="s">
        <v>167</v>
      </c>
      <c r="E136" t="s">
        <v>174</v>
      </c>
      <c r="F136" s="1">
        <v>45739</v>
      </c>
      <c r="G136" s="1">
        <v>45799</v>
      </c>
      <c r="H136">
        <v>60</v>
      </c>
      <c r="I136">
        <v>67425.899999999994</v>
      </c>
      <c r="J136">
        <v>67425.899999999994</v>
      </c>
      <c r="K136">
        <v>0</v>
      </c>
      <c r="L136" s="1">
        <v>45823</v>
      </c>
      <c r="M136">
        <v>70</v>
      </c>
      <c r="N136">
        <v>10</v>
      </c>
      <c r="O136" t="s">
        <v>25</v>
      </c>
      <c r="P136">
        <v>2.5000000000000001E-2</v>
      </c>
      <c r="Q136">
        <v>0</v>
      </c>
    </row>
    <row r="137" spans="1:17" x14ac:dyDescent="0.25">
      <c r="A137" t="s">
        <v>164</v>
      </c>
      <c r="B137" t="s">
        <v>165</v>
      </c>
      <c r="C137" t="s">
        <v>166</v>
      </c>
      <c r="D137" t="s">
        <v>167</v>
      </c>
      <c r="E137" t="s">
        <v>175</v>
      </c>
      <c r="F137" s="1">
        <v>45738</v>
      </c>
      <c r="G137" s="1">
        <v>45828</v>
      </c>
      <c r="H137">
        <v>90</v>
      </c>
      <c r="I137">
        <v>24962.400000000001</v>
      </c>
      <c r="J137">
        <v>0</v>
      </c>
      <c r="K137">
        <v>24962.400000000001</v>
      </c>
      <c r="M137">
        <v>71</v>
      </c>
      <c r="N137">
        <v>0</v>
      </c>
      <c r="O137" t="s">
        <v>22</v>
      </c>
      <c r="P137">
        <v>0</v>
      </c>
      <c r="Q137">
        <v>0</v>
      </c>
    </row>
    <row r="138" spans="1:17" x14ac:dyDescent="0.25">
      <c r="A138" t="s">
        <v>164</v>
      </c>
      <c r="B138" t="s">
        <v>165</v>
      </c>
      <c r="C138" t="s">
        <v>166</v>
      </c>
      <c r="D138" t="s">
        <v>167</v>
      </c>
      <c r="E138" t="s">
        <v>176</v>
      </c>
      <c r="F138" s="1">
        <v>45797</v>
      </c>
      <c r="G138" s="1">
        <v>45842</v>
      </c>
      <c r="H138">
        <v>45</v>
      </c>
      <c r="I138">
        <v>19311.419999999998</v>
      </c>
      <c r="J138">
        <v>0</v>
      </c>
      <c r="K138">
        <v>19311.419999999998</v>
      </c>
      <c r="M138">
        <v>12</v>
      </c>
      <c r="N138">
        <v>0</v>
      </c>
      <c r="O138" t="s">
        <v>22</v>
      </c>
      <c r="P138">
        <v>0</v>
      </c>
      <c r="Q138">
        <v>0</v>
      </c>
    </row>
    <row r="139" spans="1:17" x14ac:dyDescent="0.25">
      <c r="A139" t="s">
        <v>164</v>
      </c>
      <c r="B139" t="s">
        <v>165</v>
      </c>
      <c r="C139" t="s">
        <v>166</v>
      </c>
      <c r="D139" t="s">
        <v>167</v>
      </c>
      <c r="E139" t="s">
        <v>177</v>
      </c>
      <c r="F139" s="1">
        <v>45748</v>
      </c>
      <c r="G139" s="1">
        <v>45793</v>
      </c>
      <c r="H139">
        <v>45</v>
      </c>
      <c r="I139">
        <v>21208.68</v>
      </c>
      <c r="J139">
        <v>21208.68</v>
      </c>
      <c r="K139">
        <v>0</v>
      </c>
      <c r="L139" s="1">
        <v>45758</v>
      </c>
      <c r="M139">
        <v>61</v>
      </c>
      <c r="N139">
        <v>16</v>
      </c>
      <c r="O139" t="s">
        <v>25</v>
      </c>
      <c r="P139">
        <v>2.5000000000000001E-2</v>
      </c>
      <c r="Q139">
        <v>530.22</v>
      </c>
    </row>
    <row r="140" spans="1:17" x14ac:dyDescent="0.25">
      <c r="A140" t="s">
        <v>164</v>
      </c>
      <c r="B140" t="s">
        <v>165</v>
      </c>
      <c r="C140" t="s">
        <v>166</v>
      </c>
      <c r="D140" t="s">
        <v>167</v>
      </c>
      <c r="E140" t="s">
        <v>178</v>
      </c>
      <c r="F140" s="1">
        <v>45737</v>
      </c>
      <c r="G140" s="1">
        <v>45782</v>
      </c>
      <c r="H140">
        <v>45</v>
      </c>
      <c r="I140">
        <v>62825.17</v>
      </c>
      <c r="J140">
        <v>62825.17</v>
      </c>
      <c r="K140">
        <v>0</v>
      </c>
      <c r="L140" s="1">
        <v>45766</v>
      </c>
      <c r="M140">
        <v>72</v>
      </c>
      <c r="N140">
        <v>27</v>
      </c>
      <c r="O140" t="s">
        <v>25</v>
      </c>
      <c r="P140">
        <v>0</v>
      </c>
      <c r="Q140">
        <v>0</v>
      </c>
    </row>
    <row r="141" spans="1:17" x14ac:dyDescent="0.25">
      <c r="A141" t="s">
        <v>164</v>
      </c>
      <c r="B141" t="s">
        <v>165</v>
      </c>
      <c r="C141" t="s">
        <v>166</v>
      </c>
      <c r="D141" t="s">
        <v>167</v>
      </c>
      <c r="E141" t="s">
        <v>179</v>
      </c>
      <c r="F141" s="1">
        <v>45686</v>
      </c>
      <c r="G141" s="1">
        <v>45731</v>
      </c>
      <c r="H141">
        <v>45</v>
      </c>
      <c r="I141">
        <v>59131.61</v>
      </c>
      <c r="J141">
        <v>0</v>
      </c>
      <c r="K141">
        <v>59131.61</v>
      </c>
      <c r="M141">
        <v>123</v>
      </c>
      <c r="N141">
        <v>78</v>
      </c>
      <c r="O141" t="s">
        <v>36</v>
      </c>
      <c r="P141">
        <v>2.5000000000000001E-2</v>
      </c>
      <c r="Q141">
        <v>0</v>
      </c>
    </row>
    <row r="142" spans="1:17" x14ac:dyDescent="0.25">
      <c r="A142" t="s">
        <v>164</v>
      </c>
      <c r="B142" t="s">
        <v>165</v>
      </c>
      <c r="C142" t="s">
        <v>166</v>
      </c>
      <c r="D142" t="s">
        <v>167</v>
      </c>
      <c r="E142" t="s">
        <v>180</v>
      </c>
      <c r="F142" s="1">
        <v>45643</v>
      </c>
      <c r="G142" s="1">
        <v>45673</v>
      </c>
      <c r="H142">
        <v>30</v>
      </c>
      <c r="I142">
        <v>26891.15</v>
      </c>
      <c r="J142">
        <v>0</v>
      </c>
      <c r="K142">
        <v>26891.15</v>
      </c>
      <c r="M142">
        <v>166</v>
      </c>
      <c r="N142">
        <v>136</v>
      </c>
      <c r="O142" t="s">
        <v>36</v>
      </c>
      <c r="P142">
        <v>0.01</v>
      </c>
      <c r="Q142">
        <v>0</v>
      </c>
    </row>
    <row r="143" spans="1:17" x14ac:dyDescent="0.25">
      <c r="A143" t="s">
        <v>164</v>
      </c>
      <c r="B143" t="s">
        <v>165</v>
      </c>
      <c r="C143" t="s">
        <v>166</v>
      </c>
      <c r="D143" t="s">
        <v>167</v>
      </c>
      <c r="E143" t="s">
        <v>181</v>
      </c>
      <c r="F143" s="1">
        <v>45792</v>
      </c>
      <c r="G143" s="1">
        <v>45882</v>
      </c>
      <c r="H143">
        <v>90</v>
      </c>
      <c r="I143">
        <v>32516.400000000001</v>
      </c>
      <c r="J143">
        <v>0</v>
      </c>
      <c r="K143">
        <v>32516.400000000001</v>
      </c>
      <c r="M143">
        <v>17</v>
      </c>
      <c r="N143">
        <v>0</v>
      </c>
      <c r="O143" t="s">
        <v>22</v>
      </c>
      <c r="P143">
        <v>0.01</v>
      </c>
      <c r="Q143">
        <v>0</v>
      </c>
    </row>
    <row r="144" spans="1:17" x14ac:dyDescent="0.25">
      <c r="A144" t="s">
        <v>164</v>
      </c>
      <c r="B144" t="s">
        <v>165</v>
      </c>
      <c r="C144" t="s">
        <v>166</v>
      </c>
      <c r="D144" t="s">
        <v>167</v>
      </c>
      <c r="E144" t="s">
        <v>182</v>
      </c>
      <c r="F144" s="1">
        <v>45685</v>
      </c>
      <c r="G144" s="1">
        <v>45715</v>
      </c>
      <c r="H144">
        <v>30</v>
      </c>
      <c r="I144">
        <v>40510.85</v>
      </c>
      <c r="J144">
        <v>40510.85</v>
      </c>
      <c r="K144">
        <v>0</v>
      </c>
      <c r="L144" s="1">
        <v>45740</v>
      </c>
      <c r="M144">
        <v>124</v>
      </c>
      <c r="N144">
        <v>94</v>
      </c>
      <c r="O144" t="s">
        <v>25</v>
      </c>
      <c r="P144">
        <v>2.5000000000000001E-2</v>
      </c>
      <c r="Q144">
        <v>0</v>
      </c>
    </row>
    <row r="145" spans="1:17" x14ac:dyDescent="0.25">
      <c r="A145" t="s">
        <v>164</v>
      </c>
      <c r="B145" t="s">
        <v>165</v>
      </c>
      <c r="C145" t="s">
        <v>166</v>
      </c>
      <c r="D145" t="s">
        <v>167</v>
      </c>
      <c r="E145" t="s">
        <v>183</v>
      </c>
      <c r="F145" s="1">
        <v>45696</v>
      </c>
      <c r="G145" s="1">
        <v>45786</v>
      </c>
      <c r="H145">
        <v>90</v>
      </c>
      <c r="I145">
        <v>25981.8</v>
      </c>
      <c r="J145">
        <v>25981.8</v>
      </c>
      <c r="K145">
        <v>0</v>
      </c>
      <c r="L145" s="1">
        <v>45789</v>
      </c>
      <c r="M145">
        <v>113</v>
      </c>
      <c r="N145">
        <v>23</v>
      </c>
      <c r="O145" t="s">
        <v>25</v>
      </c>
      <c r="P145">
        <v>0.01</v>
      </c>
      <c r="Q145">
        <v>0</v>
      </c>
    </row>
    <row r="146" spans="1:17" x14ac:dyDescent="0.25">
      <c r="A146" t="s">
        <v>164</v>
      </c>
      <c r="B146" t="s">
        <v>165</v>
      </c>
      <c r="C146" t="s">
        <v>166</v>
      </c>
      <c r="D146" t="s">
        <v>167</v>
      </c>
      <c r="E146" t="s">
        <v>184</v>
      </c>
      <c r="F146" s="1">
        <v>45747</v>
      </c>
      <c r="G146" s="1">
        <v>45777</v>
      </c>
      <c r="H146">
        <v>30</v>
      </c>
      <c r="I146">
        <v>63784.11</v>
      </c>
      <c r="J146">
        <v>63784.11</v>
      </c>
      <c r="K146">
        <v>0</v>
      </c>
      <c r="L146" s="1">
        <v>45754</v>
      </c>
      <c r="M146">
        <v>62</v>
      </c>
      <c r="N146">
        <v>32</v>
      </c>
      <c r="O146" t="s">
        <v>25</v>
      </c>
      <c r="P146">
        <v>2.5000000000000001E-2</v>
      </c>
      <c r="Q146">
        <v>1594.6</v>
      </c>
    </row>
    <row r="147" spans="1:17" x14ac:dyDescent="0.25">
      <c r="A147" t="s">
        <v>164</v>
      </c>
      <c r="B147" t="s">
        <v>165</v>
      </c>
      <c r="C147" t="s">
        <v>166</v>
      </c>
      <c r="D147" t="s">
        <v>167</v>
      </c>
      <c r="E147" t="s">
        <v>185</v>
      </c>
      <c r="F147" s="1">
        <v>45700</v>
      </c>
      <c r="G147" s="1">
        <v>45730</v>
      </c>
      <c r="H147">
        <v>30</v>
      </c>
      <c r="I147">
        <v>27949.1</v>
      </c>
      <c r="J147">
        <v>27949.1</v>
      </c>
      <c r="K147">
        <v>0</v>
      </c>
      <c r="L147" s="1">
        <v>45701</v>
      </c>
      <c r="M147">
        <v>109</v>
      </c>
      <c r="N147">
        <v>79</v>
      </c>
      <c r="O147" t="s">
        <v>25</v>
      </c>
      <c r="P147">
        <v>0.01</v>
      </c>
      <c r="Q147">
        <v>279.49</v>
      </c>
    </row>
    <row r="148" spans="1:17" x14ac:dyDescent="0.25">
      <c r="A148" t="s">
        <v>164</v>
      </c>
      <c r="B148" t="s">
        <v>165</v>
      </c>
      <c r="C148" t="s">
        <v>166</v>
      </c>
      <c r="D148" t="s">
        <v>167</v>
      </c>
      <c r="E148" t="s">
        <v>186</v>
      </c>
      <c r="F148" s="1">
        <v>45782</v>
      </c>
      <c r="G148" s="1">
        <v>45842</v>
      </c>
      <c r="H148">
        <v>60</v>
      </c>
      <c r="I148">
        <v>31000.82</v>
      </c>
      <c r="J148">
        <v>0</v>
      </c>
      <c r="K148">
        <v>31000.82</v>
      </c>
      <c r="M148">
        <v>27</v>
      </c>
      <c r="N148">
        <v>0</v>
      </c>
      <c r="O148" t="s">
        <v>22</v>
      </c>
      <c r="P148">
        <v>0.02</v>
      </c>
      <c r="Q148">
        <v>0</v>
      </c>
    </row>
    <row r="149" spans="1:17" x14ac:dyDescent="0.25">
      <c r="A149" t="s">
        <v>164</v>
      </c>
      <c r="B149" t="s">
        <v>165</v>
      </c>
      <c r="C149" t="s">
        <v>166</v>
      </c>
      <c r="D149" t="s">
        <v>167</v>
      </c>
      <c r="E149" t="s">
        <v>187</v>
      </c>
      <c r="F149" s="1">
        <v>45675</v>
      </c>
      <c r="G149" s="1">
        <v>45690</v>
      </c>
      <c r="H149">
        <v>15</v>
      </c>
      <c r="I149">
        <v>76531.14</v>
      </c>
      <c r="J149">
        <v>0</v>
      </c>
      <c r="K149">
        <v>76531.14</v>
      </c>
      <c r="M149">
        <v>134</v>
      </c>
      <c r="N149">
        <v>119</v>
      </c>
      <c r="O149" t="s">
        <v>36</v>
      </c>
      <c r="P149">
        <v>2.5000000000000001E-2</v>
      </c>
      <c r="Q149">
        <v>0</v>
      </c>
    </row>
    <row r="150" spans="1:17" x14ac:dyDescent="0.25">
      <c r="A150" t="s">
        <v>164</v>
      </c>
      <c r="B150" t="s">
        <v>165</v>
      </c>
      <c r="C150" t="s">
        <v>166</v>
      </c>
      <c r="D150" t="s">
        <v>167</v>
      </c>
      <c r="E150" t="s">
        <v>188</v>
      </c>
      <c r="F150" s="1">
        <v>45640</v>
      </c>
      <c r="G150" s="1">
        <v>45700</v>
      </c>
      <c r="H150">
        <v>60</v>
      </c>
      <c r="I150">
        <v>26205.4</v>
      </c>
      <c r="J150">
        <v>0</v>
      </c>
      <c r="K150">
        <v>26205.4</v>
      </c>
      <c r="M150">
        <v>169</v>
      </c>
      <c r="N150">
        <v>109</v>
      </c>
      <c r="O150" t="s">
        <v>36</v>
      </c>
      <c r="P150">
        <v>0.01</v>
      </c>
      <c r="Q150">
        <v>0</v>
      </c>
    </row>
    <row r="151" spans="1:17" x14ac:dyDescent="0.25">
      <c r="A151" t="s">
        <v>164</v>
      </c>
      <c r="B151" t="s">
        <v>165</v>
      </c>
      <c r="C151" t="s">
        <v>166</v>
      </c>
      <c r="D151" t="s">
        <v>167</v>
      </c>
      <c r="E151" t="s">
        <v>189</v>
      </c>
      <c r="F151" s="1">
        <v>45768</v>
      </c>
      <c r="G151" s="1">
        <v>45828</v>
      </c>
      <c r="H151">
        <v>60</v>
      </c>
      <c r="I151">
        <v>45928.09</v>
      </c>
      <c r="J151">
        <v>0</v>
      </c>
      <c r="K151">
        <v>45928.09</v>
      </c>
      <c r="M151">
        <v>41</v>
      </c>
      <c r="N151">
        <v>0</v>
      </c>
      <c r="O151" t="s">
        <v>22</v>
      </c>
      <c r="P151">
        <v>0.01</v>
      </c>
      <c r="Q151">
        <v>0</v>
      </c>
    </row>
    <row r="152" spans="1:17" x14ac:dyDescent="0.25">
      <c r="A152" t="s">
        <v>164</v>
      </c>
      <c r="B152" t="s">
        <v>165</v>
      </c>
      <c r="C152" t="s">
        <v>166</v>
      </c>
      <c r="D152" t="s">
        <v>167</v>
      </c>
      <c r="E152" t="s">
        <v>190</v>
      </c>
      <c r="F152" s="1">
        <v>45691</v>
      </c>
      <c r="G152" s="1">
        <v>45751</v>
      </c>
      <c r="H152">
        <v>60</v>
      </c>
      <c r="I152">
        <v>15479.78</v>
      </c>
      <c r="J152">
        <v>0</v>
      </c>
      <c r="K152">
        <v>15479.78</v>
      </c>
      <c r="M152">
        <v>118</v>
      </c>
      <c r="N152">
        <v>58</v>
      </c>
      <c r="O152" t="s">
        <v>36</v>
      </c>
      <c r="P152">
        <v>2.5000000000000001E-2</v>
      </c>
      <c r="Q152">
        <v>0</v>
      </c>
    </row>
    <row r="153" spans="1:17" x14ac:dyDescent="0.25">
      <c r="A153" t="s">
        <v>164</v>
      </c>
      <c r="B153" t="s">
        <v>165</v>
      </c>
      <c r="C153" t="s">
        <v>166</v>
      </c>
      <c r="D153" t="s">
        <v>167</v>
      </c>
      <c r="E153" t="s">
        <v>191</v>
      </c>
      <c r="F153" s="1">
        <v>45728</v>
      </c>
      <c r="G153" s="1">
        <v>45818</v>
      </c>
      <c r="H153">
        <v>90</v>
      </c>
      <c r="I153">
        <v>36288.28</v>
      </c>
      <c r="J153">
        <v>0</v>
      </c>
      <c r="K153">
        <v>36288.28</v>
      </c>
      <c r="M153">
        <v>81</v>
      </c>
      <c r="N153">
        <v>0</v>
      </c>
      <c r="O153" t="s">
        <v>22</v>
      </c>
      <c r="P153">
        <v>2.5000000000000001E-2</v>
      </c>
      <c r="Q153">
        <v>0</v>
      </c>
    </row>
    <row r="154" spans="1:17" x14ac:dyDescent="0.25">
      <c r="A154" t="s">
        <v>164</v>
      </c>
      <c r="B154" t="s">
        <v>165</v>
      </c>
      <c r="C154" t="s">
        <v>166</v>
      </c>
      <c r="D154" t="s">
        <v>167</v>
      </c>
      <c r="E154" t="s">
        <v>192</v>
      </c>
      <c r="F154" s="1">
        <v>45681</v>
      </c>
      <c r="G154" s="1">
        <v>45696</v>
      </c>
      <c r="H154">
        <v>15</v>
      </c>
      <c r="I154">
        <v>77232.39</v>
      </c>
      <c r="J154">
        <v>77232.39</v>
      </c>
      <c r="K154">
        <v>0</v>
      </c>
      <c r="L154" s="1">
        <v>45692</v>
      </c>
      <c r="M154">
        <v>128</v>
      </c>
      <c r="N154">
        <v>113</v>
      </c>
      <c r="O154" t="s">
        <v>25</v>
      </c>
      <c r="P154">
        <v>2.5000000000000001E-2</v>
      </c>
      <c r="Q154">
        <v>0</v>
      </c>
    </row>
    <row r="155" spans="1:17" x14ac:dyDescent="0.25">
      <c r="A155" t="s">
        <v>164</v>
      </c>
      <c r="B155" t="s">
        <v>165</v>
      </c>
      <c r="C155" t="s">
        <v>166</v>
      </c>
      <c r="D155" t="s">
        <v>167</v>
      </c>
      <c r="E155" t="s">
        <v>193</v>
      </c>
      <c r="F155" s="1">
        <v>45679</v>
      </c>
      <c r="G155" s="1">
        <v>45694</v>
      </c>
      <c r="H155">
        <v>15</v>
      </c>
      <c r="I155">
        <v>31098.720000000001</v>
      </c>
      <c r="J155">
        <v>31098.720000000001</v>
      </c>
      <c r="K155">
        <v>0</v>
      </c>
      <c r="L155" s="1">
        <v>45718</v>
      </c>
      <c r="M155">
        <v>130</v>
      </c>
      <c r="N155">
        <v>115</v>
      </c>
      <c r="O155" t="s">
        <v>25</v>
      </c>
      <c r="P155">
        <v>0.02</v>
      </c>
      <c r="Q155">
        <v>0</v>
      </c>
    </row>
    <row r="156" spans="1:17" x14ac:dyDescent="0.25">
      <c r="A156" t="s">
        <v>164</v>
      </c>
      <c r="B156" t="s">
        <v>165</v>
      </c>
      <c r="C156" t="s">
        <v>166</v>
      </c>
      <c r="D156" t="s">
        <v>167</v>
      </c>
      <c r="E156" t="s">
        <v>194</v>
      </c>
      <c r="F156" s="1">
        <v>45754</v>
      </c>
      <c r="G156" s="1">
        <v>45784</v>
      </c>
      <c r="H156">
        <v>30</v>
      </c>
      <c r="I156">
        <v>70350.31</v>
      </c>
      <c r="J156">
        <v>70350.31</v>
      </c>
      <c r="K156">
        <v>0</v>
      </c>
      <c r="L156" s="1">
        <v>45802</v>
      </c>
      <c r="M156">
        <v>55</v>
      </c>
      <c r="N156">
        <v>25</v>
      </c>
      <c r="O156" t="s">
        <v>25</v>
      </c>
      <c r="P156">
        <v>0</v>
      </c>
      <c r="Q156">
        <v>0</v>
      </c>
    </row>
    <row r="157" spans="1:17" x14ac:dyDescent="0.25">
      <c r="A157" t="s">
        <v>164</v>
      </c>
      <c r="B157" t="s">
        <v>165</v>
      </c>
      <c r="C157" t="s">
        <v>166</v>
      </c>
      <c r="D157" t="s">
        <v>167</v>
      </c>
      <c r="E157" t="s">
        <v>195</v>
      </c>
      <c r="F157" s="1">
        <v>45695</v>
      </c>
      <c r="G157" s="1">
        <v>45785</v>
      </c>
      <c r="H157">
        <v>90</v>
      </c>
      <c r="I157">
        <v>74493.820000000007</v>
      </c>
      <c r="J157">
        <v>74493.820000000007</v>
      </c>
      <c r="K157">
        <v>0</v>
      </c>
      <c r="L157" s="1">
        <v>45770</v>
      </c>
      <c r="M157">
        <v>114</v>
      </c>
      <c r="N157">
        <v>24</v>
      </c>
      <c r="O157" t="s">
        <v>25</v>
      </c>
      <c r="P157">
        <v>0</v>
      </c>
      <c r="Q157">
        <v>0</v>
      </c>
    </row>
    <row r="158" spans="1:17" x14ac:dyDescent="0.25">
      <c r="A158" t="s">
        <v>164</v>
      </c>
      <c r="B158" t="s">
        <v>165</v>
      </c>
      <c r="C158" t="s">
        <v>166</v>
      </c>
      <c r="D158" t="s">
        <v>167</v>
      </c>
      <c r="E158" t="s">
        <v>196</v>
      </c>
      <c r="F158" s="1">
        <v>45756</v>
      </c>
      <c r="G158" s="1">
        <v>45786</v>
      </c>
      <c r="H158">
        <v>30</v>
      </c>
      <c r="I158">
        <v>76418.7</v>
      </c>
      <c r="J158">
        <v>76418.7</v>
      </c>
      <c r="K158">
        <v>0</v>
      </c>
      <c r="L158" s="1">
        <v>45778</v>
      </c>
      <c r="M158">
        <v>53</v>
      </c>
      <c r="N158">
        <v>23</v>
      </c>
      <c r="O158" t="s">
        <v>25</v>
      </c>
      <c r="P158">
        <v>0.02</v>
      </c>
      <c r="Q158">
        <v>1528.37</v>
      </c>
    </row>
    <row r="159" spans="1:17" x14ac:dyDescent="0.25">
      <c r="A159" t="s">
        <v>164</v>
      </c>
      <c r="B159" t="s">
        <v>165</v>
      </c>
      <c r="C159" t="s">
        <v>166</v>
      </c>
      <c r="D159" t="s">
        <v>167</v>
      </c>
      <c r="E159" t="s">
        <v>197</v>
      </c>
      <c r="F159" s="1">
        <v>45789</v>
      </c>
      <c r="G159" s="1">
        <v>45804</v>
      </c>
      <c r="H159">
        <v>15</v>
      </c>
      <c r="I159">
        <v>61592.84</v>
      </c>
      <c r="J159">
        <v>61592.84</v>
      </c>
      <c r="K159">
        <v>0</v>
      </c>
      <c r="L159" s="1">
        <v>45795</v>
      </c>
      <c r="M159">
        <v>20</v>
      </c>
      <c r="N159">
        <v>5</v>
      </c>
      <c r="O159" t="s">
        <v>25</v>
      </c>
      <c r="P159">
        <v>0</v>
      </c>
      <c r="Q159">
        <v>0</v>
      </c>
    </row>
    <row r="160" spans="1:17" x14ac:dyDescent="0.25">
      <c r="A160" t="s">
        <v>164</v>
      </c>
      <c r="B160" t="s">
        <v>165</v>
      </c>
      <c r="C160" t="s">
        <v>166</v>
      </c>
      <c r="D160" t="s">
        <v>167</v>
      </c>
      <c r="E160" t="s">
        <v>198</v>
      </c>
      <c r="F160" s="1">
        <v>45750</v>
      </c>
      <c r="G160" s="1">
        <v>45840</v>
      </c>
      <c r="H160">
        <v>90</v>
      </c>
      <c r="I160">
        <v>60514.93</v>
      </c>
      <c r="J160">
        <v>0</v>
      </c>
      <c r="K160">
        <v>60514.93</v>
      </c>
      <c r="M160">
        <v>59</v>
      </c>
      <c r="N160">
        <v>0</v>
      </c>
      <c r="O160" t="s">
        <v>22</v>
      </c>
      <c r="P160">
        <v>0.01</v>
      </c>
      <c r="Q160">
        <v>0</v>
      </c>
    </row>
    <row r="161" spans="1:17" x14ac:dyDescent="0.25">
      <c r="A161" t="s">
        <v>164</v>
      </c>
      <c r="B161" t="s">
        <v>165</v>
      </c>
      <c r="C161" t="s">
        <v>166</v>
      </c>
      <c r="D161" t="s">
        <v>167</v>
      </c>
      <c r="E161" t="s">
        <v>199</v>
      </c>
      <c r="F161" s="1">
        <v>45683</v>
      </c>
      <c r="G161" s="1">
        <v>45728</v>
      </c>
      <c r="H161">
        <v>45</v>
      </c>
      <c r="I161">
        <v>66464.7</v>
      </c>
      <c r="J161">
        <v>66464.7</v>
      </c>
      <c r="K161">
        <v>0</v>
      </c>
      <c r="L161" s="1">
        <v>45739</v>
      </c>
      <c r="M161">
        <v>126</v>
      </c>
      <c r="N161">
        <v>81</v>
      </c>
      <c r="O161" t="s">
        <v>25</v>
      </c>
      <c r="P161">
        <v>0.02</v>
      </c>
      <c r="Q161">
        <v>0</v>
      </c>
    </row>
    <row r="162" spans="1:17" x14ac:dyDescent="0.25">
      <c r="A162" t="s">
        <v>164</v>
      </c>
      <c r="B162" t="s">
        <v>165</v>
      </c>
      <c r="C162" t="s">
        <v>166</v>
      </c>
      <c r="D162" t="s">
        <v>167</v>
      </c>
      <c r="E162" t="s">
        <v>200</v>
      </c>
      <c r="F162" s="1">
        <v>45742</v>
      </c>
      <c r="G162" s="1">
        <v>45787</v>
      </c>
      <c r="H162">
        <v>45</v>
      </c>
      <c r="I162">
        <v>2373.9</v>
      </c>
      <c r="J162">
        <v>2373.9</v>
      </c>
      <c r="K162">
        <v>0</v>
      </c>
      <c r="L162" s="1">
        <v>45779</v>
      </c>
      <c r="M162">
        <v>67</v>
      </c>
      <c r="N162">
        <v>22</v>
      </c>
      <c r="O162" t="s">
        <v>25</v>
      </c>
      <c r="P162">
        <v>2.5000000000000001E-2</v>
      </c>
      <c r="Q162">
        <v>59.35</v>
      </c>
    </row>
    <row r="163" spans="1:17" x14ac:dyDescent="0.25">
      <c r="A163" t="s">
        <v>164</v>
      </c>
      <c r="B163" t="s">
        <v>165</v>
      </c>
      <c r="C163" t="s">
        <v>166</v>
      </c>
      <c r="D163" t="s">
        <v>167</v>
      </c>
      <c r="E163" t="s">
        <v>201</v>
      </c>
      <c r="F163" s="1">
        <v>45794</v>
      </c>
      <c r="G163" s="1">
        <v>45824</v>
      </c>
      <c r="H163">
        <v>30</v>
      </c>
      <c r="I163">
        <v>64075.53</v>
      </c>
      <c r="J163">
        <v>0</v>
      </c>
      <c r="K163">
        <v>64075.53</v>
      </c>
      <c r="M163">
        <v>15</v>
      </c>
      <c r="N163">
        <v>0</v>
      </c>
      <c r="O163" t="s">
        <v>22</v>
      </c>
      <c r="P163">
        <v>2.5000000000000001E-2</v>
      </c>
      <c r="Q163">
        <v>0</v>
      </c>
    </row>
    <row r="164" spans="1:17" x14ac:dyDescent="0.25">
      <c r="A164" t="s">
        <v>164</v>
      </c>
      <c r="B164" t="s">
        <v>165</v>
      </c>
      <c r="C164" t="s">
        <v>166</v>
      </c>
      <c r="D164" t="s">
        <v>167</v>
      </c>
      <c r="E164" t="s">
        <v>202</v>
      </c>
      <c r="F164" s="1">
        <v>45732</v>
      </c>
      <c r="G164" s="1">
        <v>45777</v>
      </c>
      <c r="H164">
        <v>45</v>
      </c>
      <c r="I164">
        <v>27871.59</v>
      </c>
      <c r="J164">
        <v>27871.59</v>
      </c>
      <c r="K164">
        <v>0</v>
      </c>
      <c r="L164" s="1">
        <v>45751</v>
      </c>
      <c r="M164">
        <v>77</v>
      </c>
      <c r="N164">
        <v>32</v>
      </c>
      <c r="O164" t="s">
        <v>25</v>
      </c>
      <c r="P164">
        <v>2.5000000000000001E-2</v>
      </c>
      <c r="Q164">
        <v>696.79</v>
      </c>
    </row>
    <row r="165" spans="1:17" x14ac:dyDescent="0.25">
      <c r="A165" t="s">
        <v>164</v>
      </c>
      <c r="B165" t="s">
        <v>165</v>
      </c>
      <c r="C165" t="s">
        <v>166</v>
      </c>
      <c r="D165" t="s">
        <v>167</v>
      </c>
      <c r="E165" t="s">
        <v>203</v>
      </c>
      <c r="F165" s="1">
        <v>45639</v>
      </c>
      <c r="G165" s="1">
        <v>45699</v>
      </c>
      <c r="H165">
        <v>60</v>
      </c>
      <c r="I165">
        <v>52218.17</v>
      </c>
      <c r="J165">
        <v>14542.39</v>
      </c>
      <c r="K165">
        <v>37675.78</v>
      </c>
      <c r="L165" s="1">
        <v>45794</v>
      </c>
      <c r="M165">
        <v>170</v>
      </c>
      <c r="N165">
        <v>110</v>
      </c>
      <c r="O165" t="s">
        <v>29</v>
      </c>
      <c r="P165">
        <v>0</v>
      </c>
      <c r="Q165">
        <v>0</v>
      </c>
    </row>
    <row r="166" spans="1:17" x14ac:dyDescent="0.25">
      <c r="A166" t="s">
        <v>164</v>
      </c>
      <c r="B166" t="s">
        <v>165</v>
      </c>
      <c r="C166" t="s">
        <v>166</v>
      </c>
      <c r="D166" t="s">
        <v>167</v>
      </c>
      <c r="E166" t="s">
        <v>204</v>
      </c>
      <c r="F166" s="1">
        <v>45781</v>
      </c>
      <c r="G166" s="1">
        <v>45826</v>
      </c>
      <c r="H166">
        <v>45</v>
      </c>
      <c r="I166">
        <v>9538.9500000000007</v>
      </c>
      <c r="J166">
        <v>0</v>
      </c>
      <c r="K166">
        <v>9538.9500000000007</v>
      </c>
      <c r="M166">
        <v>28</v>
      </c>
      <c r="N166">
        <v>0</v>
      </c>
      <c r="O166" t="s">
        <v>22</v>
      </c>
      <c r="P166">
        <v>0</v>
      </c>
      <c r="Q166">
        <v>0</v>
      </c>
    </row>
    <row r="167" spans="1:17" x14ac:dyDescent="0.25">
      <c r="A167" t="s">
        <v>164</v>
      </c>
      <c r="B167" t="s">
        <v>165</v>
      </c>
      <c r="C167" t="s">
        <v>166</v>
      </c>
      <c r="D167" t="s">
        <v>167</v>
      </c>
      <c r="E167" t="s">
        <v>205</v>
      </c>
      <c r="F167" s="1">
        <v>45709</v>
      </c>
      <c r="G167" s="1">
        <v>45724</v>
      </c>
      <c r="H167">
        <v>15</v>
      </c>
      <c r="I167">
        <v>14818.2</v>
      </c>
      <c r="J167">
        <v>14818.2</v>
      </c>
      <c r="K167">
        <v>0</v>
      </c>
      <c r="L167" s="1">
        <v>45719</v>
      </c>
      <c r="M167">
        <v>100</v>
      </c>
      <c r="N167">
        <v>85</v>
      </c>
      <c r="O167" t="s">
        <v>25</v>
      </c>
      <c r="P167">
        <v>0.02</v>
      </c>
      <c r="Q167">
        <v>296.36</v>
      </c>
    </row>
    <row r="168" spans="1:17" x14ac:dyDescent="0.25">
      <c r="A168" t="s">
        <v>164</v>
      </c>
      <c r="B168" t="s">
        <v>165</v>
      </c>
      <c r="C168" t="s">
        <v>166</v>
      </c>
      <c r="D168" t="s">
        <v>167</v>
      </c>
      <c r="E168" t="s">
        <v>206</v>
      </c>
      <c r="F168" s="1">
        <v>45632</v>
      </c>
      <c r="G168" s="1">
        <v>45677</v>
      </c>
      <c r="H168">
        <v>45</v>
      </c>
      <c r="I168">
        <v>76804.42</v>
      </c>
      <c r="J168">
        <v>76804.42</v>
      </c>
      <c r="K168">
        <v>0</v>
      </c>
      <c r="L168" s="1">
        <v>45670</v>
      </c>
      <c r="M168">
        <v>177</v>
      </c>
      <c r="N168">
        <v>132</v>
      </c>
      <c r="O168" t="s">
        <v>25</v>
      </c>
      <c r="P168">
        <v>0.02</v>
      </c>
      <c r="Q168">
        <v>1536.09</v>
      </c>
    </row>
    <row r="169" spans="1:17" x14ac:dyDescent="0.25">
      <c r="A169" t="s">
        <v>164</v>
      </c>
      <c r="B169" t="s">
        <v>165</v>
      </c>
      <c r="C169" t="s">
        <v>166</v>
      </c>
      <c r="D169" t="s">
        <v>167</v>
      </c>
      <c r="E169" t="s">
        <v>207</v>
      </c>
      <c r="F169" s="1">
        <v>45745</v>
      </c>
      <c r="G169" s="1">
        <v>45790</v>
      </c>
      <c r="H169">
        <v>45</v>
      </c>
      <c r="I169">
        <v>66979.100000000006</v>
      </c>
      <c r="J169">
        <v>66979.100000000006</v>
      </c>
      <c r="K169">
        <v>0</v>
      </c>
      <c r="L169" s="1">
        <v>45775</v>
      </c>
      <c r="M169">
        <v>64</v>
      </c>
      <c r="N169">
        <v>19</v>
      </c>
      <c r="O169" t="s">
        <v>25</v>
      </c>
      <c r="P169">
        <v>0</v>
      </c>
      <c r="Q169">
        <v>0</v>
      </c>
    </row>
    <row r="170" spans="1:17" x14ac:dyDescent="0.25">
      <c r="A170" t="s">
        <v>164</v>
      </c>
      <c r="B170" t="s">
        <v>165</v>
      </c>
      <c r="C170" t="s">
        <v>166</v>
      </c>
      <c r="D170" t="s">
        <v>167</v>
      </c>
      <c r="E170" t="s">
        <v>208</v>
      </c>
      <c r="F170" s="1">
        <v>45786</v>
      </c>
      <c r="G170" s="1">
        <v>45801</v>
      </c>
      <c r="H170">
        <v>15</v>
      </c>
      <c r="I170">
        <v>54787.38</v>
      </c>
      <c r="J170">
        <v>54787.38</v>
      </c>
      <c r="K170">
        <v>0</v>
      </c>
      <c r="L170" s="1">
        <v>45796</v>
      </c>
      <c r="M170">
        <v>23</v>
      </c>
      <c r="N170">
        <v>8</v>
      </c>
      <c r="O170" t="s">
        <v>25</v>
      </c>
      <c r="P170">
        <v>0</v>
      </c>
      <c r="Q170">
        <v>0</v>
      </c>
    </row>
    <row r="171" spans="1:17" x14ac:dyDescent="0.25">
      <c r="A171" t="s">
        <v>164</v>
      </c>
      <c r="B171" t="s">
        <v>165</v>
      </c>
      <c r="C171" t="s">
        <v>166</v>
      </c>
      <c r="D171" t="s">
        <v>167</v>
      </c>
      <c r="E171" t="s">
        <v>209</v>
      </c>
      <c r="F171" s="1">
        <v>45748</v>
      </c>
      <c r="G171" s="1">
        <v>45778</v>
      </c>
      <c r="H171">
        <v>30</v>
      </c>
      <c r="I171">
        <v>5243.19</v>
      </c>
      <c r="J171">
        <v>0</v>
      </c>
      <c r="K171">
        <v>5243.19</v>
      </c>
      <c r="M171">
        <v>61</v>
      </c>
      <c r="N171">
        <v>31</v>
      </c>
      <c r="O171" t="s">
        <v>36</v>
      </c>
      <c r="P171">
        <v>0.01</v>
      </c>
      <c r="Q171">
        <v>0</v>
      </c>
    </row>
    <row r="172" spans="1:17" x14ac:dyDescent="0.25">
      <c r="A172" t="s">
        <v>164</v>
      </c>
      <c r="B172" t="s">
        <v>165</v>
      </c>
      <c r="C172" t="s">
        <v>166</v>
      </c>
      <c r="D172" t="s">
        <v>167</v>
      </c>
      <c r="E172" t="s">
        <v>210</v>
      </c>
      <c r="F172" s="1">
        <v>45661</v>
      </c>
      <c r="G172" s="1">
        <v>45721</v>
      </c>
      <c r="H172">
        <v>60</v>
      </c>
      <c r="I172">
        <v>14262.78</v>
      </c>
      <c r="J172">
        <v>14262.78</v>
      </c>
      <c r="K172">
        <v>0</v>
      </c>
      <c r="L172" s="1">
        <v>45732</v>
      </c>
      <c r="M172">
        <v>148</v>
      </c>
      <c r="N172">
        <v>88</v>
      </c>
      <c r="O172" t="s">
        <v>25</v>
      </c>
      <c r="P172">
        <v>0</v>
      </c>
      <c r="Q172">
        <v>0</v>
      </c>
    </row>
    <row r="173" spans="1:17" x14ac:dyDescent="0.25">
      <c r="A173" t="s">
        <v>164</v>
      </c>
      <c r="B173" t="s">
        <v>165</v>
      </c>
      <c r="C173" t="s">
        <v>166</v>
      </c>
      <c r="D173" t="s">
        <v>167</v>
      </c>
      <c r="E173" t="s">
        <v>211</v>
      </c>
      <c r="F173" s="1">
        <v>45756</v>
      </c>
      <c r="G173" s="1">
        <v>45816</v>
      </c>
      <c r="H173">
        <v>60</v>
      </c>
      <c r="I173">
        <v>22217.08</v>
      </c>
      <c r="J173">
        <v>0</v>
      </c>
      <c r="K173">
        <v>22217.08</v>
      </c>
      <c r="M173">
        <v>53</v>
      </c>
      <c r="N173">
        <v>0</v>
      </c>
      <c r="O173" t="s">
        <v>22</v>
      </c>
      <c r="P173">
        <v>0.01</v>
      </c>
      <c r="Q173">
        <v>0</v>
      </c>
    </row>
    <row r="174" spans="1:17" x14ac:dyDescent="0.25">
      <c r="A174" t="s">
        <v>164</v>
      </c>
      <c r="B174" t="s">
        <v>165</v>
      </c>
      <c r="C174" t="s">
        <v>166</v>
      </c>
      <c r="D174" t="s">
        <v>167</v>
      </c>
      <c r="E174" t="s">
        <v>212</v>
      </c>
      <c r="F174" s="1">
        <v>45656</v>
      </c>
      <c r="G174" s="1">
        <v>45671</v>
      </c>
      <c r="H174">
        <v>15</v>
      </c>
      <c r="I174">
        <v>52855.25</v>
      </c>
      <c r="J174">
        <v>52855.25</v>
      </c>
      <c r="K174">
        <v>0</v>
      </c>
      <c r="L174" s="1">
        <v>45667</v>
      </c>
      <c r="M174">
        <v>153</v>
      </c>
      <c r="N174">
        <v>138</v>
      </c>
      <c r="O174" t="s">
        <v>25</v>
      </c>
      <c r="P174">
        <v>0.01</v>
      </c>
      <c r="Q174">
        <v>0</v>
      </c>
    </row>
    <row r="175" spans="1:17" x14ac:dyDescent="0.25">
      <c r="A175" t="s">
        <v>213</v>
      </c>
      <c r="B175" t="s">
        <v>214</v>
      </c>
      <c r="C175" t="s">
        <v>19</v>
      </c>
      <c r="D175" t="s">
        <v>134</v>
      </c>
      <c r="E175" t="s">
        <v>215</v>
      </c>
      <c r="F175" s="1">
        <v>45789</v>
      </c>
      <c r="G175" s="1">
        <v>45819</v>
      </c>
      <c r="H175">
        <v>30</v>
      </c>
      <c r="I175">
        <v>23721.06</v>
      </c>
      <c r="J175">
        <v>0</v>
      </c>
      <c r="K175">
        <v>23721.06</v>
      </c>
      <c r="M175">
        <v>20</v>
      </c>
      <c r="N175">
        <v>0</v>
      </c>
      <c r="O175" t="s">
        <v>22</v>
      </c>
      <c r="P175">
        <v>0.02</v>
      </c>
      <c r="Q175">
        <v>0</v>
      </c>
    </row>
    <row r="176" spans="1:17" x14ac:dyDescent="0.25">
      <c r="A176" t="s">
        <v>213</v>
      </c>
      <c r="B176" t="s">
        <v>214</v>
      </c>
      <c r="C176" t="s">
        <v>19</v>
      </c>
      <c r="D176" t="s">
        <v>134</v>
      </c>
      <c r="E176" t="s">
        <v>216</v>
      </c>
      <c r="F176" s="1">
        <v>45741</v>
      </c>
      <c r="G176" s="1">
        <v>45786</v>
      </c>
      <c r="H176">
        <v>45</v>
      </c>
      <c r="I176">
        <v>74136.73</v>
      </c>
      <c r="J176">
        <v>74136.73</v>
      </c>
      <c r="K176">
        <v>0</v>
      </c>
      <c r="L176" s="1">
        <v>45768</v>
      </c>
      <c r="M176">
        <v>68</v>
      </c>
      <c r="N176">
        <v>23</v>
      </c>
      <c r="O176" t="s">
        <v>25</v>
      </c>
      <c r="P176">
        <v>0</v>
      </c>
      <c r="Q176">
        <v>0</v>
      </c>
    </row>
    <row r="177" spans="1:17" x14ac:dyDescent="0.25">
      <c r="A177" t="s">
        <v>213</v>
      </c>
      <c r="B177" t="s">
        <v>214</v>
      </c>
      <c r="C177" t="s">
        <v>19</v>
      </c>
      <c r="D177" t="s">
        <v>134</v>
      </c>
      <c r="E177" t="s">
        <v>217</v>
      </c>
      <c r="F177" s="1">
        <v>45776</v>
      </c>
      <c r="G177" s="1">
        <v>45866</v>
      </c>
      <c r="H177">
        <v>90</v>
      </c>
      <c r="I177">
        <v>7629.33</v>
      </c>
      <c r="J177">
        <v>0</v>
      </c>
      <c r="K177">
        <v>7629.33</v>
      </c>
      <c r="M177">
        <v>33</v>
      </c>
      <c r="N177">
        <v>0</v>
      </c>
      <c r="O177" t="s">
        <v>22</v>
      </c>
      <c r="P177">
        <v>0.01</v>
      </c>
      <c r="Q177">
        <v>0</v>
      </c>
    </row>
    <row r="178" spans="1:17" x14ac:dyDescent="0.25">
      <c r="A178" t="s">
        <v>213</v>
      </c>
      <c r="B178" t="s">
        <v>214</v>
      </c>
      <c r="C178" t="s">
        <v>19</v>
      </c>
      <c r="D178" t="s">
        <v>134</v>
      </c>
      <c r="E178" t="s">
        <v>218</v>
      </c>
      <c r="F178" s="1">
        <v>45653</v>
      </c>
      <c r="G178" s="1">
        <v>45683</v>
      </c>
      <c r="H178">
        <v>30</v>
      </c>
      <c r="I178">
        <v>26020.959999999999</v>
      </c>
      <c r="J178">
        <v>26020.959999999999</v>
      </c>
      <c r="K178">
        <v>0</v>
      </c>
      <c r="L178" s="1">
        <v>45672</v>
      </c>
      <c r="M178">
        <v>156</v>
      </c>
      <c r="N178">
        <v>126</v>
      </c>
      <c r="O178" t="s">
        <v>25</v>
      </c>
      <c r="P178">
        <v>2.5000000000000001E-2</v>
      </c>
      <c r="Q178">
        <v>650.52</v>
      </c>
    </row>
    <row r="179" spans="1:17" x14ac:dyDescent="0.25">
      <c r="A179" t="s">
        <v>213</v>
      </c>
      <c r="B179" t="s">
        <v>214</v>
      </c>
      <c r="C179" t="s">
        <v>19</v>
      </c>
      <c r="D179" t="s">
        <v>134</v>
      </c>
      <c r="E179" t="s">
        <v>219</v>
      </c>
      <c r="F179" s="1">
        <v>45745</v>
      </c>
      <c r="G179" s="1">
        <v>45775</v>
      </c>
      <c r="H179">
        <v>30</v>
      </c>
      <c r="I179">
        <v>74447.259999999995</v>
      </c>
      <c r="J179">
        <v>74447.259999999995</v>
      </c>
      <c r="K179">
        <v>0</v>
      </c>
      <c r="L179" s="1">
        <v>45775</v>
      </c>
      <c r="M179">
        <v>64</v>
      </c>
      <c r="N179">
        <v>34</v>
      </c>
      <c r="O179" t="s">
        <v>25</v>
      </c>
      <c r="P179">
        <v>2.5000000000000001E-2</v>
      </c>
      <c r="Q179">
        <v>0</v>
      </c>
    </row>
    <row r="180" spans="1:17" x14ac:dyDescent="0.25">
      <c r="A180" t="s">
        <v>213</v>
      </c>
      <c r="B180" t="s">
        <v>214</v>
      </c>
      <c r="C180" t="s">
        <v>19</v>
      </c>
      <c r="D180" t="s">
        <v>134</v>
      </c>
      <c r="E180" t="s">
        <v>220</v>
      </c>
      <c r="F180" s="1">
        <v>45754</v>
      </c>
      <c r="G180" s="1">
        <v>45814</v>
      </c>
      <c r="H180">
        <v>60</v>
      </c>
      <c r="I180">
        <v>75392.25</v>
      </c>
      <c r="J180">
        <v>0</v>
      </c>
      <c r="K180">
        <v>75392.25</v>
      </c>
      <c r="M180">
        <v>55</v>
      </c>
      <c r="N180">
        <v>0</v>
      </c>
      <c r="O180" t="s">
        <v>22</v>
      </c>
      <c r="P180">
        <v>0.02</v>
      </c>
      <c r="Q180">
        <v>0</v>
      </c>
    </row>
    <row r="181" spans="1:17" x14ac:dyDescent="0.25">
      <c r="A181" t="s">
        <v>213</v>
      </c>
      <c r="B181" t="s">
        <v>214</v>
      </c>
      <c r="C181" t="s">
        <v>19</v>
      </c>
      <c r="D181" t="s">
        <v>134</v>
      </c>
      <c r="E181" t="s">
        <v>221</v>
      </c>
      <c r="F181" s="1">
        <v>45749</v>
      </c>
      <c r="G181" s="1">
        <v>45794</v>
      </c>
      <c r="H181">
        <v>45</v>
      </c>
      <c r="I181">
        <v>77755.08</v>
      </c>
      <c r="J181">
        <v>77755.08</v>
      </c>
      <c r="K181">
        <v>0</v>
      </c>
      <c r="L181" s="1">
        <v>45794</v>
      </c>
      <c r="M181">
        <v>60</v>
      </c>
      <c r="N181">
        <v>15</v>
      </c>
      <c r="O181" t="s">
        <v>25</v>
      </c>
      <c r="P181">
        <v>0.01</v>
      </c>
      <c r="Q181">
        <v>0</v>
      </c>
    </row>
    <row r="182" spans="1:17" x14ac:dyDescent="0.25">
      <c r="A182" t="s">
        <v>213</v>
      </c>
      <c r="B182" t="s">
        <v>214</v>
      </c>
      <c r="C182" t="s">
        <v>19</v>
      </c>
      <c r="D182" t="s">
        <v>134</v>
      </c>
      <c r="E182" t="s">
        <v>222</v>
      </c>
      <c r="F182" s="1">
        <v>45795</v>
      </c>
      <c r="G182" s="1">
        <v>45825</v>
      </c>
      <c r="H182">
        <v>30</v>
      </c>
      <c r="I182">
        <v>3473.44</v>
      </c>
      <c r="J182">
        <v>0</v>
      </c>
      <c r="K182">
        <v>3473.44</v>
      </c>
      <c r="M182">
        <v>14</v>
      </c>
      <c r="N182">
        <v>0</v>
      </c>
      <c r="O182" t="s">
        <v>22</v>
      </c>
      <c r="P182">
        <v>0.01</v>
      </c>
      <c r="Q182">
        <v>0</v>
      </c>
    </row>
    <row r="183" spans="1:17" x14ac:dyDescent="0.25">
      <c r="A183" t="s">
        <v>213</v>
      </c>
      <c r="B183" t="s">
        <v>214</v>
      </c>
      <c r="C183" t="s">
        <v>19</v>
      </c>
      <c r="D183" t="s">
        <v>134</v>
      </c>
      <c r="E183" t="s">
        <v>223</v>
      </c>
      <c r="F183" s="1">
        <v>45693</v>
      </c>
      <c r="G183" s="1">
        <v>45708</v>
      </c>
      <c r="H183">
        <v>15</v>
      </c>
      <c r="I183">
        <v>6583.85</v>
      </c>
      <c r="J183">
        <v>6583.85</v>
      </c>
      <c r="K183">
        <v>0</v>
      </c>
      <c r="L183" s="1">
        <v>45695</v>
      </c>
      <c r="M183">
        <v>116</v>
      </c>
      <c r="N183">
        <v>101</v>
      </c>
      <c r="O183" t="s">
        <v>25</v>
      </c>
      <c r="P183">
        <v>0.01</v>
      </c>
      <c r="Q183">
        <v>65.84</v>
      </c>
    </row>
    <row r="184" spans="1:17" x14ac:dyDescent="0.25">
      <c r="A184" t="s">
        <v>213</v>
      </c>
      <c r="B184" t="s">
        <v>214</v>
      </c>
      <c r="C184" t="s">
        <v>19</v>
      </c>
      <c r="D184" t="s">
        <v>134</v>
      </c>
      <c r="E184" t="s">
        <v>224</v>
      </c>
      <c r="F184" s="1">
        <v>45773</v>
      </c>
      <c r="G184" s="1">
        <v>45788</v>
      </c>
      <c r="H184">
        <v>15</v>
      </c>
      <c r="I184">
        <v>6440</v>
      </c>
      <c r="J184">
        <v>6440</v>
      </c>
      <c r="K184">
        <v>0</v>
      </c>
      <c r="L184" s="1">
        <v>45818</v>
      </c>
      <c r="M184">
        <v>36</v>
      </c>
      <c r="N184">
        <v>21</v>
      </c>
      <c r="O184" t="s">
        <v>25</v>
      </c>
      <c r="P184">
        <v>0</v>
      </c>
      <c r="Q184">
        <v>0</v>
      </c>
    </row>
    <row r="185" spans="1:17" x14ac:dyDescent="0.25">
      <c r="A185" t="s">
        <v>213</v>
      </c>
      <c r="B185" t="s">
        <v>214</v>
      </c>
      <c r="C185" t="s">
        <v>19</v>
      </c>
      <c r="D185" t="s">
        <v>134</v>
      </c>
      <c r="E185" t="s">
        <v>225</v>
      </c>
      <c r="F185" s="1">
        <v>45736</v>
      </c>
      <c r="G185" s="1">
        <v>45781</v>
      </c>
      <c r="H185">
        <v>45</v>
      </c>
      <c r="I185">
        <v>62560.35</v>
      </c>
      <c r="J185">
        <v>32510.66</v>
      </c>
      <c r="K185">
        <v>30049.69</v>
      </c>
      <c r="L185" s="1">
        <v>45791</v>
      </c>
      <c r="M185">
        <v>73</v>
      </c>
      <c r="N185">
        <v>28</v>
      </c>
      <c r="O185" t="s">
        <v>29</v>
      </c>
      <c r="P185">
        <v>0.01</v>
      </c>
      <c r="Q185">
        <v>0</v>
      </c>
    </row>
    <row r="186" spans="1:17" x14ac:dyDescent="0.25">
      <c r="A186" t="s">
        <v>213</v>
      </c>
      <c r="B186" t="s">
        <v>214</v>
      </c>
      <c r="C186" t="s">
        <v>19</v>
      </c>
      <c r="D186" t="s">
        <v>134</v>
      </c>
      <c r="E186" t="s">
        <v>226</v>
      </c>
      <c r="F186" s="1">
        <v>45758</v>
      </c>
      <c r="G186" s="1">
        <v>45818</v>
      </c>
      <c r="H186">
        <v>60</v>
      </c>
      <c r="I186">
        <v>16479.36</v>
      </c>
      <c r="J186">
        <v>0</v>
      </c>
      <c r="K186">
        <v>16479.36</v>
      </c>
      <c r="M186">
        <v>51</v>
      </c>
      <c r="N186">
        <v>0</v>
      </c>
      <c r="O186" t="s">
        <v>22</v>
      </c>
      <c r="P186">
        <v>2.5000000000000001E-2</v>
      </c>
      <c r="Q186">
        <v>0</v>
      </c>
    </row>
    <row r="187" spans="1:17" x14ac:dyDescent="0.25">
      <c r="A187" t="s">
        <v>213</v>
      </c>
      <c r="B187" t="s">
        <v>214</v>
      </c>
      <c r="C187" t="s">
        <v>19</v>
      </c>
      <c r="D187" t="s">
        <v>134</v>
      </c>
      <c r="E187" t="s">
        <v>227</v>
      </c>
      <c r="F187" s="1">
        <v>45785</v>
      </c>
      <c r="G187" s="1">
        <v>45830</v>
      </c>
      <c r="H187">
        <v>45</v>
      </c>
      <c r="I187">
        <v>14752.22</v>
      </c>
      <c r="J187">
        <v>0</v>
      </c>
      <c r="K187">
        <v>14752.22</v>
      </c>
      <c r="M187">
        <v>24</v>
      </c>
      <c r="N187">
        <v>0</v>
      </c>
      <c r="O187" t="s">
        <v>22</v>
      </c>
      <c r="P187">
        <v>0.02</v>
      </c>
      <c r="Q187">
        <v>0</v>
      </c>
    </row>
    <row r="188" spans="1:17" x14ac:dyDescent="0.25">
      <c r="A188" t="s">
        <v>213</v>
      </c>
      <c r="B188" t="s">
        <v>214</v>
      </c>
      <c r="C188" t="s">
        <v>19</v>
      </c>
      <c r="D188" t="s">
        <v>134</v>
      </c>
      <c r="E188" t="s">
        <v>228</v>
      </c>
      <c r="F188" s="1">
        <v>45726</v>
      </c>
      <c r="G188" s="1">
        <v>45816</v>
      </c>
      <c r="H188">
        <v>90</v>
      </c>
      <c r="I188">
        <v>4374.08</v>
      </c>
      <c r="J188">
        <v>0</v>
      </c>
      <c r="K188">
        <v>4374.08</v>
      </c>
      <c r="M188">
        <v>83</v>
      </c>
      <c r="N188">
        <v>0</v>
      </c>
      <c r="O188" t="s">
        <v>22</v>
      </c>
      <c r="P188">
        <v>0.01</v>
      </c>
      <c r="Q188">
        <v>0</v>
      </c>
    </row>
    <row r="189" spans="1:17" x14ac:dyDescent="0.25">
      <c r="A189" t="s">
        <v>213</v>
      </c>
      <c r="B189" t="s">
        <v>214</v>
      </c>
      <c r="C189" t="s">
        <v>19</v>
      </c>
      <c r="D189" t="s">
        <v>134</v>
      </c>
      <c r="E189" t="s">
        <v>229</v>
      </c>
      <c r="F189" s="1">
        <v>45793</v>
      </c>
      <c r="G189" s="1">
        <v>45883</v>
      </c>
      <c r="H189">
        <v>90</v>
      </c>
      <c r="I189">
        <v>44565.19</v>
      </c>
      <c r="J189">
        <v>0</v>
      </c>
      <c r="K189">
        <v>44565.19</v>
      </c>
      <c r="M189">
        <v>16</v>
      </c>
      <c r="N189">
        <v>0</v>
      </c>
      <c r="O189" t="s">
        <v>22</v>
      </c>
      <c r="P189">
        <v>0.01</v>
      </c>
      <c r="Q189">
        <v>0</v>
      </c>
    </row>
    <row r="190" spans="1:17" x14ac:dyDescent="0.25">
      <c r="A190" t="s">
        <v>213</v>
      </c>
      <c r="B190" t="s">
        <v>214</v>
      </c>
      <c r="C190" t="s">
        <v>19</v>
      </c>
      <c r="D190" t="s">
        <v>134</v>
      </c>
      <c r="E190" t="s">
        <v>230</v>
      </c>
      <c r="F190" s="1">
        <v>45776</v>
      </c>
      <c r="G190" s="1">
        <v>45821</v>
      </c>
      <c r="H190">
        <v>45</v>
      </c>
      <c r="I190">
        <v>68937.3</v>
      </c>
      <c r="J190">
        <v>0</v>
      </c>
      <c r="K190">
        <v>68937.3</v>
      </c>
      <c r="M190">
        <v>33</v>
      </c>
      <c r="N190">
        <v>0</v>
      </c>
      <c r="O190" t="s">
        <v>22</v>
      </c>
      <c r="P190">
        <v>2.5000000000000001E-2</v>
      </c>
      <c r="Q190">
        <v>0</v>
      </c>
    </row>
    <row r="191" spans="1:17" x14ac:dyDescent="0.25">
      <c r="A191" t="s">
        <v>213</v>
      </c>
      <c r="B191" t="s">
        <v>214</v>
      </c>
      <c r="C191" t="s">
        <v>19</v>
      </c>
      <c r="D191" t="s">
        <v>134</v>
      </c>
      <c r="E191" t="s">
        <v>231</v>
      </c>
      <c r="F191" s="1">
        <v>45773</v>
      </c>
      <c r="G191" s="1">
        <v>45788</v>
      </c>
      <c r="H191">
        <v>15</v>
      </c>
      <c r="I191">
        <v>13911.6</v>
      </c>
      <c r="J191">
        <v>13911.6</v>
      </c>
      <c r="K191">
        <v>0</v>
      </c>
      <c r="L191" s="1">
        <v>45794</v>
      </c>
      <c r="M191">
        <v>36</v>
      </c>
      <c r="N191">
        <v>21</v>
      </c>
      <c r="O191" t="s">
        <v>25</v>
      </c>
      <c r="P191">
        <v>0</v>
      </c>
      <c r="Q191">
        <v>0</v>
      </c>
    </row>
    <row r="192" spans="1:17" x14ac:dyDescent="0.25">
      <c r="A192" t="s">
        <v>213</v>
      </c>
      <c r="B192" t="s">
        <v>214</v>
      </c>
      <c r="C192" t="s">
        <v>19</v>
      </c>
      <c r="D192" t="s">
        <v>134</v>
      </c>
      <c r="E192" t="s">
        <v>232</v>
      </c>
      <c r="F192" s="1">
        <v>45753</v>
      </c>
      <c r="G192" s="1">
        <v>45783</v>
      </c>
      <c r="H192">
        <v>30</v>
      </c>
      <c r="I192">
        <v>14528.95</v>
      </c>
      <c r="J192">
        <v>14528.95</v>
      </c>
      <c r="K192">
        <v>0</v>
      </c>
      <c r="L192" s="1">
        <v>45802</v>
      </c>
      <c r="M192">
        <v>56</v>
      </c>
      <c r="N192">
        <v>26</v>
      </c>
      <c r="O192" t="s">
        <v>25</v>
      </c>
      <c r="P192">
        <v>2.5000000000000001E-2</v>
      </c>
      <c r="Q192">
        <v>0</v>
      </c>
    </row>
    <row r="193" spans="1:17" x14ac:dyDescent="0.25">
      <c r="A193" t="s">
        <v>213</v>
      </c>
      <c r="B193" t="s">
        <v>214</v>
      </c>
      <c r="C193" t="s">
        <v>19</v>
      </c>
      <c r="D193" t="s">
        <v>134</v>
      </c>
      <c r="E193" t="s">
        <v>233</v>
      </c>
      <c r="F193" s="1">
        <v>45737</v>
      </c>
      <c r="G193" s="1">
        <v>45752</v>
      </c>
      <c r="H193">
        <v>15</v>
      </c>
      <c r="I193">
        <v>62882.59</v>
      </c>
      <c r="J193">
        <v>62882.59</v>
      </c>
      <c r="K193">
        <v>0</v>
      </c>
      <c r="L193" s="1">
        <v>45777</v>
      </c>
      <c r="M193">
        <v>72</v>
      </c>
      <c r="N193">
        <v>57</v>
      </c>
      <c r="O193" t="s">
        <v>25</v>
      </c>
      <c r="P193">
        <v>0.01</v>
      </c>
      <c r="Q193">
        <v>0</v>
      </c>
    </row>
    <row r="194" spans="1:17" x14ac:dyDescent="0.25">
      <c r="A194" t="s">
        <v>213</v>
      </c>
      <c r="B194" t="s">
        <v>214</v>
      </c>
      <c r="C194" t="s">
        <v>19</v>
      </c>
      <c r="D194" t="s">
        <v>134</v>
      </c>
      <c r="E194" t="s">
        <v>234</v>
      </c>
      <c r="F194" s="1">
        <v>45667</v>
      </c>
      <c r="G194" s="1">
        <v>45682</v>
      </c>
      <c r="H194">
        <v>15</v>
      </c>
      <c r="I194">
        <v>54479.72</v>
      </c>
      <c r="J194">
        <v>0</v>
      </c>
      <c r="K194">
        <v>54479.72</v>
      </c>
      <c r="M194">
        <v>142</v>
      </c>
      <c r="N194">
        <v>127</v>
      </c>
      <c r="O194" t="s">
        <v>36</v>
      </c>
      <c r="P194">
        <v>2.5000000000000001E-2</v>
      </c>
      <c r="Q194">
        <v>0</v>
      </c>
    </row>
    <row r="195" spans="1:17" x14ac:dyDescent="0.25">
      <c r="A195" t="s">
        <v>213</v>
      </c>
      <c r="B195" t="s">
        <v>214</v>
      </c>
      <c r="C195" t="s">
        <v>19</v>
      </c>
      <c r="D195" t="s">
        <v>134</v>
      </c>
      <c r="E195" t="s">
        <v>235</v>
      </c>
      <c r="F195" s="1">
        <v>45688</v>
      </c>
      <c r="G195" s="1">
        <v>45778</v>
      </c>
      <c r="H195">
        <v>90</v>
      </c>
      <c r="I195">
        <v>22399.65</v>
      </c>
      <c r="J195">
        <v>4276.91</v>
      </c>
      <c r="K195">
        <v>18122.740000000002</v>
      </c>
      <c r="L195" s="1">
        <v>45787</v>
      </c>
      <c r="M195">
        <v>121</v>
      </c>
      <c r="N195">
        <v>31</v>
      </c>
      <c r="O195" t="s">
        <v>29</v>
      </c>
      <c r="P195">
        <v>0.02</v>
      </c>
      <c r="Q195">
        <v>0</v>
      </c>
    </row>
    <row r="196" spans="1:17" x14ac:dyDescent="0.25">
      <c r="A196" t="s">
        <v>213</v>
      </c>
      <c r="B196" t="s">
        <v>214</v>
      </c>
      <c r="C196" t="s">
        <v>19</v>
      </c>
      <c r="D196" t="s">
        <v>134</v>
      </c>
      <c r="E196" t="s">
        <v>236</v>
      </c>
      <c r="F196" s="1">
        <v>45686</v>
      </c>
      <c r="G196" s="1">
        <v>45776</v>
      </c>
      <c r="H196">
        <v>90</v>
      </c>
      <c r="I196">
        <v>28197.42</v>
      </c>
      <c r="J196">
        <v>28197.42</v>
      </c>
      <c r="K196">
        <v>0</v>
      </c>
      <c r="L196" s="1">
        <v>45802</v>
      </c>
      <c r="M196">
        <v>123</v>
      </c>
      <c r="N196">
        <v>33</v>
      </c>
      <c r="O196" t="s">
        <v>25</v>
      </c>
      <c r="P196">
        <v>2.5000000000000001E-2</v>
      </c>
      <c r="Q196">
        <v>0</v>
      </c>
    </row>
    <row r="197" spans="1:17" x14ac:dyDescent="0.25">
      <c r="A197" t="s">
        <v>213</v>
      </c>
      <c r="B197" t="s">
        <v>214</v>
      </c>
      <c r="C197" t="s">
        <v>19</v>
      </c>
      <c r="D197" t="s">
        <v>134</v>
      </c>
      <c r="E197" t="s">
        <v>237</v>
      </c>
      <c r="F197" s="1">
        <v>45673</v>
      </c>
      <c r="G197" s="1">
        <v>45763</v>
      </c>
      <c r="H197">
        <v>90</v>
      </c>
      <c r="I197">
        <v>69570.600000000006</v>
      </c>
      <c r="J197">
        <v>69570.600000000006</v>
      </c>
      <c r="K197">
        <v>0</v>
      </c>
      <c r="L197" s="1">
        <v>45755</v>
      </c>
      <c r="M197">
        <v>136</v>
      </c>
      <c r="N197">
        <v>46</v>
      </c>
      <c r="O197" t="s">
        <v>25</v>
      </c>
      <c r="P197">
        <v>0.01</v>
      </c>
      <c r="Q197">
        <v>695.71</v>
      </c>
    </row>
    <row r="198" spans="1:17" x14ac:dyDescent="0.25">
      <c r="A198" t="s">
        <v>213</v>
      </c>
      <c r="B198" t="s">
        <v>214</v>
      </c>
      <c r="C198" t="s">
        <v>19</v>
      </c>
      <c r="D198" t="s">
        <v>134</v>
      </c>
      <c r="E198" t="s">
        <v>238</v>
      </c>
      <c r="F198" s="1">
        <v>45787</v>
      </c>
      <c r="G198" s="1">
        <v>45817</v>
      </c>
      <c r="H198">
        <v>30</v>
      </c>
      <c r="I198">
        <v>48580.07</v>
      </c>
      <c r="J198">
        <v>0</v>
      </c>
      <c r="K198">
        <v>48580.07</v>
      </c>
      <c r="M198">
        <v>22</v>
      </c>
      <c r="N198">
        <v>0</v>
      </c>
      <c r="O198" t="s">
        <v>22</v>
      </c>
      <c r="P198">
        <v>0.01</v>
      </c>
      <c r="Q198">
        <v>0</v>
      </c>
    </row>
    <row r="199" spans="1:17" x14ac:dyDescent="0.25">
      <c r="A199" t="s">
        <v>213</v>
      </c>
      <c r="B199" t="s">
        <v>214</v>
      </c>
      <c r="C199" t="s">
        <v>19</v>
      </c>
      <c r="D199" t="s">
        <v>134</v>
      </c>
      <c r="E199" t="s">
        <v>239</v>
      </c>
      <c r="F199" s="1">
        <v>45697</v>
      </c>
      <c r="G199" s="1">
        <v>45742</v>
      </c>
      <c r="H199">
        <v>45</v>
      </c>
      <c r="I199">
        <v>64123.39</v>
      </c>
      <c r="J199">
        <v>64123.39</v>
      </c>
      <c r="K199">
        <v>0</v>
      </c>
      <c r="L199" s="1">
        <v>45739</v>
      </c>
      <c r="M199">
        <v>112</v>
      </c>
      <c r="N199">
        <v>67</v>
      </c>
      <c r="O199" t="s">
        <v>25</v>
      </c>
      <c r="P199">
        <v>0.02</v>
      </c>
      <c r="Q199">
        <v>0</v>
      </c>
    </row>
    <row r="200" spans="1:17" x14ac:dyDescent="0.25">
      <c r="A200" t="s">
        <v>213</v>
      </c>
      <c r="B200" t="s">
        <v>214</v>
      </c>
      <c r="C200" t="s">
        <v>19</v>
      </c>
      <c r="D200" t="s">
        <v>134</v>
      </c>
      <c r="E200" t="s">
        <v>240</v>
      </c>
      <c r="F200" s="1">
        <v>45712</v>
      </c>
      <c r="G200" s="1">
        <v>45802</v>
      </c>
      <c r="H200">
        <v>90</v>
      </c>
      <c r="I200">
        <v>5127.84</v>
      </c>
      <c r="J200">
        <v>5127.84</v>
      </c>
      <c r="K200">
        <v>0</v>
      </c>
      <c r="L200" s="1">
        <v>45826</v>
      </c>
      <c r="M200">
        <v>97</v>
      </c>
      <c r="N200">
        <v>7</v>
      </c>
      <c r="O200" t="s">
        <v>25</v>
      </c>
      <c r="P200">
        <v>0.01</v>
      </c>
      <c r="Q200">
        <v>0</v>
      </c>
    </row>
    <row r="201" spans="1:17" x14ac:dyDescent="0.25">
      <c r="A201" t="s">
        <v>213</v>
      </c>
      <c r="B201" t="s">
        <v>214</v>
      </c>
      <c r="C201" t="s">
        <v>19</v>
      </c>
      <c r="D201" t="s">
        <v>134</v>
      </c>
      <c r="E201" t="s">
        <v>241</v>
      </c>
      <c r="F201" s="1">
        <v>45740</v>
      </c>
      <c r="G201" s="1">
        <v>45785</v>
      </c>
      <c r="H201">
        <v>45</v>
      </c>
      <c r="I201">
        <v>11482.27</v>
      </c>
      <c r="J201">
        <v>0</v>
      </c>
      <c r="K201">
        <v>11482.27</v>
      </c>
      <c r="M201">
        <v>69</v>
      </c>
      <c r="N201">
        <v>24</v>
      </c>
      <c r="O201" t="s">
        <v>36</v>
      </c>
      <c r="P201">
        <v>0.01</v>
      </c>
      <c r="Q201">
        <v>0</v>
      </c>
    </row>
    <row r="202" spans="1:17" x14ac:dyDescent="0.25">
      <c r="A202" t="s">
        <v>213</v>
      </c>
      <c r="B202" t="s">
        <v>214</v>
      </c>
      <c r="C202" t="s">
        <v>19</v>
      </c>
      <c r="D202" t="s">
        <v>134</v>
      </c>
      <c r="E202" t="s">
        <v>242</v>
      </c>
      <c r="F202" s="1">
        <v>45681</v>
      </c>
      <c r="G202" s="1">
        <v>45726</v>
      </c>
      <c r="H202">
        <v>45</v>
      </c>
      <c r="I202">
        <v>45933.29</v>
      </c>
      <c r="J202">
        <v>45933.29</v>
      </c>
      <c r="K202">
        <v>0</v>
      </c>
      <c r="L202" s="1">
        <v>45737</v>
      </c>
      <c r="M202">
        <v>128</v>
      </c>
      <c r="N202">
        <v>83</v>
      </c>
      <c r="O202" t="s">
        <v>25</v>
      </c>
      <c r="P202">
        <v>2.5000000000000001E-2</v>
      </c>
      <c r="Q202">
        <v>0</v>
      </c>
    </row>
    <row r="203" spans="1:17" x14ac:dyDescent="0.25">
      <c r="A203" t="s">
        <v>213</v>
      </c>
      <c r="B203" t="s">
        <v>214</v>
      </c>
      <c r="C203" t="s">
        <v>19</v>
      </c>
      <c r="D203" t="s">
        <v>134</v>
      </c>
      <c r="E203" t="s">
        <v>243</v>
      </c>
      <c r="F203" s="1">
        <v>45709</v>
      </c>
      <c r="G203" s="1">
        <v>45739</v>
      </c>
      <c r="H203">
        <v>30</v>
      </c>
      <c r="I203">
        <v>17569.509999999998</v>
      </c>
      <c r="J203">
        <v>17569.509999999998</v>
      </c>
      <c r="K203">
        <v>0</v>
      </c>
      <c r="L203" s="1">
        <v>45728</v>
      </c>
      <c r="M203">
        <v>100</v>
      </c>
      <c r="N203">
        <v>70</v>
      </c>
      <c r="O203" t="s">
        <v>25</v>
      </c>
      <c r="P203">
        <v>0.02</v>
      </c>
      <c r="Q203">
        <v>351.39</v>
      </c>
    </row>
    <row r="204" spans="1:17" x14ac:dyDescent="0.25">
      <c r="A204" t="s">
        <v>213</v>
      </c>
      <c r="B204" t="s">
        <v>214</v>
      </c>
      <c r="C204" t="s">
        <v>19</v>
      </c>
      <c r="D204" t="s">
        <v>134</v>
      </c>
      <c r="E204" t="s">
        <v>244</v>
      </c>
      <c r="F204" s="1">
        <v>45675</v>
      </c>
      <c r="G204" s="1">
        <v>45765</v>
      </c>
      <c r="H204">
        <v>90</v>
      </c>
      <c r="I204">
        <v>9027.98</v>
      </c>
      <c r="J204">
        <v>0</v>
      </c>
      <c r="K204">
        <v>9027.98</v>
      </c>
      <c r="M204">
        <v>134</v>
      </c>
      <c r="N204">
        <v>44</v>
      </c>
      <c r="O204" t="s">
        <v>36</v>
      </c>
      <c r="P204">
        <v>2.5000000000000001E-2</v>
      </c>
      <c r="Q204">
        <v>0</v>
      </c>
    </row>
    <row r="205" spans="1:17" x14ac:dyDescent="0.25">
      <c r="A205" t="s">
        <v>213</v>
      </c>
      <c r="B205" t="s">
        <v>214</v>
      </c>
      <c r="C205" t="s">
        <v>19</v>
      </c>
      <c r="D205" t="s">
        <v>134</v>
      </c>
      <c r="E205" t="s">
        <v>245</v>
      </c>
      <c r="F205" s="1">
        <v>45772</v>
      </c>
      <c r="G205" s="1">
        <v>45832</v>
      </c>
      <c r="H205">
        <v>60</v>
      </c>
      <c r="I205">
        <v>22979.48</v>
      </c>
      <c r="J205">
        <v>0</v>
      </c>
      <c r="K205">
        <v>22979.48</v>
      </c>
      <c r="M205">
        <v>37</v>
      </c>
      <c r="N205">
        <v>0</v>
      </c>
      <c r="O205" t="s">
        <v>22</v>
      </c>
      <c r="P205">
        <v>0.02</v>
      </c>
      <c r="Q205">
        <v>0</v>
      </c>
    </row>
    <row r="206" spans="1:17" x14ac:dyDescent="0.25">
      <c r="A206" t="s">
        <v>213</v>
      </c>
      <c r="B206" t="s">
        <v>214</v>
      </c>
      <c r="C206" t="s">
        <v>19</v>
      </c>
      <c r="D206" t="s">
        <v>134</v>
      </c>
      <c r="E206" t="s">
        <v>246</v>
      </c>
      <c r="F206" s="1">
        <v>45760</v>
      </c>
      <c r="G206" s="1">
        <v>45790</v>
      </c>
      <c r="H206">
        <v>30</v>
      </c>
      <c r="I206">
        <v>74091.78</v>
      </c>
      <c r="J206">
        <v>74091.78</v>
      </c>
      <c r="K206">
        <v>0</v>
      </c>
      <c r="L206" s="1">
        <v>45807</v>
      </c>
      <c r="M206">
        <v>49</v>
      </c>
      <c r="N206">
        <v>19</v>
      </c>
      <c r="O206" t="s">
        <v>25</v>
      </c>
      <c r="P206">
        <v>0.02</v>
      </c>
      <c r="Q206">
        <v>0</v>
      </c>
    </row>
    <row r="207" spans="1:17" x14ac:dyDescent="0.25">
      <c r="A207" t="s">
        <v>213</v>
      </c>
      <c r="B207" t="s">
        <v>214</v>
      </c>
      <c r="C207" t="s">
        <v>19</v>
      </c>
      <c r="D207" t="s">
        <v>134</v>
      </c>
      <c r="E207" t="s">
        <v>247</v>
      </c>
      <c r="F207" s="1">
        <v>45687</v>
      </c>
      <c r="G207" s="1">
        <v>45732</v>
      </c>
      <c r="H207">
        <v>45</v>
      </c>
      <c r="I207">
        <v>2390.66</v>
      </c>
      <c r="J207">
        <v>2390.66</v>
      </c>
      <c r="K207">
        <v>0</v>
      </c>
      <c r="L207" s="1">
        <v>45711</v>
      </c>
      <c r="M207">
        <v>122</v>
      </c>
      <c r="N207">
        <v>77</v>
      </c>
      <c r="O207" t="s">
        <v>25</v>
      </c>
      <c r="P207">
        <v>0.02</v>
      </c>
      <c r="Q207">
        <v>47.81</v>
      </c>
    </row>
    <row r="208" spans="1:17" x14ac:dyDescent="0.25">
      <c r="A208" t="s">
        <v>213</v>
      </c>
      <c r="B208" t="s">
        <v>214</v>
      </c>
      <c r="C208" t="s">
        <v>19</v>
      </c>
      <c r="D208" t="s">
        <v>134</v>
      </c>
      <c r="E208" t="s">
        <v>248</v>
      </c>
      <c r="F208" s="1">
        <v>45772</v>
      </c>
      <c r="G208" s="1">
        <v>45862</v>
      </c>
      <c r="H208">
        <v>90</v>
      </c>
      <c r="I208">
        <v>43397.57</v>
      </c>
      <c r="J208">
        <v>0</v>
      </c>
      <c r="K208">
        <v>43397.57</v>
      </c>
      <c r="M208">
        <v>37</v>
      </c>
      <c r="N208">
        <v>0</v>
      </c>
      <c r="O208" t="s">
        <v>22</v>
      </c>
      <c r="P208">
        <v>0</v>
      </c>
      <c r="Q208">
        <v>0</v>
      </c>
    </row>
    <row r="209" spans="1:17" x14ac:dyDescent="0.25">
      <c r="A209" t="s">
        <v>213</v>
      </c>
      <c r="B209" t="s">
        <v>214</v>
      </c>
      <c r="C209" t="s">
        <v>19</v>
      </c>
      <c r="D209" t="s">
        <v>134</v>
      </c>
      <c r="E209" t="s">
        <v>249</v>
      </c>
      <c r="F209" s="1">
        <v>45673</v>
      </c>
      <c r="G209" s="1">
        <v>45763</v>
      </c>
      <c r="H209">
        <v>90</v>
      </c>
      <c r="I209">
        <v>48850.7</v>
      </c>
      <c r="J209">
        <v>48850.7</v>
      </c>
      <c r="K209">
        <v>0</v>
      </c>
      <c r="L209" s="1">
        <v>45676</v>
      </c>
      <c r="M209">
        <v>136</v>
      </c>
      <c r="N209">
        <v>46</v>
      </c>
      <c r="O209" t="s">
        <v>25</v>
      </c>
      <c r="P209">
        <v>0.02</v>
      </c>
      <c r="Q209">
        <v>977.01</v>
      </c>
    </row>
    <row r="210" spans="1:17" x14ac:dyDescent="0.25">
      <c r="A210" t="s">
        <v>250</v>
      </c>
      <c r="B210" t="s">
        <v>251</v>
      </c>
      <c r="C210" t="s">
        <v>59</v>
      </c>
      <c r="D210" t="s">
        <v>167</v>
      </c>
      <c r="E210" t="s">
        <v>252</v>
      </c>
      <c r="F210" s="1">
        <v>45778</v>
      </c>
      <c r="G210" s="1">
        <v>45838</v>
      </c>
      <c r="H210">
        <v>60</v>
      </c>
      <c r="I210">
        <v>9265.61</v>
      </c>
      <c r="J210">
        <v>0</v>
      </c>
      <c r="K210">
        <v>9265.61</v>
      </c>
      <c r="M210">
        <v>31</v>
      </c>
      <c r="N210">
        <v>0</v>
      </c>
      <c r="O210" t="s">
        <v>22</v>
      </c>
      <c r="P210">
        <v>2.5000000000000001E-2</v>
      </c>
      <c r="Q210">
        <v>0</v>
      </c>
    </row>
    <row r="211" spans="1:17" x14ac:dyDescent="0.25">
      <c r="A211" t="s">
        <v>250</v>
      </c>
      <c r="B211" t="s">
        <v>251</v>
      </c>
      <c r="C211" t="s">
        <v>59</v>
      </c>
      <c r="D211" t="s">
        <v>167</v>
      </c>
      <c r="E211" t="s">
        <v>253</v>
      </c>
      <c r="F211" s="1">
        <v>45675</v>
      </c>
      <c r="G211" s="1">
        <v>45735</v>
      </c>
      <c r="H211">
        <v>60</v>
      </c>
      <c r="I211">
        <v>62370.09</v>
      </c>
      <c r="J211">
        <v>62370.09</v>
      </c>
      <c r="K211">
        <v>0</v>
      </c>
      <c r="L211" s="1">
        <v>45755</v>
      </c>
      <c r="M211">
        <v>134</v>
      </c>
      <c r="N211">
        <v>74</v>
      </c>
      <c r="O211" t="s">
        <v>25</v>
      </c>
      <c r="P211">
        <v>2.5000000000000001E-2</v>
      </c>
      <c r="Q211">
        <v>0</v>
      </c>
    </row>
    <row r="212" spans="1:17" x14ac:dyDescent="0.25">
      <c r="A212" t="s">
        <v>250</v>
      </c>
      <c r="B212" t="s">
        <v>251</v>
      </c>
      <c r="C212" t="s">
        <v>59</v>
      </c>
      <c r="D212" t="s">
        <v>167</v>
      </c>
      <c r="E212" t="s">
        <v>254</v>
      </c>
      <c r="F212" s="1">
        <v>45783</v>
      </c>
      <c r="G212" s="1">
        <v>45843</v>
      </c>
      <c r="H212">
        <v>60</v>
      </c>
      <c r="I212">
        <v>46689.87</v>
      </c>
      <c r="J212">
        <v>0</v>
      </c>
      <c r="K212">
        <v>46689.87</v>
      </c>
      <c r="M212">
        <v>26</v>
      </c>
      <c r="N212">
        <v>0</v>
      </c>
      <c r="O212" t="s">
        <v>22</v>
      </c>
      <c r="P212">
        <v>0.02</v>
      </c>
      <c r="Q212">
        <v>0</v>
      </c>
    </row>
    <row r="213" spans="1:17" x14ac:dyDescent="0.25">
      <c r="A213" t="s">
        <v>250</v>
      </c>
      <c r="B213" t="s">
        <v>251</v>
      </c>
      <c r="C213" t="s">
        <v>59</v>
      </c>
      <c r="D213" t="s">
        <v>167</v>
      </c>
      <c r="E213" t="s">
        <v>255</v>
      </c>
      <c r="F213" s="1">
        <v>45722</v>
      </c>
      <c r="G213" s="1">
        <v>45737</v>
      </c>
      <c r="H213">
        <v>15</v>
      </c>
      <c r="I213">
        <v>55490.99</v>
      </c>
      <c r="J213">
        <v>0</v>
      </c>
      <c r="K213">
        <v>55490.99</v>
      </c>
      <c r="M213">
        <v>87</v>
      </c>
      <c r="N213">
        <v>72</v>
      </c>
      <c r="O213" t="s">
        <v>36</v>
      </c>
      <c r="P213">
        <v>0</v>
      </c>
      <c r="Q213">
        <v>0</v>
      </c>
    </row>
    <row r="214" spans="1:17" x14ac:dyDescent="0.25">
      <c r="A214" t="s">
        <v>250</v>
      </c>
      <c r="B214" t="s">
        <v>251</v>
      </c>
      <c r="C214" t="s">
        <v>59</v>
      </c>
      <c r="D214" t="s">
        <v>167</v>
      </c>
      <c r="E214" t="s">
        <v>256</v>
      </c>
      <c r="F214" s="1">
        <v>45774</v>
      </c>
      <c r="G214" s="1">
        <v>45804</v>
      </c>
      <c r="H214">
        <v>30</v>
      </c>
      <c r="I214">
        <v>59980.37</v>
      </c>
      <c r="J214">
        <v>59980.37</v>
      </c>
      <c r="K214">
        <v>0</v>
      </c>
      <c r="L214" s="1">
        <v>45811</v>
      </c>
      <c r="M214">
        <v>35</v>
      </c>
      <c r="N214">
        <v>5</v>
      </c>
      <c r="O214" t="s">
        <v>25</v>
      </c>
      <c r="P214">
        <v>0.02</v>
      </c>
      <c r="Q214">
        <v>0</v>
      </c>
    </row>
    <row r="215" spans="1:17" x14ac:dyDescent="0.25">
      <c r="A215" t="s">
        <v>250</v>
      </c>
      <c r="B215" t="s">
        <v>251</v>
      </c>
      <c r="C215" t="s">
        <v>59</v>
      </c>
      <c r="D215" t="s">
        <v>167</v>
      </c>
      <c r="E215" t="s">
        <v>257</v>
      </c>
      <c r="F215" s="1">
        <v>45746</v>
      </c>
      <c r="G215" s="1">
        <v>45836</v>
      </c>
      <c r="H215">
        <v>90</v>
      </c>
      <c r="I215">
        <v>38690.86</v>
      </c>
      <c r="J215">
        <v>0</v>
      </c>
      <c r="K215">
        <v>38690.86</v>
      </c>
      <c r="M215">
        <v>63</v>
      </c>
      <c r="N215">
        <v>0</v>
      </c>
      <c r="O215" t="s">
        <v>22</v>
      </c>
      <c r="P215">
        <v>0</v>
      </c>
      <c r="Q215">
        <v>0</v>
      </c>
    </row>
    <row r="216" spans="1:17" x14ac:dyDescent="0.25">
      <c r="A216" t="s">
        <v>250</v>
      </c>
      <c r="B216" t="s">
        <v>251</v>
      </c>
      <c r="C216" t="s">
        <v>59</v>
      </c>
      <c r="D216" t="s">
        <v>167</v>
      </c>
      <c r="E216" t="s">
        <v>258</v>
      </c>
      <c r="F216" s="1">
        <v>45707</v>
      </c>
      <c r="G216" s="1">
        <v>45767</v>
      </c>
      <c r="H216">
        <v>60</v>
      </c>
      <c r="I216">
        <v>67269.429999999993</v>
      </c>
      <c r="J216">
        <v>67269.429999999993</v>
      </c>
      <c r="K216">
        <v>0</v>
      </c>
      <c r="L216" s="1">
        <v>45744</v>
      </c>
      <c r="M216">
        <v>102</v>
      </c>
      <c r="N216">
        <v>42</v>
      </c>
      <c r="O216" t="s">
        <v>25</v>
      </c>
      <c r="P216">
        <v>0</v>
      </c>
      <c r="Q216">
        <v>0</v>
      </c>
    </row>
    <row r="217" spans="1:17" x14ac:dyDescent="0.25">
      <c r="A217" t="s">
        <v>250</v>
      </c>
      <c r="B217" t="s">
        <v>251</v>
      </c>
      <c r="C217" t="s">
        <v>59</v>
      </c>
      <c r="D217" t="s">
        <v>167</v>
      </c>
      <c r="E217" t="s">
        <v>259</v>
      </c>
      <c r="F217" s="1">
        <v>45782</v>
      </c>
      <c r="G217" s="1">
        <v>45797</v>
      </c>
      <c r="H217">
        <v>15</v>
      </c>
      <c r="I217">
        <v>31142.35</v>
      </c>
      <c r="J217">
        <v>0</v>
      </c>
      <c r="K217">
        <v>31142.35</v>
      </c>
      <c r="M217">
        <v>27</v>
      </c>
      <c r="N217">
        <v>12</v>
      </c>
      <c r="O217" t="s">
        <v>36</v>
      </c>
      <c r="P217">
        <v>2.5000000000000001E-2</v>
      </c>
      <c r="Q217">
        <v>0</v>
      </c>
    </row>
    <row r="218" spans="1:17" x14ac:dyDescent="0.25">
      <c r="A218" t="s">
        <v>250</v>
      </c>
      <c r="B218" t="s">
        <v>251</v>
      </c>
      <c r="C218" t="s">
        <v>59</v>
      </c>
      <c r="D218" t="s">
        <v>167</v>
      </c>
      <c r="E218" t="s">
        <v>260</v>
      </c>
      <c r="F218" s="1">
        <v>45767</v>
      </c>
      <c r="G218" s="1">
        <v>45797</v>
      </c>
      <c r="H218">
        <v>30</v>
      </c>
      <c r="I218">
        <v>45955.07</v>
      </c>
      <c r="J218">
        <v>45955.07</v>
      </c>
      <c r="K218">
        <v>0</v>
      </c>
      <c r="L218" s="1">
        <v>45800</v>
      </c>
      <c r="M218">
        <v>42</v>
      </c>
      <c r="N218">
        <v>12</v>
      </c>
      <c r="O218" t="s">
        <v>25</v>
      </c>
      <c r="P218">
        <v>0.02</v>
      </c>
      <c r="Q218">
        <v>0</v>
      </c>
    </row>
    <row r="219" spans="1:17" x14ac:dyDescent="0.25">
      <c r="A219" t="s">
        <v>250</v>
      </c>
      <c r="B219" t="s">
        <v>251</v>
      </c>
      <c r="C219" t="s">
        <v>59</v>
      </c>
      <c r="D219" t="s">
        <v>167</v>
      </c>
      <c r="E219" t="s">
        <v>261</v>
      </c>
      <c r="F219" s="1">
        <v>45787</v>
      </c>
      <c r="G219" s="1">
        <v>45832</v>
      </c>
      <c r="H219">
        <v>45</v>
      </c>
      <c r="I219">
        <v>63004.71</v>
      </c>
      <c r="J219">
        <v>0</v>
      </c>
      <c r="K219">
        <v>63004.71</v>
      </c>
      <c r="M219">
        <v>22</v>
      </c>
      <c r="N219">
        <v>0</v>
      </c>
      <c r="O219" t="s">
        <v>22</v>
      </c>
      <c r="P219">
        <v>0.01</v>
      </c>
      <c r="Q219">
        <v>0</v>
      </c>
    </row>
    <row r="220" spans="1:17" x14ac:dyDescent="0.25">
      <c r="A220" t="s">
        <v>250</v>
      </c>
      <c r="B220" t="s">
        <v>251</v>
      </c>
      <c r="C220" t="s">
        <v>59</v>
      </c>
      <c r="D220" t="s">
        <v>167</v>
      </c>
      <c r="E220" t="s">
        <v>262</v>
      </c>
      <c r="F220" s="1">
        <v>45675</v>
      </c>
      <c r="G220" s="1">
        <v>45690</v>
      </c>
      <c r="H220">
        <v>15</v>
      </c>
      <c r="I220">
        <v>6454.49</v>
      </c>
      <c r="J220">
        <v>2783.45</v>
      </c>
      <c r="K220">
        <v>3671.04</v>
      </c>
      <c r="L220" s="1">
        <v>45760</v>
      </c>
      <c r="M220">
        <v>134</v>
      </c>
      <c r="N220">
        <v>119</v>
      </c>
      <c r="O220" t="s">
        <v>29</v>
      </c>
      <c r="P220">
        <v>0.01</v>
      </c>
      <c r="Q220">
        <v>0</v>
      </c>
    </row>
    <row r="221" spans="1:17" x14ac:dyDescent="0.25">
      <c r="A221" t="s">
        <v>250</v>
      </c>
      <c r="B221" t="s">
        <v>251</v>
      </c>
      <c r="C221" t="s">
        <v>59</v>
      </c>
      <c r="D221" t="s">
        <v>167</v>
      </c>
      <c r="E221" t="s">
        <v>263</v>
      </c>
      <c r="F221" s="1">
        <v>45654</v>
      </c>
      <c r="G221" s="1">
        <v>45714</v>
      </c>
      <c r="H221">
        <v>60</v>
      </c>
      <c r="I221">
        <v>71878.720000000001</v>
      </c>
      <c r="J221">
        <v>71878.720000000001</v>
      </c>
      <c r="K221">
        <v>0</v>
      </c>
      <c r="L221" s="1">
        <v>45729</v>
      </c>
      <c r="M221">
        <v>155</v>
      </c>
      <c r="N221">
        <v>95</v>
      </c>
      <c r="O221" t="s">
        <v>25</v>
      </c>
      <c r="P221">
        <v>0.02</v>
      </c>
      <c r="Q221">
        <v>0</v>
      </c>
    </row>
    <row r="222" spans="1:17" x14ac:dyDescent="0.25">
      <c r="A222" t="s">
        <v>250</v>
      </c>
      <c r="B222" t="s">
        <v>251</v>
      </c>
      <c r="C222" t="s">
        <v>59</v>
      </c>
      <c r="D222" t="s">
        <v>167</v>
      </c>
      <c r="E222" t="s">
        <v>264</v>
      </c>
      <c r="F222" s="1">
        <v>45770</v>
      </c>
      <c r="G222" s="1">
        <v>45800</v>
      </c>
      <c r="H222">
        <v>30</v>
      </c>
      <c r="I222">
        <v>12197.68</v>
      </c>
      <c r="J222">
        <v>8752.36</v>
      </c>
      <c r="K222">
        <v>3445.32</v>
      </c>
      <c r="L222" s="1">
        <v>45795</v>
      </c>
      <c r="M222">
        <v>39</v>
      </c>
      <c r="N222">
        <v>9</v>
      </c>
      <c r="O222" t="s">
        <v>29</v>
      </c>
      <c r="P222">
        <v>2.5000000000000001E-2</v>
      </c>
      <c r="Q222">
        <v>0</v>
      </c>
    </row>
    <row r="223" spans="1:17" x14ac:dyDescent="0.25">
      <c r="A223" t="s">
        <v>250</v>
      </c>
      <c r="B223" t="s">
        <v>251</v>
      </c>
      <c r="C223" t="s">
        <v>59</v>
      </c>
      <c r="D223" t="s">
        <v>167</v>
      </c>
      <c r="E223" t="s">
        <v>265</v>
      </c>
      <c r="F223" s="1">
        <v>45715</v>
      </c>
      <c r="G223" s="1">
        <v>45730</v>
      </c>
      <c r="H223">
        <v>15</v>
      </c>
      <c r="I223">
        <v>50046.84</v>
      </c>
      <c r="J223">
        <v>50046.84</v>
      </c>
      <c r="K223">
        <v>0</v>
      </c>
      <c r="L223" s="1">
        <v>45715</v>
      </c>
      <c r="M223">
        <v>94</v>
      </c>
      <c r="N223">
        <v>79</v>
      </c>
      <c r="O223" t="s">
        <v>25</v>
      </c>
      <c r="P223">
        <v>0</v>
      </c>
      <c r="Q223">
        <v>0</v>
      </c>
    </row>
    <row r="224" spans="1:17" x14ac:dyDescent="0.25">
      <c r="A224" t="s">
        <v>250</v>
      </c>
      <c r="B224" t="s">
        <v>251</v>
      </c>
      <c r="C224" t="s">
        <v>59</v>
      </c>
      <c r="D224" t="s">
        <v>167</v>
      </c>
      <c r="E224" t="s">
        <v>266</v>
      </c>
      <c r="F224" s="1">
        <v>45691</v>
      </c>
      <c r="G224" s="1">
        <v>45751</v>
      </c>
      <c r="H224">
        <v>60</v>
      </c>
      <c r="I224">
        <v>42986.26</v>
      </c>
      <c r="J224">
        <v>42986.26</v>
      </c>
      <c r="K224">
        <v>0</v>
      </c>
      <c r="L224" s="1">
        <v>45766</v>
      </c>
      <c r="M224">
        <v>118</v>
      </c>
      <c r="N224">
        <v>58</v>
      </c>
      <c r="O224" t="s">
        <v>25</v>
      </c>
      <c r="P224">
        <v>0.01</v>
      </c>
      <c r="Q224">
        <v>0</v>
      </c>
    </row>
    <row r="225" spans="1:17" x14ac:dyDescent="0.25">
      <c r="A225" t="s">
        <v>250</v>
      </c>
      <c r="B225" t="s">
        <v>251</v>
      </c>
      <c r="C225" t="s">
        <v>59</v>
      </c>
      <c r="D225" t="s">
        <v>167</v>
      </c>
      <c r="E225" t="s">
        <v>267</v>
      </c>
      <c r="F225" s="1">
        <v>45653</v>
      </c>
      <c r="G225" s="1">
        <v>45713</v>
      </c>
      <c r="H225">
        <v>60</v>
      </c>
      <c r="I225">
        <v>38910.44</v>
      </c>
      <c r="J225">
        <v>38910.44</v>
      </c>
      <c r="K225">
        <v>0</v>
      </c>
      <c r="L225" s="1">
        <v>45668</v>
      </c>
      <c r="M225">
        <v>156</v>
      </c>
      <c r="N225">
        <v>96</v>
      </c>
      <c r="O225" t="s">
        <v>25</v>
      </c>
      <c r="P225">
        <v>0.01</v>
      </c>
      <c r="Q225">
        <v>389.1</v>
      </c>
    </row>
    <row r="226" spans="1:17" x14ac:dyDescent="0.25">
      <c r="A226" t="s">
        <v>250</v>
      </c>
      <c r="B226" t="s">
        <v>251</v>
      </c>
      <c r="C226" t="s">
        <v>59</v>
      </c>
      <c r="D226" t="s">
        <v>167</v>
      </c>
      <c r="E226" t="s">
        <v>268</v>
      </c>
      <c r="F226" s="1">
        <v>45668</v>
      </c>
      <c r="G226" s="1">
        <v>45728</v>
      </c>
      <c r="H226">
        <v>60</v>
      </c>
      <c r="I226">
        <v>14540.75</v>
      </c>
      <c r="J226">
        <v>14540.75</v>
      </c>
      <c r="K226">
        <v>0</v>
      </c>
      <c r="L226" s="1">
        <v>45709</v>
      </c>
      <c r="M226">
        <v>141</v>
      </c>
      <c r="N226">
        <v>81</v>
      </c>
      <c r="O226" t="s">
        <v>25</v>
      </c>
      <c r="P226">
        <v>0.01</v>
      </c>
      <c r="Q226">
        <v>145.41</v>
      </c>
    </row>
    <row r="227" spans="1:17" x14ac:dyDescent="0.25">
      <c r="A227" t="s">
        <v>250</v>
      </c>
      <c r="B227" t="s">
        <v>251</v>
      </c>
      <c r="C227" t="s">
        <v>59</v>
      </c>
      <c r="D227" t="s">
        <v>167</v>
      </c>
      <c r="E227" t="s">
        <v>269</v>
      </c>
      <c r="F227" s="1">
        <v>45636</v>
      </c>
      <c r="G227" s="1">
        <v>45681</v>
      </c>
      <c r="H227">
        <v>45</v>
      </c>
      <c r="I227">
        <v>56048.62</v>
      </c>
      <c r="J227">
        <v>56048.62</v>
      </c>
      <c r="K227">
        <v>0</v>
      </c>
      <c r="L227" s="1">
        <v>45648</v>
      </c>
      <c r="M227">
        <v>173</v>
      </c>
      <c r="N227">
        <v>128</v>
      </c>
      <c r="O227" t="s">
        <v>25</v>
      </c>
      <c r="P227">
        <v>2.5000000000000001E-2</v>
      </c>
      <c r="Q227">
        <v>1401.22</v>
      </c>
    </row>
    <row r="228" spans="1:17" x14ac:dyDescent="0.25">
      <c r="A228" t="s">
        <v>250</v>
      </c>
      <c r="B228" t="s">
        <v>251</v>
      </c>
      <c r="C228" t="s">
        <v>59</v>
      </c>
      <c r="D228" t="s">
        <v>167</v>
      </c>
      <c r="E228" t="s">
        <v>270</v>
      </c>
      <c r="F228" s="1">
        <v>45699</v>
      </c>
      <c r="G228" s="1">
        <v>45789</v>
      </c>
      <c r="H228">
        <v>90</v>
      </c>
      <c r="I228">
        <v>32904.199999999997</v>
      </c>
      <c r="J228">
        <v>32904.199999999997</v>
      </c>
      <c r="K228">
        <v>0</v>
      </c>
      <c r="L228" s="1">
        <v>45739</v>
      </c>
      <c r="M228">
        <v>110</v>
      </c>
      <c r="N228">
        <v>20</v>
      </c>
      <c r="O228" t="s">
        <v>25</v>
      </c>
      <c r="P228">
        <v>0.01</v>
      </c>
      <c r="Q228">
        <v>329.04</v>
      </c>
    </row>
    <row r="229" spans="1:17" x14ac:dyDescent="0.25">
      <c r="A229" t="s">
        <v>250</v>
      </c>
      <c r="B229" t="s">
        <v>251</v>
      </c>
      <c r="C229" t="s">
        <v>59</v>
      </c>
      <c r="D229" t="s">
        <v>167</v>
      </c>
      <c r="E229" t="s">
        <v>271</v>
      </c>
      <c r="F229" s="1">
        <v>45667</v>
      </c>
      <c r="G229" s="1">
        <v>45712</v>
      </c>
      <c r="H229">
        <v>45</v>
      </c>
      <c r="I229">
        <v>16400.72</v>
      </c>
      <c r="J229">
        <v>16400.72</v>
      </c>
      <c r="K229">
        <v>0</v>
      </c>
      <c r="L229" s="1">
        <v>45697</v>
      </c>
      <c r="M229">
        <v>142</v>
      </c>
      <c r="N229">
        <v>97</v>
      </c>
      <c r="O229" t="s">
        <v>25</v>
      </c>
      <c r="P229">
        <v>0.02</v>
      </c>
      <c r="Q229">
        <v>328.01</v>
      </c>
    </row>
    <row r="230" spans="1:17" x14ac:dyDescent="0.25">
      <c r="A230" t="s">
        <v>250</v>
      </c>
      <c r="B230" t="s">
        <v>251</v>
      </c>
      <c r="C230" t="s">
        <v>59</v>
      </c>
      <c r="D230" t="s">
        <v>167</v>
      </c>
      <c r="E230" t="s">
        <v>272</v>
      </c>
      <c r="F230" s="1">
        <v>45729</v>
      </c>
      <c r="G230" s="1">
        <v>45789</v>
      </c>
      <c r="H230">
        <v>60</v>
      </c>
      <c r="I230">
        <v>30178.39</v>
      </c>
      <c r="J230">
        <v>30178.39</v>
      </c>
      <c r="K230">
        <v>0</v>
      </c>
      <c r="L230" s="1">
        <v>45811</v>
      </c>
      <c r="M230">
        <v>80</v>
      </c>
      <c r="N230">
        <v>20</v>
      </c>
      <c r="O230" t="s">
        <v>25</v>
      </c>
      <c r="P230">
        <v>2.5000000000000001E-2</v>
      </c>
      <c r="Q230">
        <v>0</v>
      </c>
    </row>
    <row r="231" spans="1:17" x14ac:dyDescent="0.25">
      <c r="A231" t="s">
        <v>250</v>
      </c>
      <c r="B231" t="s">
        <v>251</v>
      </c>
      <c r="C231" t="s">
        <v>59</v>
      </c>
      <c r="D231" t="s">
        <v>167</v>
      </c>
      <c r="E231" t="s">
        <v>273</v>
      </c>
      <c r="F231" s="1">
        <v>45764</v>
      </c>
      <c r="G231" s="1">
        <v>45779</v>
      </c>
      <c r="H231">
        <v>15</v>
      </c>
      <c r="I231">
        <v>6827.21</v>
      </c>
      <c r="J231">
        <v>5017.72</v>
      </c>
      <c r="K231">
        <v>1809.49</v>
      </c>
      <c r="L231" s="1">
        <v>45785</v>
      </c>
      <c r="M231">
        <v>45</v>
      </c>
      <c r="N231">
        <v>30</v>
      </c>
      <c r="O231" t="s">
        <v>29</v>
      </c>
      <c r="P231">
        <v>0</v>
      </c>
      <c r="Q231">
        <v>0</v>
      </c>
    </row>
    <row r="232" spans="1:17" x14ac:dyDescent="0.25">
      <c r="A232" t="s">
        <v>250</v>
      </c>
      <c r="B232" t="s">
        <v>251</v>
      </c>
      <c r="C232" t="s">
        <v>59</v>
      </c>
      <c r="D232" t="s">
        <v>167</v>
      </c>
      <c r="E232" t="s">
        <v>274</v>
      </c>
      <c r="F232" s="1">
        <v>45676</v>
      </c>
      <c r="G232" s="1">
        <v>45721</v>
      </c>
      <c r="H232">
        <v>45</v>
      </c>
      <c r="I232">
        <v>37591.06</v>
      </c>
      <c r="J232">
        <v>7882.01</v>
      </c>
      <c r="K232">
        <v>29709.05</v>
      </c>
      <c r="L232" s="1">
        <v>45750</v>
      </c>
      <c r="M232">
        <v>133</v>
      </c>
      <c r="N232">
        <v>88</v>
      </c>
      <c r="O232" t="s">
        <v>29</v>
      </c>
      <c r="P232">
        <v>0</v>
      </c>
      <c r="Q232">
        <v>0</v>
      </c>
    </row>
    <row r="233" spans="1:17" x14ac:dyDescent="0.25">
      <c r="A233" t="s">
        <v>250</v>
      </c>
      <c r="B233" t="s">
        <v>251</v>
      </c>
      <c r="C233" t="s">
        <v>59</v>
      </c>
      <c r="D233" t="s">
        <v>167</v>
      </c>
      <c r="E233" t="s">
        <v>275</v>
      </c>
      <c r="F233" s="1">
        <v>45642</v>
      </c>
      <c r="G233" s="1">
        <v>45702</v>
      </c>
      <c r="H233">
        <v>60</v>
      </c>
      <c r="I233">
        <v>26955.599999999999</v>
      </c>
      <c r="J233">
        <v>0</v>
      </c>
      <c r="K233">
        <v>26955.599999999999</v>
      </c>
      <c r="M233">
        <v>167</v>
      </c>
      <c r="N233">
        <v>107</v>
      </c>
      <c r="O233" t="s">
        <v>36</v>
      </c>
      <c r="P233">
        <v>0.01</v>
      </c>
      <c r="Q233">
        <v>0</v>
      </c>
    </row>
    <row r="234" spans="1:17" x14ac:dyDescent="0.25">
      <c r="A234" t="s">
        <v>250</v>
      </c>
      <c r="B234" t="s">
        <v>251</v>
      </c>
      <c r="C234" t="s">
        <v>59</v>
      </c>
      <c r="D234" t="s">
        <v>167</v>
      </c>
      <c r="E234" t="s">
        <v>276</v>
      </c>
      <c r="F234" s="1">
        <v>45658</v>
      </c>
      <c r="G234" s="1">
        <v>45718</v>
      </c>
      <c r="H234">
        <v>60</v>
      </c>
      <c r="I234">
        <v>45974.65</v>
      </c>
      <c r="J234">
        <v>45974.65</v>
      </c>
      <c r="K234">
        <v>0</v>
      </c>
      <c r="L234" s="1">
        <v>45696</v>
      </c>
      <c r="M234">
        <v>151</v>
      </c>
      <c r="N234">
        <v>91</v>
      </c>
      <c r="O234" t="s">
        <v>25</v>
      </c>
      <c r="P234">
        <v>2.5000000000000001E-2</v>
      </c>
      <c r="Q234">
        <v>1149.3699999999999</v>
      </c>
    </row>
    <row r="235" spans="1:17" x14ac:dyDescent="0.25">
      <c r="A235" t="s">
        <v>250</v>
      </c>
      <c r="B235" t="s">
        <v>251</v>
      </c>
      <c r="C235" t="s">
        <v>59</v>
      </c>
      <c r="D235" t="s">
        <v>167</v>
      </c>
      <c r="E235" t="s">
        <v>277</v>
      </c>
      <c r="F235" s="1">
        <v>45782</v>
      </c>
      <c r="G235" s="1">
        <v>45842</v>
      </c>
      <c r="H235">
        <v>60</v>
      </c>
      <c r="I235">
        <v>42876.18</v>
      </c>
      <c r="J235">
        <v>0</v>
      </c>
      <c r="K235">
        <v>42876.18</v>
      </c>
      <c r="M235">
        <v>27</v>
      </c>
      <c r="N235">
        <v>0</v>
      </c>
      <c r="O235" t="s">
        <v>22</v>
      </c>
      <c r="P235">
        <v>0.01</v>
      </c>
      <c r="Q235">
        <v>0</v>
      </c>
    </row>
    <row r="236" spans="1:17" x14ac:dyDescent="0.25">
      <c r="A236" t="s">
        <v>250</v>
      </c>
      <c r="B236" t="s">
        <v>251</v>
      </c>
      <c r="C236" t="s">
        <v>59</v>
      </c>
      <c r="D236" t="s">
        <v>167</v>
      </c>
      <c r="E236" t="s">
        <v>278</v>
      </c>
      <c r="F236" s="1">
        <v>45683</v>
      </c>
      <c r="G236" s="1">
        <v>45728</v>
      </c>
      <c r="H236">
        <v>45</v>
      </c>
      <c r="I236">
        <v>10264.870000000001</v>
      </c>
      <c r="J236">
        <v>6143.25</v>
      </c>
      <c r="K236">
        <v>4121.62</v>
      </c>
      <c r="L236" s="1">
        <v>45799</v>
      </c>
      <c r="M236">
        <v>126</v>
      </c>
      <c r="N236">
        <v>81</v>
      </c>
      <c r="O236" t="s">
        <v>29</v>
      </c>
      <c r="P236">
        <v>0</v>
      </c>
      <c r="Q236">
        <v>0</v>
      </c>
    </row>
    <row r="237" spans="1:17" x14ac:dyDescent="0.25">
      <c r="A237" t="s">
        <v>250</v>
      </c>
      <c r="B237" t="s">
        <v>251</v>
      </c>
      <c r="C237" t="s">
        <v>59</v>
      </c>
      <c r="D237" t="s">
        <v>167</v>
      </c>
      <c r="E237" t="s">
        <v>279</v>
      </c>
      <c r="F237" s="1">
        <v>45645</v>
      </c>
      <c r="G237" s="1">
        <v>45675</v>
      </c>
      <c r="H237">
        <v>30</v>
      </c>
      <c r="I237">
        <v>5618.83</v>
      </c>
      <c r="J237">
        <v>5618.83</v>
      </c>
      <c r="K237">
        <v>0</v>
      </c>
      <c r="L237" s="1">
        <v>45671</v>
      </c>
      <c r="M237">
        <v>164</v>
      </c>
      <c r="N237">
        <v>134</v>
      </c>
      <c r="O237" t="s">
        <v>25</v>
      </c>
      <c r="P237">
        <v>0.01</v>
      </c>
      <c r="Q237">
        <v>0</v>
      </c>
    </row>
    <row r="238" spans="1:17" x14ac:dyDescent="0.25">
      <c r="A238" t="s">
        <v>250</v>
      </c>
      <c r="B238" t="s">
        <v>251</v>
      </c>
      <c r="C238" t="s">
        <v>59</v>
      </c>
      <c r="D238" t="s">
        <v>167</v>
      </c>
      <c r="E238" t="s">
        <v>280</v>
      </c>
      <c r="F238" s="1">
        <v>45747</v>
      </c>
      <c r="G238" s="1">
        <v>45792</v>
      </c>
      <c r="H238">
        <v>45</v>
      </c>
      <c r="I238">
        <v>71841.61</v>
      </c>
      <c r="J238">
        <v>0</v>
      </c>
      <c r="K238">
        <v>71841.61</v>
      </c>
      <c r="M238">
        <v>62</v>
      </c>
      <c r="N238">
        <v>17</v>
      </c>
      <c r="O238" t="s">
        <v>36</v>
      </c>
      <c r="P238">
        <v>0.01</v>
      </c>
      <c r="Q238">
        <v>0</v>
      </c>
    </row>
    <row r="239" spans="1:17" x14ac:dyDescent="0.25">
      <c r="A239" t="s">
        <v>250</v>
      </c>
      <c r="B239" t="s">
        <v>251</v>
      </c>
      <c r="C239" t="s">
        <v>59</v>
      </c>
      <c r="D239" t="s">
        <v>167</v>
      </c>
      <c r="E239" t="s">
        <v>281</v>
      </c>
      <c r="F239" s="1">
        <v>45799</v>
      </c>
      <c r="G239" s="1">
        <v>45844</v>
      </c>
      <c r="H239">
        <v>45</v>
      </c>
      <c r="I239">
        <v>23057.22</v>
      </c>
      <c r="J239">
        <v>0</v>
      </c>
      <c r="K239">
        <v>23057.22</v>
      </c>
      <c r="M239">
        <v>10</v>
      </c>
      <c r="N239">
        <v>0</v>
      </c>
      <c r="O239" t="s">
        <v>22</v>
      </c>
      <c r="P239">
        <v>2.5000000000000001E-2</v>
      </c>
      <c r="Q239">
        <v>0</v>
      </c>
    </row>
    <row r="240" spans="1:17" x14ac:dyDescent="0.25">
      <c r="A240" t="s">
        <v>250</v>
      </c>
      <c r="B240" t="s">
        <v>251</v>
      </c>
      <c r="C240" t="s">
        <v>59</v>
      </c>
      <c r="D240" t="s">
        <v>167</v>
      </c>
      <c r="E240" t="s">
        <v>282</v>
      </c>
      <c r="F240" s="1">
        <v>45707</v>
      </c>
      <c r="G240" s="1">
        <v>45767</v>
      </c>
      <c r="H240">
        <v>60</v>
      </c>
      <c r="I240">
        <v>45746.63</v>
      </c>
      <c r="J240">
        <v>45746.63</v>
      </c>
      <c r="K240">
        <v>0</v>
      </c>
      <c r="L240" s="1">
        <v>45738</v>
      </c>
      <c r="M240">
        <v>102</v>
      </c>
      <c r="N240">
        <v>42</v>
      </c>
      <c r="O240" t="s">
        <v>25</v>
      </c>
      <c r="P240">
        <v>0.02</v>
      </c>
      <c r="Q240">
        <v>914.93</v>
      </c>
    </row>
    <row r="241" spans="1:17" x14ac:dyDescent="0.25">
      <c r="A241" t="s">
        <v>250</v>
      </c>
      <c r="B241" t="s">
        <v>251</v>
      </c>
      <c r="C241" t="s">
        <v>59</v>
      </c>
      <c r="D241" t="s">
        <v>167</v>
      </c>
      <c r="E241" t="s">
        <v>283</v>
      </c>
      <c r="F241" s="1">
        <v>45641</v>
      </c>
      <c r="G241" s="1">
        <v>45656</v>
      </c>
      <c r="H241">
        <v>15</v>
      </c>
      <c r="I241">
        <v>54233.48</v>
      </c>
      <c r="J241">
        <v>0</v>
      </c>
      <c r="K241">
        <v>54233.48</v>
      </c>
      <c r="M241">
        <v>168</v>
      </c>
      <c r="N241">
        <v>153</v>
      </c>
      <c r="O241" t="s">
        <v>36</v>
      </c>
      <c r="P241">
        <v>0.01</v>
      </c>
      <c r="Q241">
        <v>0</v>
      </c>
    </row>
    <row r="242" spans="1:17" x14ac:dyDescent="0.25">
      <c r="A242" t="s">
        <v>250</v>
      </c>
      <c r="B242" t="s">
        <v>251</v>
      </c>
      <c r="C242" t="s">
        <v>59</v>
      </c>
      <c r="D242" t="s">
        <v>167</v>
      </c>
      <c r="E242" t="s">
        <v>284</v>
      </c>
      <c r="F242" s="1">
        <v>45772</v>
      </c>
      <c r="G242" s="1">
        <v>45817</v>
      </c>
      <c r="H242">
        <v>45</v>
      </c>
      <c r="I242">
        <v>1869.74</v>
      </c>
      <c r="J242">
        <v>0</v>
      </c>
      <c r="K242">
        <v>1869.74</v>
      </c>
      <c r="M242">
        <v>37</v>
      </c>
      <c r="N242">
        <v>0</v>
      </c>
      <c r="O242" t="s">
        <v>22</v>
      </c>
      <c r="P242">
        <v>0.01</v>
      </c>
      <c r="Q242">
        <v>0</v>
      </c>
    </row>
    <row r="243" spans="1:17" x14ac:dyDescent="0.25">
      <c r="A243" t="s">
        <v>250</v>
      </c>
      <c r="B243" t="s">
        <v>251</v>
      </c>
      <c r="C243" t="s">
        <v>59</v>
      </c>
      <c r="D243" t="s">
        <v>167</v>
      </c>
      <c r="E243" t="s">
        <v>285</v>
      </c>
      <c r="F243" s="1">
        <v>45802</v>
      </c>
      <c r="G243" s="1">
        <v>45847</v>
      </c>
      <c r="H243">
        <v>45</v>
      </c>
      <c r="I243">
        <v>42190.95</v>
      </c>
      <c r="J243">
        <v>0</v>
      </c>
      <c r="K243">
        <v>42190.95</v>
      </c>
      <c r="M243">
        <v>7</v>
      </c>
      <c r="N243">
        <v>0</v>
      </c>
      <c r="O243" t="s">
        <v>22</v>
      </c>
      <c r="P243">
        <v>2.5000000000000001E-2</v>
      </c>
      <c r="Q243">
        <v>0</v>
      </c>
    </row>
    <row r="244" spans="1:17" x14ac:dyDescent="0.25">
      <c r="A244" t="s">
        <v>250</v>
      </c>
      <c r="B244" t="s">
        <v>251</v>
      </c>
      <c r="C244" t="s">
        <v>59</v>
      </c>
      <c r="D244" t="s">
        <v>167</v>
      </c>
      <c r="E244" t="s">
        <v>286</v>
      </c>
      <c r="F244" s="1">
        <v>45709</v>
      </c>
      <c r="G244" s="1">
        <v>45739</v>
      </c>
      <c r="H244">
        <v>30</v>
      </c>
      <c r="I244">
        <v>61649.09</v>
      </c>
      <c r="J244">
        <v>61649.09</v>
      </c>
      <c r="K244">
        <v>0</v>
      </c>
      <c r="L244" s="1">
        <v>45731</v>
      </c>
      <c r="M244">
        <v>100</v>
      </c>
      <c r="N244">
        <v>70</v>
      </c>
      <c r="O244" t="s">
        <v>25</v>
      </c>
      <c r="P244">
        <v>0</v>
      </c>
      <c r="Q244">
        <v>0</v>
      </c>
    </row>
    <row r="245" spans="1:17" x14ac:dyDescent="0.25">
      <c r="A245" t="s">
        <v>250</v>
      </c>
      <c r="B245" t="s">
        <v>251</v>
      </c>
      <c r="C245" t="s">
        <v>59</v>
      </c>
      <c r="D245" t="s">
        <v>167</v>
      </c>
      <c r="E245" t="s">
        <v>287</v>
      </c>
      <c r="F245" s="1">
        <v>45762</v>
      </c>
      <c r="G245" s="1">
        <v>45852</v>
      </c>
      <c r="H245">
        <v>90</v>
      </c>
      <c r="I245">
        <v>72218.33</v>
      </c>
      <c r="J245">
        <v>0</v>
      </c>
      <c r="K245">
        <v>72218.33</v>
      </c>
      <c r="M245">
        <v>47</v>
      </c>
      <c r="N245">
        <v>0</v>
      </c>
      <c r="O245" t="s">
        <v>22</v>
      </c>
      <c r="P245">
        <v>0</v>
      </c>
      <c r="Q245">
        <v>0</v>
      </c>
    </row>
    <row r="246" spans="1:17" x14ac:dyDescent="0.25">
      <c r="A246" t="s">
        <v>250</v>
      </c>
      <c r="B246" t="s">
        <v>251</v>
      </c>
      <c r="C246" t="s">
        <v>59</v>
      </c>
      <c r="D246" t="s">
        <v>167</v>
      </c>
      <c r="E246" t="s">
        <v>288</v>
      </c>
      <c r="F246" s="1">
        <v>45665</v>
      </c>
      <c r="G246" s="1">
        <v>45710</v>
      </c>
      <c r="H246">
        <v>45</v>
      </c>
      <c r="I246">
        <v>32674.62</v>
      </c>
      <c r="J246">
        <v>0</v>
      </c>
      <c r="K246">
        <v>32674.62</v>
      </c>
      <c r="M246">
        <v>144</v>
      </c>
      <c r="N246">
        <v>99</v>
      </c>
      <c r="O246" t="s">
        <v>36</v>
      </c>
      <c r="P246">
        <v>0.02</v>
      </c>
      <c r="Q246">
        <v>0</v>
      </c>
    </row>
    <row r="247" spans="1:17" x14ac:dyDescent="0.25">
      <c r="A247" t="s">
        <v>250</v>
      </c>
      <c r="B247" t="s">
        <v>251</v>
      </c>
      <c r="C247" t="s">
        <v>59</v>
      </c>
      <c r="D247" t="s">
        <v>167</v>
      </c>
      <c r="E247" t="s">
        <v>289</v>
      </c>
      <c r="F247" s="1">
        <v>45730</v>
      </c>
      <c r="G247" s="1">
        <v>45775</v>
      </c>
      <c r="H247">
        <v>45</v>
      </c>
      <c r="I247">
        <v>12709.02</v>
      </c>
      <c r="J247">
        <v>12709.02</v>
      </c>
      <c r="K247">
        <v>0</v>
      </c>
      <c r="L247" s="1">
        <v>45733</v>
      </c>
      <c r="M247">
        <v>79</v>
      </c>
      <c r="N247">
        <v>34</v>
      </c>
      <c r="O247" t="s">
        <v>25</v>
      </c>
      <c r="P247">
        <v>0</v>
      </c>
      <c r="Q247">
        <v>0</v>
      </c>
    </row>
    <row r="248" spans="1:17" x14ac:dyDescent="0.25">
      <c r="A248" t="s">
        <v>250</v>
      </c>
      <c r="B248" t="s">
        <v>251</v>
      </c>
      <c r="C248" t="s">
        <v>59</v>
      </c>
      <c r="D248" t="s">
        <v>167</v>
      </c>
      <c r="E248" t="s">
        <v>290</v>
      </c>
      <c r="F248" s="1">
        <v>45731</v>
      </c>
      <c r="G248" s="1">
        <v>45746</v>
      </c>
      <c r="H248">
        <v>15</v>
      </c>
      <c r="I248">
        <v>43024.94</v>
      </c>
      <c r="J248">
        <v>13374.49</v>
      </c>
      <c r="K248">
        <v>29650.45</v>
      </c>
      <c r="L248" s="1">
        <v>45744</v>
      </c>
      <c r="M248">
        <v>78</v>
      </c>
      <c r="N248">
        <v>63</v>
      </c>
      <c r="O248" t="s">
        <v>29</v>
      </c>
      <c r="P248">
        <v>2.5000000000000001E-2</v>
      </c>
      <c r="Q248">
        <v>0</v>
      </c>
    </row>
    <row r="249" spans="1:17" x14ac:dyDescent="0.25">
      <c r="A249" t="s">
        <v>250</v>
      </c>
      <c r="B249" t="s">
        <v>251</v>
      </c>
      <c r="C249" t="s">
        <v>59</v>
      </c>
      <c r="D249" t="s">
        <v>167</v>
      </c>
      <c r="E249" t="s">
        <v>291</v>
      </c>
      <c r="F249" s="1">
        <v>45686</v>
      </c>
      <c r="G249" s="1">
        <v>45716</v>
      </c>
      <c r="H249">
        <v>30</v>
      </c>
      <c r="I249">
        <v>13245.81</v>
      </c>
      <c r="J249">
        <v>13245.81</v>
      </c>
      <c r="K249">
        <v>0</v>
      </c>
      <c r="L249" s="1">
        <v>45728</v>
      </c>
      <c r="M249">
        <v>123</v>
      </c>
      <c r="N249">
        <v>93</v>
      </c>
      <c r="O249" t="s">
        <v>25</v>
      </c>
      <c r="P249">
        <v>0.01</v>
      </c>
      <c r="Q249">
        <v>0</v>
      </c>
    </row>
    <row r="250" spans="1:17" x14ac:dyDescent="0.25">
      <c r="A250" t="s">
        <v>250</v>
      </c>
      <c r="B250" t="s">
        <v>251</v>
      </c>
      <c r="C250" t="s">
        <v>59</v>
      </c>
      <c r="D250" t="s">
        <v>167</v>
      </c>
      <c r="E250" t="s">
        <v>292</v>
      </c>
      <c r="F250" s="1">
        <v>45629</v>
      </c>
      <c r="G250" s="1">
        <v>45644</v>
      </c>
      <c r="H250">
        <v>15</v>
      </c>
      <c r="I250">
        <v>26738.81</v>
      </c>
      <c r="J250">
        <v>26738.81</v>
      </c>
      <c r="K250">
        <v>0</v>
      </c>
      <c r="L250" s="1">
        <v>45658</v>
      </c>
      <c r="M250">
        <v>180</v>
      </c>
      <c r="N250">
        <v>165</v>
      </c>
      <c r="O250" t="s">
        <v>25</v>
      </c>
      <c r="P250">
        <v>0.02</v>
      </c>
      <c r="Q250">
        <v>0</v>
      </c>
    </row>
    <row r="251" spans="1:17" x14ac:dyDescent="0.25">
      <c r="A251" t="s">
        <v>250</v>
      </c>
      <c r="B251" t="s">
        <v>251</v>
      </c>
      <c r="C251" t="s">
        <v>59</v>
      </c>
      <c r="D251" t="s">
        <v>167</v>
      </c>
      <c r="E251" t="s">
        <v>293</v>
      </c>
      <c r="F251" s="1">
        <v>45786</v>
      </c>
      <c r="G251" s="1">
        <v>45816</v>
      </c>
      <c r="H251">
        <v>30</v>
      </c>
      <c r="I251">
        <v>70480.070000000007</v>
      </c>
      <c r="J251">
        <v>0</v>
      </c>
      <c r="K251">
        <v>70480.070000000007</v>
      </c>
      <c r="M251">
        <v>23</v>
      </c>
      <c r="N251">
        <v>0</v>
      </c>
      <c r="O251" t="s">
        <v>22</v>
      </c>
      <c r="P251">
        <v>2.5000000000000001E-2</v>
      </c>
      <c r="Q251">
        <v>0</v>
      </c>
    </row>
    <row r="252" spans="1:17" x14ac:dyDescent="0.25">
      <c r="A252" t="s">
        <v>250</v>
      </c>
      <c r="B252" t="s">
        <v>251</v>
      </c>
      <c r="C252" t="s">
        <v>59</v>
      </c>
      <c r="D252" t="s">
        <v>167</v>
      </c>
      <c r="E252" t="s">
        <v>294</v>
      </c>
      <c r="F252" s="1">
        <v>45716</v>
      </c>
      <c r="G252" s="1">
        <v>45806</v>
      </c>
      <c r="H252">
        <v>90</v>
      </c>
      <c r="I252">
        <v>47268.51</v>
      </c>
      <c r="J252">
        <v>47268.51</v>
      </c>
      <c r="K252">
        <v>0</v>
      </c>
      <c r="L252" s="1">
        <v>45810</v>
      </c>
      <c r="M252">
        <v>93</v>
      </c>
      <c r="N252">
        <v>3</v>
      </c>
      <c r="O252" t="s">
        <v>25</v>
      </c>
      <c r="P252">
        <v>2.5000000000000001E-2</v>
      </c>
      <c r="Q252">
        <v>0</v>
      </c>
    </row>
    <row r="253" spans="1:17" x14ac:dyDescent="0.25">
      <c r="A253" t="s">
        <v>250</v>
      </c>
      <c r="B253" t="s">
        <v>251</v>
      </c>
      <c r="C253" t="s">
        <v>59</v>
      </c>
      <c r="D253" t="s">
        <v>167</v>
      </c>
      <c r="E253" t="s">
        <v>295</v>
      </c>
      <c r="F253" s="1">
        <v>45651</v>
      </c>
      <c r="G253" s="1">
        <v>45666</v>
      </c>
      <c r="H253">
        <v>15</v>
      </c>
      <c r="I253">
        <v>13762.57</v>
      </c>
      <c r="J253">
        <v>13762.57</v>
      </c>
      <c r="K253">
        <v>0</v>
      </c>
      <c r="L253" s="1">
        <v>45658</v>
      </c>
      <c r="M253">
        <v>158</v>
      </c>
      <c r="N253">
        <v>143</v>
      </c>
      <c r="O253" t="s">
        <v>25</v>
      </c>
      <c r="P253">
        <v>0</v>
      </c>
      <c r="Q253">
        <v>0</v>
      </c>
    </row>
    <row r="254" spans="1:17" x14ac:dyDescent="0.25">
      <c r="A254" t="s">
        <v>250</v>
      </c>
      <c r="B254" t="s">
        <v>251</v>
      </c>
      <c r="C254" t="s">
        <v>59</v>
      </c>
      <c r="D254" t="s">
        <v>167</v>
      </c>
      <c r="E254" t="s">
        <v>296</v>
      </c>
      <c r="F254" s="1">
        <v>45716</v>
      </c>
      <c r="G254" s="1">
        <v>45806</v>
      </c>
      <c r="H254">
        <v>90</v>
      </c>
      <c r="I254">
        <v>36360.58</v>
      </c>
      <c r="J254">
        <v>36360.58</v>
      </c>
      <c r="K254">
        <v>0</v>
      </c>
      <c r="L254" s="1">
        <v>45827</v>
      </c>
      <c r="M254">
        <v>93</v>
      </c>
      <c r="N254">
        <v>3</v>
      </c>
      <c r="O254" t="s">
        <v>25</v>
      </c>
      <c r="P254">
        <v>0.01</v>
      </c>
      <c r="Q254">
        <v>0</v>
      </c>
    </row>
    <row r="255" spans="1:17" x14ac:dyDescent="0.25">
      <c r="A255" t="s">
        <v>297</v>
      </c>
      <c r="B255" t="s">
        <v>298</v>
      </c>
      <c r="C255" t="s">
        <v>105</v>
      </c>
      <c r="D255" t="s">
        <v>20</v>
      </c>
      <c r="E255" t="s">
        <v>299</v>
      </c>
      <c r="F255" s="1">
        <v>45690</v>
      </c>
      <c r="G255" s="1">
        <v>45720</v>
      </c>
      <c r="H255">
        <v>30</v>
      </c>
      <c r="I255">
        <v>16617.5</v>
      </c>
      <c r="J255">
        <v>16617.5</v>
      </c>
      <c r="K255">
        <v>0</v>
      </c>
      <c r="L255" s="1">
        <v>45715</v>
      </c>
      <c r="M255">
        <v>119</v>
      </c>
      <c r="N255">
        <v>89</v>
      </c>
      <c r="O255" t="s">
        <v>25</v>
      </c>
      <c r="P255">
        <v>0.02</v>
      </c>
      <c r="Q255">
        <v>332.35</v>
      </c>
    </row>
    <row r="256" spans="1:17" x14ac:dyDescent="0.25">
      <c r="A256" t="s">
        <v>297</v>
      </c>
      <c r="B256" t="s">
        <v>298</v>
      </c>
      <c r="C256" t="s">
        <v>105</v>
      </c>
      <c r="D256" t="s">
        <v>20</v>
      </c>
      <c r="E256" t="s">
        <v>300</v>
      </c>
      <c r="F256" s="1">
        <v>45690</v>
      </c>
      <c r="G256" s="1">
        <v>45705</v>
      </c>
      <c r="H256">
        <v>15</v>
      </c>
      <c r="I256">
        <v>1068.49</v>
      </c>
      <c r="J256">
        <v>1068.49</v>
      </c>
      <c r="K256">
        <v>0</v>
      </c>
      <c r="L256" s="1">
        <v>45698</v>
      </c>
      <c r="M256">
        <v>119</v>
      </c>
      <c r="N256">
        <v>104</v>
      </c>
      <c r="O256" t="s">
        <v>25</v>
      </c>
      <c r="P256">
        <v>0</v>
      </c>
      <c r="Q256">
        <v>0</v>
      </c>
    </row>
    <row r="257" spans="1:17" x14ac:dyDescent="0.25">
      <c r="A257" t="s">
        <v>297</v>
      </c>
      <c r="B257" t="s">
        <v>298</v>
      </c>
      <c r="C257" t="s">
        <v>105</v>
      </c>
      <c r="D257" t="s">
        <v>20</v>
      </c>
      <c r="E257" t="s">
        <v>301</v>
      </c>
      <c r="F257" s="1">
        <v>45743</v>
      </c>
      <c r="G257" s="1">
        <v>45788</v>
      </c>
      <c r="H257">
        <v>45</v>
      </c>
      <c r="I257">
        <v>25041.55</v>
      </c>
      <c r="J257">
        <v>25041.55</v>
      </c>
      <c r="K257">
        <v>0</v>
      </c>
      <c r="L257" s="1">
        <v>45807</v>
      </c>
      <c r="M257">
        <v>66</v>
      </c>
      <c r="N257">
        <v>21</v>
      </c>
      <c r="O257" t="s">
        <v>25</v>
      </c>
      <c r="P257">
        <v>0</v>
      </c>
      <c r="Q257">
        <v>0</v>
      </c>
    </row>
    <row r="258" spans="1:17" x14ac:dyDescent="0.25">
      <c r="A258" t="s">
        <v>297</v>
      </c>
      <c r="B258" t="s">
        <v>298</v>
      </c>
      <c r="C258" t="s">
        <v>105</v>
      </c>
      <c r="D258" t="s">
        <v>20</v>
      </c>
      <c r="E258" t="s">
        <v>302</v>
      </c>
      <c r="F258" s="1">
        <v>45791</v>
      </c>
      <c r="G258" s="1">
        <v>45806</v>
      </c>
      <c r="H258">
        <v>15</v>
      </c>
      <c r="I258">
        <v>26804.16</v>
      </c>
      <c r="J258">
        <v>0</v>
      </c>
      <c r="K258">
        <v>26804.16</v>
      </c>
      <c r="M258">
        <v>18</v>
      </c>
      <c r="N258">
        <v>3</v>
      </c>
      <c r="O258" t="s">
        <v>36</v>
      </c>
      <c r="P258">
        <v>0.02</v>
      </c>
      <c r="Q258">
        <v>0</v>
      </c>
    </row>
    <row r="259" spans="1:17" x14ac:dyDescent="0.25">
      <c r="A259" t="s">
        <v>297</v>
      </c>
      <c r="B259" t="s">
        <v>298</v>
      </c>
      <c r="C259" t="s">
        <v>105</v>
      </c>
      <c r="D259" t="s">
        <v>20</v>
      </c>
      <c r="E259" t="s">
        <v>303</v>
      </c>
      <c r="F259" s="1">
        <v>45755</v>
      </c>
      <c r="G259" s="1">
        <v>45785</v>
      </c>
      <c r="H259">
        <v>30</v>
      </c>
      <c r="I259">
        <v>18969.71</v>
      </c>
      <c r="J259">
        <v>18969.71</v>
      </c>
      <c r="K259">
        <v>0</v>
      </c>
      <c r="L259" s="1">
        <v>45792</v>
      </c>
      <c r="M259">
        <v>54</v>
      </c>
      <c r="N259">
        <v>24</v>
      </c>
      <c r="O259" t="s">
        <v>25</v>
      </c>
      <c r="P259">
        <v>2.5000000000000001E-2</v>
      </c>
      <c r="Q259">
        <v>0</v>
      </c>
    </row>
    <row r="260" spans="1:17" x14ac:dyDescent="0.25">
      <c r="A260" t="s">
        <v>297</v>
      </c>
      <c r="B260" t="s">
        <v>298</v>
      </c>
      <c r="C260" t="s">
        <v>105</v>
      </c>
      <c r="D260" t="s">
        <v>20</v>
      </c>
      <c r="E260" t="s">
        <v>304</v>
      </c>
      <c r="F260" s="1">
        <v>45792</v>
      </c>
      <c r="G260" s="1">
        <v>45882</v>
      </c>
      <c r="H260">
        <v>90</v>
      </c>
      <c r="I260">
        <v>4649.6000000000004</v>
      </c>
      <c r="J260">
        <v>0</v>
      </c>
      <c r="K260">
        <v>4649.6000000000004</v>
      </c>
      <c r="M260">
        <v>17</v>
      </c>
      <c r="N260">
        <v>0</v>
      </c>
      <c r="O260" t="s">
        <v>22</v>
      </c>
      <c r="P260">
        <v>0</v>
      </c>
      <c r="Q260">
        <v>0</v>
      </c>
    </row>
    <row r="261" spans="1:17" x14ac:dyDescent="0.25">
      <c r="A261" t="s">
        <v>297</v>
      </c>
      <c r="B261" t="s">
        <v>298</v>
      </c>
      <c r="C261" t="s">
        <v>105</v>
      </c>
      <c r="D261" t="s">
        <v>20</v>
      </c>
      <c r="E261" t="s">
        <v>305</v>
      </c>
      <c r="F261" s="1">
        <v>45694</v>
      </c>
      <c r="G261" s="1">
        <v>45754</v>
      </c>
      <c r="H261">
        <v>60</v>
      </c>
      <c r="I261">
        <v>21442.06</v>
      </c>
      <c r="J261">
        <v>21442.06</v>
      </c>
      <c r="K261">
        <v>0</v>
      </c>
      <c r="L261" s="1">
        <v>45708</v>
      </c>
      <c r="M261">
        <v>115</v>
      </c>
      <c r="N261">
        <v>55</v>
      </c>
      <c r="O261" t="s">
        <v>25</v>
      </c>
      <c r="P261">
        <v>0.02</v>
      </c>
      <c r="Q261">
        <v>428.84</v>
      </c>
    </row>
    <row r="262" spans="1:17" x14ac:dyDescent="0.25">
      <c r="A262" t="s">
        <v>297</v>
      </c>
      <c r="B262" t="s">
        <v>298</v>
      </c>
      <c r="C262" t="s">
        <v>105</v>
      </c>
      <c r="D262" t="s">
        <v>20</v>
      </c>
      <c r="E262" t="s">
        <v>306</v>
      </c>
      <c r="F262" s="1">
        <v>45697</v>
      </c>
      <c r="G262" s="1">
        <v>45727</v>
      </c>
      <c r="H262">
        <v>30</v>
      </c>
      <c r="I262">
        <v>59613.75</v>
      </c>
      <c r="J262">
        <v>59613.75</v>
      </c>
      <c r="K262">
        <v>0</v>
      </c>
      <c r="L262" s="1">
        <v>45735</v>
      </c>
      <c r="M262">
        <v>112</v>
      </c>
      <c r="N262">
        <v>82</v>
      </c>
      <c r="O262" t="s">
        <v>25</v>
      </c>
      <c r="P262">
        <v>0.02</v>
      </c>
      <c r="Q262">
        <v>0</v>
      </c>
    </row>
    <row r="263" spans="1:17" x14ac:dyDescent="0.25">
      <c r="A263" t="s">
        <v>297</v>
      </c>
      <c r="B263" t="s">
        <v>298</v>
      </c>
      <c r="C263" t="s">
        <v>105</v>
      </c>
      <c r="D263" t="s">
        <v>20</v>
      </c>
      <c r="E263" t="s">
        <v>307</v>
      </c>
      <c r="F263" s="1">
        <v>45777</v>
      </c>
      <c r="G263" s="1">
        <v>45822</v>
      </c>
      <c r="H263">
        <v>45</v>
      </c>
      <c r="I263">
        <v>76000.39</v>
      </c>
      <c r="J263">
        <v>0</v>
      </c>
      <c r="K263">
        <v>76000.39</v>
      </c>
      <c r="M263">
        <v>32</v>
      </c>
      <c r="N263">
        <v>0</v>
      </c>
      <c r="O263" t="s">
        <v>22</v>
      </c>
      <c r="P263">
        <v>0</v>
      </c>
      <c r="Q263">
        <v>0</v>
      </c>
    </row>
    <row r="264" spans="1:17" x14ac:dyDescent="0.25">
      <c r="A264" t="s">
        <v>297</v>
      </c>
      <c r="B264" t="s">
        <v>298</v>
      </c>
      <c r="C264" t="s">
        <v>105</v>
      </c>
      <c r="D264" t="s">
        <v>20</v>
      </c>
      <c r="E264" t="s">
        <v>308</v>
      </c>
      <c r="F264" s="1">
        <v>45785</v>
      </c>
      <c r="G264" s="1">
        <v>45875</v>
      </c>
      <c r="H264">
        <v>90</v>
      </c>
      <c r="I264">
        <v>54595.37</v>
      </c>
      <c r="J264">
        <v>0</v>
      </c>
      <c r="K264">
        <v>54595.37</v>
      </c>
      <c r="M264">
        <v>24</v>
      </c>
      <c r="N264">
        <v>0</v>
      </c>
      <c r="O264" t="s">
        <v>22</v>
      </c>
      <c r="P264">
        <v>0</v>
      </c>
      <c r="Q264">
        <v>0</v>
      </c>
    </row>
    <row r="265" spans="1:17" x14ac:dyDescent="0.25">
      <c r="A265" t="s">
        <v>297</v>
      </c>
      <c r="B265" t="s">
        <v>298</v>
      </c>
      <c r="C265" t="s">
        <v>105</v>
      </c>
      <c r="D265" t="s">
        <v>20</v>
      </c>
      <c r="E265" t="s">
        <v>309</v>
      </c>
      <c r="F265" s="1">
        <v>45635</v>
      </c>
      <c r="G265" s="1">
        <v>45695</v>
      </c>
      <c r="H265">
        <v>60</v>
      </c>
      <c r="I265">
        <v>15398.52</v>
      </c>
      <c r="J265">
        <v>15398.52</v>
      </c>
      <c r="K265">
        <v>0</v>
      </c>
      <c r="L265" s="1">
        <v>45718</v>
      </c>
      <c r="M265">
        <v>174</v>
      </c>
      <c r="N265">
        <v>114</v>
      </c>
      <c r="O265" t="s">
        <v>25</v>
      </c>
      <c r="P265">
        <v>0</v>
      </c>
      <c r="Q265">
        <v>0</v>
      </c>
    </row>
    <row r="266" spans="1:17" x14ac:dyDescent="0.25">
      <c r="A266" t="s">
        <v>297</v>
      </c>
      <c r="B266" t="s">
        <v>298</v>
      </c>
      <c r="C266" t="s">
        <v>105</v>
      </c>
      <c r="D266" t="s">
        <v>20</v>
      </c>
      <c r="E266" t="s">
        <v>310</v>
      </c>
      <c r="F266" s="1">
        <v>45741</v>
      </c>
      <c r="G266" s="1">
        <v>45786</v>
      </c>
      <c r="H266">
        <v>45</v>
      </c>
      <c r="I266">
        <v>35884.89</v>
      </c>
      <c r="J266">
        <v>35884.89</v>
      </c>
      <c r="K266">
        <v>0</v>
      </c>
      <c r="L266" s="1">
        <v>45766</v>
      </c>
      <c r="M266">
        <v>68</v>
      </c>
      <c r="N266">
        <v>23</v>
      </c>
      <c r="O266" t="s">
        <v>25</v>
      </c>
      <c r="P266">
        <v>2.5000000000000001E-2</v>
      </c>
      <c r="Q266">
        <v>897.12</v>
      </c>
    </row>
    <row r="267" spans="1:17" x14ac:dyDescent="0.25">
      <c r="A267" t="s">
        <v>297</v>
      </c>
      <c r="B267" t="s">
        <v>298</v>
      </c>
      <c r="C267" t="s">
        <v>105</v>
      </c>
      <c r="D267" t="s">
        <v>20</v>
      </c>
      <c r="E267" t="s">
        <v>311</v>
      </c>
      <c r="F267" s="1">
        <v>45753</v>
      </c>
      <c r="G267" s="1">
        <v>45813</v>
      </c>
      <c r="H267">
        <v>60</v>
      </c>
      <c r="I267">
        <v>25365.48</v>
      </c>
      <c r="J267">
        <v>0</v>
      </c>
      <c r="K267">
        <v>25365.48</v>
      </c>
      <c r="M267">
        <v>56</v>
      </c>
      <c r="N267">
        <v>0</v>
      </c>
      <c r="O267" t="s">
        <v>22</v>
      </c>
      <c r="P267">
        <v>2.5000000000000001E-2</v>
      </c>
      <c r="Q267">
        <v>0</v>
      </c>
    </row>
    <row r="268" spans="1:17" x14ac:dyDescent="0.25">
      <c r="A268" t="s">
        <v>297</v>
      </c>
      <c r="B268" t="s">
        <v>298</v>
      </c>
      <c r="C268" t="s">
        <v>105</v>
      </c>
      <c r="D268" t="s">
        <v>20</v>
      </c>
      <c r="E268" t="s">
        <v>312</v>
      </c>
      <c r="F268" s="1">
        <v>45738</v>
      </c>
      <c r="G268" s="1">
        <v>45783</v>
      </c>
      <c r="H268">
        <v>45</v>
      </c>
      <c r="I268">
        <v>39766.44</v>
      </c>
      <c r="J268">
        <v>39766.44</v>
      </c>
      <c r="K268">
        <v>0</v>
      </c>
      <c r="L268" s="1">
        <v>45806</v>
      </c>
      <c r="M268">
        <v>71</v>
      </c>
      <c r="N268">
        <v>26</v>
      </c>
      <c r="O268" t="s">
        <v>25</v>
      </c>
      <c r="P268">
        <v>0.01</v>
      </c>
      <c r="Q268">
        <v>0</v>
      </c>
    </row>
    <row r="269" spans="1:17" x14ac:dyDescent="0.25">
      <c r="A269" t="s">
        <v>297</v>
      </c>
      <c r="B269" t="s">
        <v>298</v>
      </c>
      <c r="C269" t="s">
        <v>105</v>
      </c>
      <c r="D269" t="s">
        <v>20</v>
      </c>
      <c r="E269" t="s">
        <v>313</v>
      </c>
      <c r="F269" s="1">
        <v>45641</v>
      </c>
      <c r="G269" s="1">
        <v>45731</v>
      </c>
      <c r="H269">
        <v>90</v>
      </c>
      <c r="I269">
        <v>11989.86</v>
      </c>
      <c r="J269">
        <v>0</v>
      </c>
      <c r="K269">
        <v>11989.86</v>
      </c>
      <c r="M269">
        <v>168</v>
      </c>
      <c r="N269">
        <v>78</v>
      </c>
      <c r="O269" t="s">
        <v>36</v>
      </c>
      <c r="P269">
        <v>0.01</v>
      </c>
      <c r="Q269">
        <v>0</v>
      </c>
    </row>
    <row r="270" spans="1:17" x14ac:dyDescent="0.25">
      <c r="A270" t="s">
        <v>297</v>
      </c>
      <c r="B270" t="s">
        <v>298</v>
      </c>
      <c r="C270" t="s">
        <v>105</v>
      </c>
      <c r="D270" t="s">
        <v>20</v>
      </c>
      <c r="E270" t="s">
        <v>314</v>
      </c>
      <c r="F270" s="1">
        <v>45661</v>
      </c>
      <c r="G270" s="1">
        <v>45721</v>
      </c>
      <c r="H270">
        <v>60</v>
      </c>
      <c r="I270">
        <v>69554.2</v>
      </c>
      <c r="J270">
        <v>21288.31</v>
      </c>
      <c r="K270">
        <v>48265.89</v>
      </c>
      <c r="L270" s="1">
        <v>45740</v>
      </c>
      <c r="M270">
        <v>148</v>
      </c>
      <c r="N270">
        <v>88</v>
      </c>
      <c r="O270" t="s">
        <v>29</v>
      </c>
      <c r="P270">
        <v>0.02</v>
      </c>
      <c r="Q270">
        <v>0</v>
      </c>
    </row>
    <row r="271" spans="1:17" x14ac:dyDescent="0.25">
      <c r="A271" t="s">
        <v>297</v>
      </c>
      <c r="B271" t="s">
        <v>298</v>
      </c>
      <c r="C271" t="s">
        <v>105</v>
      </c>
      <c r="D271" t="s">
        <v>20</v>
      </c>
      <c r="E271" t="s">
        <v>315</v>
      </c>
      <c r="F271" s="1">
        <v>45713</v>
      </c>
      <c r="G271" s="1">
        <v>45743</v>
      </c>
      <c r="H271">
        <v>30</v>
      </c>
      <c r="I271">
        <v>21552.35</v>
      </c>
      <c r="J271">
        <v>21552.35</v>
      </c>
      <c r="K271">
        <v>0</v>
      </c>
      <c r="L271" s="1">
        <v>45714</v>
      </c>
      <c r="M271">
        <v>96</v>
      </c>
      <c r="N271">
        <v>66</v>
      </c>
      <c r="O271" t="s">
        <v>25</v>
      </c>
      <c r="P271">
        <v>0.02</v>
      </c>
      <c r="Q271">
        <v>431.05</v>
      </c>
    </row>
    <row r="272" spans="1:17" x14ac:dyDescent="0.25">
      <c r="A272" t="s">
        <v>297</v>
      </c>
      <c r="B272" t="s">
        <v>298</v>
      </c>
      <c r="C272" t="s">
        <v>105</v>
      </c>
      <c r="D272" t="s">
        <v>20</v>
      </c>
      <c r="E272" t="s">
        <v>316</v>
      </c>
      <c r="F272" s="1">
        <v>45729</v>
      </c>
      <c r="G272" s="1">
        <v>45789</v>
      </c>
      <c r="H272">
        <v>60</v>
      </c>
      <c r="I272">
        <v>54177.93</v>
      </c>
      <c r="J272">
        <v>54177.93</v>
      </c>
      <c r="K272">
        <v>0</v>
      </c>
      <c r="L272" s="1">
        <v>45817</v>
      </c>
      <c r="M272">
        <v>80</v>
      </c>
      <c r="N272">
        <v>20</v>
      </c>
      <c r="O272" t="s">
        <v>25</v>
      </c>
      <c r="P272">
        <v>0.01</v>
      </c>
      <c r="Q272">
        <v>0</v>
      </c>
    </row>
    <row r="273" spans="1:17" x14ac:dyDescent="0.25">
      <c r="A273" t="s">
        <v>297</v>
      </c>
      <c r="B273" t="s">
        <v>298</v>
      </c>
      <c r="C273" t="s">
        <v>105</v>
      </c>
      <c r="D273" t="s">
        <v>20</v>
      </c>
      <c r="E273" t="s">
        <v>317</v>
      </c>
      <c r="F273" s="1">
        <v>45773</v>
      </c>
      <c r="G273" s="1">
        <v>45833</v>
      </c>
      <c r="H273">
        <v>60</v>
      </c>
      <c r="I273">
        <v>14913.24</v>
      </c>
      <c r="J273">
        <v>0</v>
      </c>
      <c r="K273">
        <v>14913.24</v>
      </c>
      <c r="M273">
        <v>36</v>
      </c>
      <c r="N273">
        <v>0</v>
      </c>
      <c r="O273" t="s">
        <v>22</v>
      </c>
      <c r="P273">
        <v>0</v>
      </c>
      <c r="Q273">
        <v>0</v>
      </c>
    </row>
    <row r="274" spans="1:17" x14ac:dyDescent="0.25">
      <c r="A274" t="s">
        <v>297</v>
      </c>
      <c r="B274" t="s">
        <v>298</v>
      </c>
      <c r="C274" t="s">
        <v>105</v>
      </c>
      <c r="D274" t="s">
        <v>20</v>
      </c>
      <c r="E274" t="s">
        <v>318</v>
      </c>
      <c r="F274" s="1">
        <v>45652</v>
      </c>
      <c r="G274" s="1">
        <v>45712</v>
      </c>
      <c r="H274">
        <v>60</v>
      </c>
      <c r="I274">
        <v>19291.68</v>
      </c>
      <c r="J274">
        <v>0</v>
      </c>
      <c r="K274">
        <v>19291.68</v>
      </c>
      <c r="M274">
        <v>157</v>
      </c>
      <c r="N274">
        <v>97</v>
      </c>
      <c r="O274" t="s">
        <v>36</v>
      </c>
      <c r="P274">
        <v>0</v>
      </c>
      <c r="Q274">
        <v>0</v>
      </c>
    </row>
    <row r="275" spans="1:17" x14ac:dyDescent="0.25">
      <c r="A275" t="s">
        <v>297</v>
      </c>
      <c r="B275" t="s">
        <v>298</v>
      </c>
      <c r="C275" t="s">
        <v>105</v>
      </c>
      <c r="D275" t="s">
        <v>20</v>
      </c>
      <c r="E275" t="s">
        <v>319</v>
      </c>
      <c r="F275" s="1">
        <v>45655</v>
      </c>
      <c r="G275" s="1">
        <v>45745</v>
      </c>
      <c r="H275">
        <v>90</v>
      </c>
      <c r="I275">
        <v>55084.05</v>
      </c>
      <c r="J275">
        <v>55084.05</v>
      </c>
      <c r="K275">
        <v>0</v>
      </c>
      <c r="L275" s="1">
        <v>45662</v>
      </c>
      <c r="M275">
        <v>154</v>
      </c>
      <c r="N275">
        <v>64</v>
      </c>
      <c r="O275" t="s">
        <v>25</v>
      </c>
      <c r="P275">
        <v>0.01</v>
      </c>
      <c r="Q275">
        <v>550.84</v>
      </c>
    </row>
    <row r="276" spans="1:17" x14ac:dyDescent="0.25">
      <c r="A276" t="s">
        <v>297</v>
      </c>
      <c r="B276" t="s">
        <v>298</v>
      </c>
      <c r="C276" t="s">
        <v>105</v>
      </c>
      <c r="D276" t="s">
        <v>20</v>
      </c>
      <c r="E276" t="s">
        <v>320</v>
      </c>
      <c r="F276" s="1">
        <v>45724</v>
      </c>
      <c r="G276" s="1">
        <v>45784</v>
      </c>
      <c r="H276">
        <v>60</v>
      </c>
      <c r="I276">
        <v>42274.06</v>
      </c>
      <c r="J276">
        <v>42274.06</v>
      </c>
      <c r="K276">
        <v>0</v>
      </c>
      <c r="L276" s="1">
        <v>45740</v>
      </c>
      <c r="M276">
        <v>85</v>
      </c>
      <c r="N276">
        <v>25</v>
      </c>
      <c r="O276" t="s">
        <v>25</v>
      </c>
      <c r="P276">
        <v>0.02</v>
      </c>
      <c r="Q276">
        <v>845.48</v>
      </c>
    </row>
    <row r="277" spans="1:17" x14ac:dyDescent="0.25">
      <c r="A277" t="s">
        <v>297</v>
      </c>
      <c r="B277" t="s">
        <v>298</v>
      </c>
      <c r="C277" t="s">
        <v>105</v>
      </c>
      <c r="D277" t="s">
        <v>20</v>
      </c>
      <c r="E277" t="s">
        <v>321</v>
      </c>
      <c r="F277" s="1">
        <v>45720</v>
      </c>
      <c r="G277" s="1">
        <v>45810</v>
      </c>
      <c r="H277">
        <v>90</v>
      </c>
      <c r="I277">
        <v>66113.98</v>
      </c>
      <c r="J277">
        <v>0</v>
      </c>
      <c r="K277">
        <v>66113.98</v>
      </c>
      <c r="M277">
        <v>89</v>
      </c>
      <c r="N277">
        <v>0</v>
      </c>
      <c r="O277" t="s">
        <v>22</v>
      </c>
      <c r="P277">
        <v>0</v>
      </c>
      <c r="Q277">
        <v>0</v>
      </c>
    </row>
    <row r="278" spans="1:17" x14ac:dyDescent="0.25">
      <c r="A278" t="s">
        <v>297</v>
      </c>
      <c r="B278" t="s">
        <v>298</v>
      </c>
      <c r="C278" t="s">
        <v>105</v>
      </c>
      <c r="D278" t="s">
        <v>20</v>
      </c>
      <c r="E278" t="s">
        <v>322</v>
      </c>
      <c r="F278" s="1">
        <v>45687</v>
      </c>
      <c r="G278" s="1">
        <v>45717</v>
      </c>
      <c r="H278">
        <v>30</v>
      </c>
      <c r="I278">
        <v>70852.89</v>
      </c>
      <c r="J278">
        <v>0</v>
      </c>
      <c r="K278">
        <v>70852.89</v>
      </c>
      <c r="M278">
        <v>122</v>
      </c>
      <c r="N278">
        <v>92</v>
      </c>
      <c r="O278" t="s">
        <v>36</v>
      </c>
      <c r="P278">
        <v>0.01</v>
      </c>
      <c r="Q278">
        <v>0</v>
      </c>
    </row>
    <row r="279" spans="1:17" x14ac:dyDescent="0.25">
      <c r="A279" t="s">
        <v>297</v>
      </c>
      <c r="B279" t="s">
        <v>298</v>
      </c>
      <c r="C279" t="s">
        <v>105</v>
      </c>
      <c r="D279" t="s">
        <v>20</v>
      </c>
      <c r="E279" t="s">
        <v>323</v>
      </c>
      <c r="F279" s="1">
        <v>45636</v>
      </c>
      <c r="G279" s="1">
        <v>45651</v>
      </c>
      <c r="H279">
        <v>15</v>
      </c>
      <c r="I279">
        <v>12504.64</v>
      </c>
      <c r="J279">
        <v>12504.64</v>
      </c>
      <c r="K279">
        <v>0</v>
      </c>
      <c r="L279" s="1">
        <v>45663</v>
      </c>
      <c r="M279">
        <v>173</v>
      </c>
      <c r="N279">
        <v>158</v>
      </c>
      <c r="O279" t="s">
        <v>25</v>
      </c>
      <c r="P279">
        <v>0.01</v>
      </c>
      <c r="Q279">
        <v>0</v>
      </c>
    </row>
    <row r="280" spans="1:17" x14ac:dyDescent="0.25">
      <c r="A280" t="s">
        <v>297</v>
      </c>
      <c r="B280" t="s">
        <v>298</v>
      </c>
      <c r="C280" t="s">
        <v>105</v>
      </c>
      <c r="D280" t="s">
        <v>20</v>
      </c>
      <c r="E280" t="s">
        <v>324</v>
      </c>
      <c r="F280" s="1">
        <v>45766</v>
      </c>
      <c r="G280" s="1">
        <v>45811</v>
      </c>
      <c r="H280">
        <v>45</v>
      </c>
      <c r="I280">
        <v>15656.8</v>
      </c>
      <c r="J280">
        <v>0</v>
      </c>
      <c r="K280">
        <v>15656.8</v>
      </c>
      <c r="M280">
        <v>43</v>
      </c>
      <c r="N280">
        <v>0</v>
      </c>
      <c r="O280" t="s">
        <v>22</v>
      </c>
      <c r="P280">
        <v>0</v>
      </c>
      <c r="Q280">
        <v>0</v>
      </c>
    </row>
    <row r="281" spans="1:17" x14ac:dyDescent="0.25">
      <c r="A281" t="s">
        <v>297</v>
      </c>
      <c r="B281" t="s">
        <v>298</v>
      </c>
      <c r="C281" t="s">
        <v>105</v>
      </c>
      <c r="D281" t="s">
        <v>20</v>
      </c>
      <c r="E281" t="s">
        <v>325</v>
      </c>
      <c r="F281" s="1">
        <v>45737</v>
      </c>
      <c r="G281" s="1">
        <v>45752</v>
      </c>
      <c r="H281">
        <v>15</v>
      </c>
      <c r="I281">
        <v>6117.05</v>
      </c>
      <c r="J281">
        <v>0</v>
      </c>
      <c r="K281">
        <v>6117.05</v>
      </c>
      <c r="M281">
        <v>72</v>
      </c>
      <c r="N281">
        <v>57</v>
      </c>
      <c r="O281" t="s">
        <v>36</v>
      </c>
      <c r="P281">
        <v>0.02</v>
      </c>
      <c r="Q281">
        <v>0</v>
      </c>
    </row>
    <row r="282" spans="1:17" x14ac:dyDescent="0.25">
      <c r="A282" t="s">
        <v>297</v>
      </c>
      <c r="B282" t="s">
        <v>298</v>
      </c>
      <c r="C282" t="s">
        <v>105</v>
      </c>
      <c r="D282" t="s">
        <v>20</v>
      </c>
      <c r="E282" t="s">
        <v>326</v>
      </c>
      <c r="F282" s="1">
        <v>45701</v>
      </c>
      <c r="G282" s="1">
        <v>45731</v>
      </c>
      <c r="H282">
        <v>30</v>
      </c>
      <c r="I282">
        <v>26612.79</v>
      </c>
      <c r="J282">
        <v>26612.79</v>
      </c>
      <c r="K282">
        <v>0</v>
      </c>
      <c r="L282" s="1">
        <v>45718</v>
      </c>
      <c r="M282">
        <v>108</v>
      </c>
      <c r="N282">
        <v>78</v>
      </c>
      <c r="O282" t="s">
        <v>25</v>
      </c>
      <c r="P282">
        <v>2.5000000000000001E-2</v>
      </c>
      <c r="Q282">
        <v>665.32</v>
      </c>
    </row>
    <row r="283" spans="1:17" x14ac:dyDescent="0.25">
      <c r="A283" t="s">
        <v>297</v>
      </c>
      <c r="B283" t="s">
        <v>298</v>
      </c>
      <c r="C283" t="s">
        <v>105</v>
      </c>
      <c r="D283" t="s">
        <v>20</v>
      </c>
      <c r="E283" t="s">
        <v>327</v>
      </c>
      <c r="F283" s="1">
        <v>45782</v>
      </c>
      <c r="G283" s="1">
        <v>45872</v>
      </c>
      <c r="H283">
        <v>90</v>
      </c>
      <c r="I283">
        <v>32863.870000000003</v>
      </c>
      <c r="J283">
        <v>0</v>
      </c>
      <c r="K283">
        <v>32863.870000000003</v>
      </c>
      <c r="M283">
        <v>27</v>
      </c>
      <c r="N283">
        <v>0</v>
      </c>
      <c r="O283" t="s">
        <v>22</v>
      </c>
      <c r="P283">
        <v>0</v>
      </c>
      <c r="Q283">
        <v>0</v>
      </c>
    </row>
    <row r="284" spans="1:17" x14ac:dyDescent="0.25">
      <c r="A284" t="s">
        <v>297</v>
      </c>
      <c r="B284" t="s">
        <v>298</v>
      </c>
      <c r="C284" t="s">
        <v>105</v>
      </c>
      <c r="D284" t="s">
        <v>20</v>
      </c>
      <c r="E284" t="s">
        <v>328</v>
      </c>
      <c r="F284" s="1">
        <v>45804</v>
      </c>
      <c r="G284" s="1">
        <v>45864</v>
      </c>
      <c r="H284">
        <v>60</v>
      </c>
      <c r="I284">
        <v>67871.17</v>
      </c>
      <c r="J284">
        <v>0</v>
      </c>
      <c r="K284">
        <v>67871.17</v>
      </c>
      <c r="M284">
        <v>5</v>
      </c>
      <c r="N284">
        <v>0</v>
      </c>
      <c r="O284" t="s">
        <v>22</v>
      </c>
      <c r="P284">
        <v>0</v>
      </c>
      <c r="Q284">
        <v>0</v>
      </c>
    </row>
    <row r="285" spans="1:17" x14ac:dyDescent="0.25">
      <c r="A285" t="s">
        <v>297</v>
      </c>
      <c r="B285" t="s">
        <v>298</v>
      </c>
      <c r="C285" t="s">
        <v>105</v>
      </c>
      <c r="D285" t="s">
        <v>20</v>
      </c>
      <c r="E285" t="s">
        <v>329</v>
      </c>
      <c r="F285" s="1">
        <v>45769</v>
      </c>
      <c r="G285" s="1">
        <v>45799</v>
      </c>
      <c r="H285">
        <v>30</v>
      </c>
      <c r="I285">
        <v>66784.460000000006</v>
      </c>
      <c r="J285">
        <v>9752.7800000000007</v>
      </c>
      <c r="K285">
        <v>57031.68</v>
      </c>
      <c r="L285" s="1">
        <v>45781</v>
      </c>
      <c r="M285">
        <v>40</v>
      </c>
      <c r="N285">
        <v>10</v>
      </c>
      <c r="O285" t="s">
        <v>29</v>
      </c>
      <c r="P285">
        <v>2.5000000000000001E-2</v>
      </c>
      <c r="Q285">
        <v>0</v>
      </c>
    </row>
    <row r="286" spans="1:17" x14ac:dyDescent="0.25">
      <c r="A286" t="s">
        <v>297</v>
      </c>
      <c r="B286" t="s">
        <v>298</v>
      </c>
      <c r="C286" t="s">
        <v>105</v>
      </c>
      <c r="D286" t="s">
        <v>20</v>
      </c>
      <c r="E286" t="s">
        <v>330</v>
      </c>
      <c r="F286" s="1">
        <v>45681</v>
      </c>
      <c r="G286" s="1">
        <v>45741</v>
      </c>
      <c r="H286">
        <v>60</v>
      </c>
      <c r="I286">
        <v>31246.97</v>
      </c>
      <c r="J286">
        <v>0</v>
      </c>
      <c r="K286">
        <v>31246.97</v>
      </c>
      <c r="M286">
        <v>128</v>
      </c>
      <c r="N286">
        <v>68</v>
      </c>
      <c r="O286" t="s">
        <v>36</v>
      </c>
      <c r="P286">
        <v>2.5000000000000001E-2</v>
      </c>
      <c r="Q286">
        <v>0</v>
      </c>
    </row>
    <row r="287" spans="1:17" x14ac:dyDescent="0.25">
      <c r="A287" t="s">
        <v>297</v>
      </c>
      <c r="B287" t="s">
        <v>298</v>
      </c>
      <c r="C287" t="s">
        <v>105</v>
      </c>
      <c r="D287" t="s">
        <v>20</v>
      </c>
      <c r="E287" t="s">
        <v>331</v>
      </c>
      <c r="F287" s="1">
        <v>45693</v>
      </c>
      <c r="G287" s="1">
        <v>45723</v>
      </c>
      <c r="H287">
        <v>30</v>
      </c>
      <c r="I287">
        <v>47385.85</v>
      </c>
      <c r="J287">
        <v>47385.85</v>
      </c>
      <c r="K287">
        <v>0</v>
      </c>
      <c r="L287" s="1">
        <v>45696</v>
      </c>
      <c r="M287">
        <v>116</v>
      </c>
      <c r="N287">
        <v>86</v>
      </c>
      <c r="O287" t="s">
        <v>25</v>
      </c>
      <c r="P287">
        <v>0.02</v>
      </c>
      <c r="Q287">
        <v>947.72</v>
      </c>
    </row>
    <row r="288" spans="1:17" x14ac:dyDescent="0.25">
      <c r="A288" t="s">
        <v>297</v>
      </c>
      <c r="B288" t="s">
        <v>298</v>
      </c>
      <c r="C288" t="s">
        <v>105</v>
      </c>
      <c r="D288" t="s">
        <v>20</v>
      </c>
      <c r="E288" t="s">
        <v>332</v>
      </c>
      <c r="F288" s="1">
        <v>45655</v>
      </c>
      <c r="G288" s="1">
        <v>45685</v>
      </c>
      <c r="H288">
        <v>30</v>
      </c>
      <c r="I288">
        <v>39954.699999999997</v>
      </c>
      <c r="J288">
        <v>39954.699999999997</v>
      </c>
      <c r="K288">
        <v>0</v>
      </c>
      <c r="L288" s="1">
        <v>45683</v>
      </c>
      <c r="M288">
        <v>154</v>
      </c>
      <c r="N288">
        <v>124</v>
      </c>
      <c r="O288" t="s">
        <v>25</v>
      </c>
      <c r="P288">
        <v>0.02</v>
      </c>
      <c r="Q288">
        <v>0</v>
      </c>
    </row>
    <row r="289" spans="1:17" x14ac:dyDescent="0.25">
      <c r="A289" t="s">
        <v>297</v>
      </c>
      <c r="B289" t="s">
        <v>298</v>
      </c>
      <c r="C289" t="s">
        <v>105</v>
      </c>
      <c r="D289" t="s">
        <v>20</v>
      </c>
      <c r="E289" t="s">
        <v>333</v>
      </c>
      <c r="F289" s="1">
        <v>45691</v>
      </c>
      <c r="G289" s="1">
        <v>45781</v>
      </c>
      <c r="H289">
        <v>90</v>
      </c>
      <c r="I289">
        <v>31560.68</v>
      </c>
      <c r="J289">
        <v>0</v>
      </c>
      <c r="K289">
        <v>31560.68</v>
      </c>
      <c r="M289">
        <v>118</v>
      </c>
      <c r="N289">
        <v>28</v>
      </c>
      <c r="O289" t="s">
        <v>36</v>
      </c>
      <c r="P289">
        <v>0</v>
      </c>
      <c r="Q289">
        <v>0</v>
      </c>
    </row>
    <row r="290" spans="1:17" x14ac:dyDescent="0.25">
      <c r="A290" t="s">
        <v>297</v>
      </c>
      <c r="B290" t="s">
        <v>298</v>
      </c>
      <c r="C290" t="s">
        <v>105</v>
      </c>
      <c r="D290" t="s">
        <v>20</v>
      </c>
      <c r="E290" t="s">
        <v>334</v>
      </c>
      <c r="F290" s="1">
        <v>45725</v>
      </c>
      <c r="G290" s="1">
        <v>45740</v>
      </c>
      <c r="H290">
        <v>15</v>
      </c>
      <c r="I290">
        <v>1009.81</v>
      </c>
      <c r="J290">
        <v>0</v>
      </c>
      <c r="K290">
        <v>1009.81</v>
      </c>
      <c r="M290">
        <v>84</v>
      </c>
      <c r="N290">
        <v>69</v>
      </c>
      <c r="O290" t="s">
        <v>36</v>
      </c>
      <c r="P290">
        <v>0</v>
      </c>
      <c r="Q290">
        <v>0</v>
      </c>
    </row>
    <row r="291" spans="1:17" x14ac:dyDescent="0.25">
      <c r="A291" t="s">
        <v>297</v>
      </c>
      <c r="B291" t="s">
        <v>298</v>
      </c>
      <c r="C291" t="s">
        <v>105</v>
      </c>
      <c r="D291" t="s">
        <v>20</v>
      </c>
      <c r="E291" t="s">
        <v>335</v>
      </c>
      <c r="F291" s="1">
        <v>45791</v>
      </c>
      <c r="G291" s="1">
        <v>45851</v>
      </c>
      <c r="H291">
        <v>60</v>
      </c>
      <c r="I291">
        <v>30771.57</v>
      </c>
      <c r="J291">
        <v>0</v>
      </c>
      <c r="K291">
        <v>30771.57</v>
      </c>
      <c r="M291">
        <v>18</v>
      </c>
      <c r="N291">
        <v>0</v>
      </c>
      <c r="O291" t="s">
        <v>22</v>
      </c>
      <c r="P291">
        <v>0.02</v>
      </c>
      <c r="Q291">
        <v>0</v>
      </c>
    </row>
    <row r="292" spans="1:17" x14ac:dyDescent="0.25">
      <c r="A292" t="s">
        <v>297</v>
      </c>
      <c r="B292" t="s">
        <v>298</v>
      </c>
      <c r="C292" t="s">
        <v>105</v>
      </c>
      <c r="D292" t="s">
        <v>20</v>
      </c>
      <c r="E292" t="s">
        <v>336</v>
      </c>
      <c r="F292" s="1">
        <v>45636</v>
      </c>
      <c r="G292" s="1">
        <v>45696</v>
      </c>
      <c r="H292">
        <v>60</v>
      </c>
      <c r="I292">
        <v>10756.16</v>
      </c>
      <c r="J292">
        <v>2015.08</v>
      </c>
      <c r="K292">
        <v>8741.08</v>
      </c>
      <c r="L292" s="1">
        <v>45752</v>
      </c>
      <c r="M292">
        <v>173</v>
      </c>
      <c r="N292">
        <v>113</v>
      </c>
      <c r="O292" t="s">
        <v>29</v>
      </c>
      <c r="P292">
        <v>0.01</v>
      </c>
      <c r="Q292">
        <v>0</v>
      </c>
    </row>
    <row r="293" spans="1:17" x14ac:dyDescent="0.25">
      <c r="A293" t="s">
        <v>297</v>
      </c>
      <c r="B293" t="s">
        <v>298</v>
      </c>
      <c r="C293" t="s">
        <v>105</v>
      </c>
      <c r="D293" t="s">
        <v>20</v>
      </c>
      <c r="E293" t="s">
        <v>337</v>
      </c>
      <c r="F293" s="1">
        <v>45750</v>
      </c>
      <c r="G293" s="1">
        <v>45780</v>
      </c>
      <c r="H293">
        <v>30</v>
      </c>
      <c r="I293">
        <v>53942.65</v>
      </c>
      <c r="J293">
        <v>53942.65</v>
      </c>
      <c r="K293">
        <v>0</v>
      </c>
      <c r="L293" s="1">
        <v>45758</v>
      </c>
      <c r="M293">
        <v>59</v>
      </c>
      <c r="N293">
        <v>29</v>
      </c>
      <c r="O293" t="s">
        <v>25</v>
      </c>
      <c r="P293">
        <v>2.5000000000000001E-2</v>
      </c>
      <c r="Q293">
        <v>1348.57</v>
      </c>
    </row>
    <row r="294" spans="1:17" x14ac:dyDescent="0.25">
      <c r="A294" t="s">
        <v>297</v>
      </c>
      <c r="B294" t="s">
        <v>298</v>
      </c>
      <c r="C294" t="s">
        <v>105</v>
      </c>
      <c r="D294" t="s">
        <v>20</v>
      </c>
      <c r="E294" t="s">
        <v>338</v>
      </c>
      <c r="F294" s="1">
        <v>45795</v>
      </c>
      <c r="G294" s="1">
        <v>45810</v>
      </c>
      <c r="H294">
        <v>15</v>
      </c>
      <c r="I294">
        <v>4842.09</v>
      </c>
      <c r="J294">
        <v>0</v>
      </c>
      <c r="K294">
        <v>4842.09</v>
      </c>
      <c r="M294">
        <v>14</v>
      </c>
      <c r="N294">
        <v>0</v>
      </c>
      <c r="O294" t="s">
        <v>22</v>
      </c>
      <c r="P294">
        <v>0.01</v>
      </c>
      <c r="Q294">
        <v>0</v>
      </c>
    </row>
    <row r="295" spans="1:17" x14ac:dyDescent="0.25">
      <c r="A295" t="s">
        <v>297</v>
      </c>
      <c r="B295" t="s">
        <v>298</v>
      </c>
      <c r="C295" t="s">
        <v>105</v>
      </c>
      <c r="D295" t="s">
        <v>20</v>
      </c>
      <c r="E295" t="s">
        <v>339</v>
      </c>
      <c r="F295" s="1">
        <v>45658</v>
      </c>
      <c r="G295" s="1">
        <v>45673</v>
      </c>
      <c r="H295">
        <v>15</v>
      </c>
      <c r="I295">
        <v>26499.99</v>
      </c>
      <c r="J295">
        <v>0</v>
      </c>
      <c r="K295">
        <v>26499.99</v>
      </c>
      <c r="M295">
        <v>151</v>
      </c>
      <c r="N295">
        <v>136</v>
      </c>
      <c r="O295" t="s">
        <v>36</v>
      </c>
      <c r="P295">
        <v>0.01</v>
      </c>
      <c r="Q295">
        <v>0</v>
      </c>
    </row>
    <row r="296" spans="1:17" x14ac:dyDescent="0.25">
      <c r="A296" t="s">
        <v>297</v>
      </c>
      <c r="B296" t="s">
        <v>298</v>
      </c>
      <c r="C296" t="s">
        <v>105</v>
      </c>
      <c r="D296" t="s">
        <v>20</v>
      </c>
      <c r="E296" t="s">
        <v>340</v>
      </c>
      <c r="F296" s="1">
        <v>45635</v>
      </c>
      <c r="G296" s="1">
        <v>45725</v>
      </c>
      <c r="H296">
        <v>90</v>
      </c>
      <c r="I296">
        <v>60063.9</v>
      </c>
      <c r="J296">
        <v>35876.269999999997</v>
      </c>
      <c r="K296">
        <v>24187.63</v>
      </c>
      <c r="L296" s="1">
        <v>45651</v>
      </c>
      <c r="M296">
        <v>174</v>
      </c>
      <c r="N296">
        <v>84</v>
      </c>
      <c r="O296" t="s">
        <v>29</v>
      </c>
      <c r="P296">
        <v>0</v>
      </c>
      <c r="Q296">
        <v>0</v>
      </c>
    </row>
    <row r="297" spans="1:17" x14ac:dyDescent="0.25">
      <c r="A297" t="s">
        <v>297</v>
      </c>
      <c r="B297" t="s">
        <v>298</v>
      </c>
      <c r="C297" t="s">
        <v>105</v>
      </c>
      <c r="D297" t="s">
        <v>20</v>
      </c>
      <c r="E297" t="s">
        <v>341</v>
      </c>
      <c r="F297" s="1">
        <v>45719</v>
      </c>
      <c r="G297" s="1">
        <v>45749</v>
      </c>
      <c r="H297">
        <v>30</v>
      </c>
      <c r="I297">
        <v>29312.37</v>
      </c>
      <c r="J297">
        <v>14985.24</v>
      </c>
      <c r="K297">
        <v>14327.13</v>
      </c>
      <c r="L297" s="1">
        <v>45789</v>
      </c>
      <c r="M297">
        <v>90</v>
      </c>
      <c r="N297">
        <v>60</v>
      </c>
      <c r="O297" t="s">
        <v>29</v>
      </c>
      <c r="P297">
        <v>0</v>
      </c>
      <c r="Q297">
        <v>0</v>
      </c>
    </row>
    <row r="298" spans="1:17" x14ac:dyDescent="0.25">
      <c r="A298" t="s">
        <v>342</v>
      </c>
      <c r="B298" t="s">
        <v>343</v>
      </c>
      <c r="C298" t="s">
        <v>133</v>
      </c>
      <c r="D298" t="s">
        <v>20</v>
      </c>
      <c r="E298" t="s">
        <v>344</v>
      </c>
      <c r="F298" s="1">
        <v>45780</v>
      </c>
      <c r="G298" s="1">
        <v>45795</v>
      </c>
      <c r="H298">
        <v>15</v>
      </c>
      <c r="I298">
        <v>5257.34</v>
      </c>
      <c r="J298">
        <v>5257.34</v>
      </c>
      <c r="K298">
        <v>0</v>
      </c>
      <c r="L298" s="1">
        <v>45819</v>
      </c>
      <c r="M298">
        <v>29</v>
      </c>
      <c r="N298">
        <v>14</v>
      </c>
      <c r="O298" t="s">
        <v>25</v>
      </c>
      <c r="P298">
        <v>0.02</v>
      </c>
      <c r="Q298">
        <v>0</v>
      </c>
    </row>
    <row r="299" spans="1:17" x14ac:dyDescent="0.25">
      <c r="A299" t="s">
        <v>342</v>
      </c>
      <c r="B299" t="s">
        <v>343</v>
      </c>
      <c r="C299" t="s">
        <v>133</v>
      </c>
      <c r="D299" t="s">
        <v>20</v>
      </c>
      <c r="E299" t="s">
        <v>345</v>
      </c>
      <c r="F299" s="1">
        <v>45785</v>
      </c>
      <c r="G299" s="1">
        <v>45845</v>
      </c>
      <c r="H299">
        <v>60</v>
      </c>
      <c r="I299">
        <v>31946.41</v>
      </c>
      <c r="J299">
        <v>0</v>
      </c>
      <c r="K299">
        <v>31946.41</v>
      </c>
      <c r="M299">
        <v>24</v>
      </c>
      <c r="N299">
        <v>0</v>
      </c>
      <c r="O299" t="s">
        <v>22</v>
      </c>
      <c r="P299">
        <v>0.02</v>
      </c>
      <c r="Q299">
        <v>0</v>
      </c>
    </row>
    <row r="300" spans="1:17" x14ac:dyDescent="0.25">
      <c r="A300" t="s">
        <v>342</v>
      </c>
      <c r="B300" t="s">
        <v>343</v>
      </c>
      <c r="C300" t="s">
        <v>133</v>
      </c>
      <c r="D300" t="s">
        <v>20</v>
      </c>
      <c r="E300" t="s">
        <v>346</v>
      </c>
      <c r="F300" s="1">
        <v>45798</v>
      </c>
      <c r="G300" s="1">
        <v>45828</v>
      </c>
      <c r="H300">
        <v>30</v>
      </c>
      <c r="I300">
        <v>24868.959999999999</v>
      </c>
      <c r="J300">
        <v>0</v>
      </c>
      <c r="K300">
        <v>24868.959999999999</v>
      </c>
      <c r="M300">
        <v>11</v>
      </c>
      <c r="N300">
        <v>0</v>
      </c>
      <c r="O300" t="s">
        <v>22</v>
      </c>
      <c r="P300">
        <v>2.5000000000000001E-2</v>
      </c>
      <c r="Q300">
        <v>0</v>
      </c>
    </row>
    <row r="301" spans="1:17" x14ac:dyDescent="0.25">
      <c r="A301" t="s">
        <v>342</v>
      </c>
      <c r="B301" t="s">
        <v>343</v>
      </c>
      <c r="C301" t="s">
        <v>133</v>
      </c>
      <c r="D301" t="s">
        <v>20</v>
      </c>
      <c r="E301" t="s">
        <v>347</v>
      </c>
      <c r="F301" s="1">
        <v>45790</v>
      </c>
      <c r="G301" s="1">
        <v>45880</v>
      </c>
      <c r="H301">
        <v>90</v>
      </c>
      <c r="I301">
        <v>74429.78</v>
      </c>
      <c r="J301">
        <v>0</v>
      </c>
      <c r="K301">
        <v>74429.78</v>
      </c>
      <c r="M301">
        <v>19</v>
      </c>
      <c r="N301">
        <v>0</v>
      </c>
      <c r="O301" t="s">
        <v>22</v>
      </c>
      <c r="P301">
        <v>0</v>
      </c>
      <c r="Q301">
        <v>0</v>
      </c>
    </row>
    <row r="302" spans="1:17" x14ac:dyDescent="0.25">
      <c r="A302" t="s">
        <v>342</v>
      </c>
      <c r="B302" t="s">
        <v>343</v>
      </c>
      <c r="C302" t="s">
        <v>133</v>
      </c>
      <c r="D302" t="s">
        <v>20</v>
      </c>
      <c r="E302" t="s">
        <v>348</v>
      </c>
      <c r="F302" s="1">
        <v>45645</v>
      </c>
      <c r="G302" s="1">
        <v>45690</v>
      </c>
      <c r="H302">
        <v>45</v>
      </c>
      <c r="I302">
        <v>51228.77</v>
      </c>
      <c r="J302">
        <v>51228.77</v>
      </c>
      <c r="K302">
        <v>0</v>
      </c>
      <c r="L302" s="1">
        <v>45695</v>
      </c>
      <c r="M302">
        <v>164</v>
      </c>
      <c r="N302">
        <v>119</v>
      </c>
      <c r="O302" t="s">
        <v>25</v>
      </c>
      <c r="P302">
        <v>0</v>
      </c>
      <c r="Q302">
        <v>0</v>
      </c>
    </row>
    <row r="303" spans="1:17" x14ac:dyDescent="0.25">
      <c r="A303" t="s">
        <v>342</v>
      </c>
      <c r="B303" t="s">
        <v>343</v>
      </c>
      <c r="C303" t="s">
        <v>133</v>
      </c>
      <c r="D303" t="s">
        <v>20</v>
      </c>
      <c r="E303" t="s">
        <v>349</v>
      </c>
      <c r="F303" s="1">
        <v>45709</v>
      </c>
      <c r="G303" s="1">
        <v>45754</v>
      </c>
      <c r="H303">
        <v>45</v>
      </c>
      <c r="I303">
        <v>23594.240000000002</v>
      </c>
      <c r="J303">
        <v>23594.240000000002</v>
      </c>
      <c r="K303">
        <v>0</v>
      </c>
      <c r="L303" s="1">
        <v>45717</v>
      </c>
      <c r="M303">
        <v>100</v>
      </c>
      <c r="N303">
        <v>55</v>
      </c>
      <c r="O303" t="s">
        <v>25</v>
      </c>
      <c r="P303">
        <v>0.02</v>
      </c>
      <c r="Q303">
        <v>471.88</v>
      </c>
    </row>
    <row r="304" spans="1:17" x14ac:dyDescent="0.25">
      <c r="A304" t="s">
        <v>342</v>
      </c>
      <c r="B304" t="s">
        <v>343</v>
      </c>
      <c r="C304" t="s">
        <v>133</v>
      </c>
      <c r="D304" t="s">
        <v>20</v>
      </c>
      <c r="E304" t="s">
        <v>350</v>
      </c>
      <c r="F304" s="1">
        <v>45636</v>
      </c>
      <c r="G304" s="1">
        <v>45696</v>
      </c>
      <c r="H304">
        <v>60</v>
      </c>
      <c r="I304">
        <v>56814.47</v>
      </c>
      <c r="J304">
        <v>0</v>
      </c>
      <c r="K304">
        <v>56814.47</v>
      </c>
      <c r="M304">
        <v>173</v>
      </c>
      <c r="N304">
        <v>113</v>
      </c>
      <c r="O304" t="s">
        <v>36</v>
      </c>
      <c r="P304">
        <v>0.01</v>
      </c>
      <c r="Q304">
        <v>0</v>
      </c>
    </row>
    <row r="305" spans="1:17" x14ac:dyDescent="0.25">
      <c r="A305" t="s">
        <v>342</v>
      </c>
      <c r="B305" t="s">
        <v>343</v>
      </c>
      <c r="C305" t="s">
        <v>133</v>
      </c>
      <c r="D305" t="s">
        <v>20</v>
      </c>
      <c r="E305" t="s">
        <v>351</v>
      </c>
      <c r="F305" s="1">
        <v>45754</v>
      </c>
      <c r="G305" s="1">
        <v>45799</v>
      </c>
      <c r="H305">
        <v>45</v>
      </c>
      <c r="I305">
        <v>39289.72</v>
      </c>
      <c r="J305">
        <v>39289.72</v>
      </c>
      <c r="K305">
        <v>0</v>
      </c>
      <c r="L305" s="1">
        <v>45763</v>
      </c>
      <c r="M305">
        <v>55</v>
      </c>
      <c r="N305">
        <v>10</v>
      </c>
      <c r="O305" t="s">
        <v>25</v>
      </c>
      <c r="P305">
        <v>0</v>
      </c>
      <c r="Q305">
        <v>0</v>
      </c>
    </row>
    <row r="306" spans="1:17" x14ac:dyDescent="0.25">
      <c r="A306" t="s">
        <v>342</v>
      </c>
      <c r="B306" t="s">
        <v>343</v>
      </c>
      <c r="C306" t="s">
        <v>133</v>
      </c>
      <c r="D306" t="s">
        <v>20</v>
      </c>
      <c r="E306" t="s">
        <v>352</v>
      </c>
      <c r="F306" s="1">
        <v>45698</v>
      </c>
      <c r="G306" s="1">
        <v>45743</v>
      </c>
      <c r="H306">
        <v>45</v>
      </c>
      <c r="I306">
        <v>56792.76</v>
      </c>
      <c r="J306">
        <v>56792.76</v>
      </c>
      <c r="K306">
        <v>0</v>
      </c>
      <c r="L306" s="1">
        <v>45741</v>
      </c>
      <c r="M306">
        <v>111</v>
      </c>
      <c r="N306">
        <v>66</v>
      </c>
      <c r="O306" t="s">
        <v>25</v>
      </c>
      <c r="P306">
        <v>0</v>
      </c>
      <c r="Q306">
        <v>0</v>
      </c>
    </row>
    <row r="307" spans="1:17" x14ac:dyDescent="0.25">
      <c r="A307" t="s">
        <v>342</v>
      </c>
      <c r="B307" t="s">
        <v>343</v>
      </c>
      <c r="C307" t="s">
        <v>133</v>
      </c>
      <c r="D307" t="s">
        <v>20</v>
      </c>
      <c r="E307" t="s">
        <v>353</v>
      </c>
      <c r="F307" s="1">
        <v>45760</v>
      </c>
      <c r="G307" s="1">
        <v>45850</v>
      </c>
      <c r="H307">
        <v>90</v>
      </c>
      <c r="I307">
        <v>30756.11</v>
      </c>
      <c r="J307">
        <v>0</v>
      </c>
      <c r="K307">
        <v>30756.11</v>
      </c>
      <c r="M307">
        <v>49</v>
      </c>
      <c r="N307">
        <v>0</v>
      </c>
      <c r="O307" t="s">
        <v>22</v>
      </c>
      <c r="P307">
        <v>2.5000000000000001E-2</v>
      </c>
      <c r="Q307">
        <v>0</v>
      </c>
    </row>
    <row r="308" spans="1:17" x14ac:dyDescent="0.25">
      <c r="A308" t="s">
        <v>342</v>
      </c>
      <c r="B308" t="s">
        <v>343</v>
      </c>
      <c r="C308" t="s">
        <v>133</v>
      </c>
      <c r="D308" t="s">
        <v>20</v>
      </c>
      <c r="E308" t="s">
        <v>354</v>
      </c>
      <c r="F308" s="1">
        <v>45770</v>
      </c>
      <c r="G308" s="1">
        <v>45815</v>
      </c>
      <c r="H308">
        <v>45</v>
      </c>
      <c r="I308">
        <v>35327.97</v>
      </c>
      <c r="J308">
        <v>0</v>
      </c>
      <c r="K308">
        <v>35327.97</v>
      </c>
      <c r="M308">
        <v>39</v>
      </c>
      <c r="N308">
        <v>0</v>
      </c>
      <c r="O308" t="s">
        <v>22</v>
      </c>
      <c r="P308">
        <v>2.5000000000000001E-2</v>
      </c>
      <c r="Q308">
        <v>0</v>
      </c>
    </row>
    <row r="309" spans="1:17" x14ac:dyDescent="0.25">
      <c r="A309" t="s">
        <v>342</v>
      </c>
      <c r="B309" t="s">
        <v>343</v>
      </c>
      <c r="C309" t="s">
        <v>133</v>
      </c>
      <c r="D309" t="s">
        <v>20</v>
      </c>
      <c r="E309" t="s">
        <v>355</v>
      </c>
      <c r="F309" s="1">
        <v>45629</v>
      </c>
      <c r="G309" s="1">
        <v>45644</v>
      </c>
      <c r="H309">
        <v>15</v>
      </c>
      <c r="I309">
        <v>20253.71</v>
      </c>
      <c r="J309">
        <v>20253.71</v>
      </c>
      <c r="K309">
        <v>0</v>
      </c>
      <c r="L309" s="1">
        <v>45648</v>
      </c>
      <c r="M309">
        <v>180</v>
      </c>
      <c r="N309">
        <v>165</v>
      </c>
      <c r="O309" t="s">
        <v>25</v>
      </c>
      <c r="P309">
        <v>2.5000000000000001E-2</v>
      </c>
      <c r="Q309">
        <v>0</v>
      </c>
    </row>
    <row r="310" spans="1:17" x14ac:dyDescent="0.25">
      <c r="A310" t="s">
        <v>342</v>
      </c>
      <c r="B310" t="s">
        <v>343</v>
      </c>
      <c r="C310" t="s">
        <v>133</v>
      </c>
      <c r="D310" t="s">
        <v>20</v>
      </c>
      <c r="E310" t="s">
        <v>356</v>
      </c>
      <c r="F310" s="1">
        <v>45730</v>
      </c>
      <c r="G310" s="1">
        <v>45760</v>
      </c>
      <c r="H310">
        <v>30</v>
      </c>
      <c r="I310">
        <v>59868.2</v>
      </c>
      <c r="J310">
        <v>0</v>
      </c>
      <c r="K310">
        <v>59868.2</v>
      </c>
      <c r="M310">
        <v>79</v>
      </c>
      <c r="N310">
        <v>49</v>
      </c>
      <c r="O310" t="s">
        <v>36</v>
      </c>
      <c r="P310">
        <v>0.01</v>
      </c>
      <c r="Q310">
        <v>0</v>
      </c>
    </row>
    <row r="311" spans="1:17" x14ac:dyDescent="0.25">
      <c r="A311" t="s">
        <v>342</v>
      </c>
      <c r="B311" t="s">
        <v>343</v>
      </c>
      <c r="C311" t="s">
        <v>133</v>
      </c>
      <c r="D311" t="s">
        <v>20</v>
      </c>
      <c r="E311" t="s">
        <v>357</v>
      </c>
      <c r="F311" s="1">
        <v>45650</v>
      </c>
      <c r="G311" s="1">
        <v>45740</v>
      </c>
      <c r="H311">
        <v>90</v>
      </c>
      <c r="I311">
        <v>38858.160000000003</v>
      </c>
      <c r="J311">
        <v>38858.160000000003</v>
      </c>
      <c r="K311">
        <v>0</v>
      </c>
      <c r="L311" s="1">
        <v>45717</v>
      </c>
      <c r="M311">
        <v>159</v>
      </c>
      <c r="N311">
        <v>69</v>
      </c>
      <c r="O311" t="s">
        <v>25</v>
      </c>
      <c r="P311">
        <v>2.5000000000000001E-2</v>
      </c>
      <c r="Q311">
        <v>971.45</v>
      </c>
    </row>
    <row r="312" spans="1:17" x14ac:dyDescent="0.25">
      <c r="A312" t="s">
        <v>342</v>
      </c>
      <c r="B312" t="s">
        <v>343</v>
      </c>
      <c r="C312" t="s">
        <v>133</v>
      </c>
      <c r="D312" t="s">
        <v>20</v>
      </c>
      <c r="E312" t="s">
        <v>358</v>
      </c>
      <c r="F312" s="1">
        <v>45726</v>
      </c>
      <c r="G312" s="1">
        <v>45756</v>
      </c>
      <c r="H312">
        <v>30</v>
      </c>
      <c r="I312">
        <v>56497.23</v>
      </c>
      <c r="J312">
        <v>56497.23</v>
      </c>
      <c r="K312">
        <v>0</v>
      </c>
      <c r="L312" s="1">
        <v>45731</v>
      </c>
      <c r="M312">
        <v>83</v>
      </c>
      <c r="N312">
        <v>53</v>
      </c>
      <c r="O312" t="s">
        <v>25</v>
      </c>
      <c r="P312">
        <v>0</v>
      </c>
      <c r="Q312">
        <v>0</v>
      </c>
    </row>
    <row r="313" spans="1:17" x14ac:dyDescent="0.25">
      <c r="A313" t="s">
        <v>342</v>
      </c>
      <c r="B313" t="s">
        <v>343</v>
      </c>
      <c r="C313" t="s">
        <v>133</v>
      </c>
      <c r="D313" t="s">
        <v>20</v>
      </c>
      <c r="E313" t="s">
        <v>359</v>
      </c>
      <c r="F313" s="1">
        <v>45796</v>
      </c>
      <c r="G313" s="1">
        <v>45886</v>
      </c>
      <c r="H313">
        <v>90</v>
      </c>
      <c r="I313">
        <v>26131.84</v>
      </c>
      <c r="J313">
        <v>0</v>
      </c>
      <c r="K313">
        <v>26131.84</v>
      </c>
      <c r="M313">
        <v>13</v>
      </c>
      <c r="N313">
        <v>0</v>
      </c>
      <c r="O313" t="s">
        <v>22</v>
      </c>
      <c r="P313">
        <v>0.02</v>
      </c>
      <c r="Q313">
        <v>0</v>
      </c>
    </row>
    <row r="314" spans="1:17" x14ac:dyDescent="0.25">
      <c r="A314" t="s">
        <v>342</v>
      </c>
      <c r="B314" t="s">
        <v>343</v>
      </c>
      <c r="C314" t="s">
        <v>133</v>
      </c>
      <c r="D314" t="s">
        <v>20</v>
      </c>
      <c r="E314" t="s">
        <v>360</v>
      </c>
      <c r="F314" s="1">
        <v>45752</v>
      </c>
      <c r="G314" s="1">
        <v>45797</v>
      </c>
      <c r="H314">
        <v>45</v>
      </c>
      <c r="I314">
        <v>33241.82</v>
      </c>
      <c r="J314">
        <v>33241.82</v>
      </c>
      <c r="K314">
        <v>0</v>
      </c>
      <c r="L314" s="1">
        <v>45793</v>
      </c>
      <c r="M314">
        <v>57</v>
      </c>
      <c r="N314">
        <v>12</v>
      </c>
      <c r="O314" t="s">
        <v>25</v>
      </c>
      <c r="P314">
        <v>2.5000000000000001E-2</v>
      </c>
      <c r="Q314">
        <v>0</v>
      </c>
    </row>
    <row r="315" spans="1:17" x14ac:dyDescent="0.25">
      <c r="A315" t="s">
        <v>342</v>
      </c>
      <c r="B315" t="s">
        <v>343</v>
      </c>
      <c r="C315" t="s">
        <v>133</v>
      </c>
      <c r="D315" t="s">
        <v>20</v>
      </c>
      <c r="E315" t="s">
        <v>361</v>
      </c>
      <c r="F315" s="1">
        <v>45758</v>
      </c>
      <c r="G315" s="1">
        <v>45818</v>
      </c>
      <c r="H315">
        <v>60</v>
      </c>
      <c r="I315">
        <v>8444.86</v>
      </c>
      <c r="J315">
        <v>0</v>
      </c>
      <c r="K315">
        <v>8444.86</v>
      </c>
      <c r="M315">
        <v>51</v>
      </c>
      <c r="N315">
        <v>0</v>
      </c>
      <c r="O315" t="s">
        <v>22</v>
      </c>
      <c r="P315">
        <v>0.01</v>
      </c>
      <c r="Q315">
        <v>0</v>
      </c>
    </row>
    <row r="316" spans="1:17" x14ac:dyDescent="0.25">
      <c r="A316" t="s">
        <v>342</v>
      </c>
      <c r="B316" t="s">
        <v>343</v>
      </c>
      <c r="C316" t="s">
        <v>133</v>
      </c>
      <c r="D316" t="s">
        <v>20</v>
      </c>
      <c r="E316" t="s">
        <v>362</v>
      </c>
      <c r="F316" s="1">
        <v>45742</v>
      </c>
      <c r="G316" s="1">
        <v>45802</v>
      </c>
      <c r="H316">
        <v>60</v>
      </c>
      <c r="I316">
        <v>29841.59</v>
      </c>
      <c r="J316">
        <v>29841.59</v>
      </c>
      <c r="K316">
        <v>0</v>
      </c>
      <c r="L316" s="1">
        <v>45810</v>
      </c>
      <c r="M316">
        <v>67</v>
      </c>
      <c r="N316">
        <v>7</v>
      </c>
      <c r="O316" t="s">
        <v>25</v>
      </c>
      <c r="P316">
        <v>2.5000000000000001E-2</v>
      </c>
      <c r="Q316">
        <v>0</v>
      </c>
    </row>
    <row r="317" spans="1:17" x14ac:dyDescent="0.25">
      <c r="A317" t="s">
        <v>342</v>
      </c>
      <c r="B317" t="s">
        <v>343</v>
      </c>
      <c r="C317" t="s">
        <v>133</v>
      </c>
      <c r="D317" t="s">
        <v>20</v>
      </c>
      <c r="E317" t="s">
        <v>363</v>
      </c>
      <c r="F317" s="1">
        <v>45766</v>
      </c>
      <c r="G317" s="1">
        <v>45796</v>
      </c>
      <c r="H317">
        <v>30</v>
      </c>
      <c r="I317">
        <v>63490.96</v>
      </c>
      <c r="J317">
        <v>41075.919999999998</v>
      </c>
      <c r="K317">
        <v>22415.040000000001</v>
      </c>
      <c r="L317" s="1">
        <v>45783</v>
      </c>
      <c r="M317">
        <v>43</v>
      </c>
      <c r="N317">
        <v>13</v>
      </c>
      <c r="O317" t="s">
        <v>29</v>
      </c>
      <c r="P317">
        <v>0.02</v>
      </c>
      <c r="Q317">
        <v>0</v>
      </c>
    </row>
    <row r="318" spans="1:17" x14ac:dyDescent="0.25">
      <c r="A318" t="s">
        <v>342</v>
      </c>
      <c r="B318" t="s">
        <v>343</v>
      </c>
      <c r="C318" t="s">
        <v>133</v>
      </c>
      <c r="D318" t="s">
        <v>20</v>
      </c>
      <c r="E318" t="s">
        <v>364</v>
      </c>
      <c r="F318" s="1">
        <v>45780</v>
      </c>
      <c r="G318" s="1">
        <v>45870</v>
      </c>
      <c r="H318">
        <v>90</v>
      </c>
      <c r="I318">
        <v>20056.62</v>
      </c>
      <c r="J318">
        <v>0</v>
      </c>
      <c r="K318">
        <v>20056.62</v>
      </c>
      <c r="M318">
        <v>29</v>
      </c>
      <c r="N318">
        <v>0</v>
      </c>
      <c r="O318" t="s">
        <v>22</v>
      </c>
      <c r="P318">
        <v>0.02</v>
      </c>
      <c r="Q318">
        <v>0</v>
      </c>
    </row>
    <row r="319" spans="1:17" x14ac:dyDescent="0.25">
      <c r="A319" t="s">
        <v>342</v>
      </c>
      <c r="B319" t="s">
        <v>343</v>
      </c>
      <c r="C319" t="s">
        <v>133</v>
      </c>
      <c r="D319" t="s">
        <v>20</v>
      </c>
      <c r="E319" t="s">
        <v>365</v>
      </c>
      <c r="F319" s="1">
        <v>45799</v>
      </c>
      <c r="G319" s="1">
        <v>45889</v>
      </c>
      <c r="H319">
        <v>90</v>
      </c>
      <c r="I319">
        <v>65875.19</v>
      </c>
      <c r="J319">
        <v>0</v>
      </c>
      <c r="K319">
        <v>65875.19</v>
      </c>
      <c r="M319">
        <v>10</v>
      </c>
      <c r="N319">
        <v>0</v>
      </c>
      <c r="O319" t="s">
        <v>22</v>
      </c>
      <c r="P319">
        <v>0.01</v>
      </c>
      <c r="Q319">
        <v>0</v>
      </c>
    </row>
    <row r="320" spans="1:17" x14ac:dyDescent="0.25">
      <c r="A320" t="s">
        <v>342</v>
      </c>
      <c r="B320" t="s">
        <v>343</v>
      </c>
      <c r="C320" t="s">
        <v>133</v>
      </c>
      <c r="D320" t="s">
        <v>20</v>
      </c>
      <c r="E320" t="s">
        <v>366</v>
      </c>
      <c r="F320" s="1">
        <v>45783</v>
      </c>
      <c r="G320" s="1">
        <v>45843</v>
      </c>
      <c r="H320">
        <v>60</v>
      </c>
      <c r="I320">
        <v>68017.72</v>
      </c>
      <c r="J320">
        <v>0</v>
      </c>
      <c r="K320">
        <v>68017.72</v>
      </c>
      <c r="M320">
        <v>26</v>
      </c>
      <c r="N320">
        <v>0</v>
      </c>
      <c r="O320" t="s">
        <v>22</v>
      </c>
      <c r="P320">
        <v>2.5000000000000001E-2</v>
      </c>
      <c r="Q320">
        <v>0</v>
      </c>
    </row>
    <row r="321" spans="1:17" x14ac:dyDescent="0.25">
      <c r="A321" t="s">
        <v>342</v>
      </c>
      <c r="B321" t="s">
        <v>343</v>
      </c>
      <c r="C321" t="s">
        <v>133</v>
      </c>
      <c r="D321" t="s">
        <v>20</v>
      </c>
      <c r="E321" t="s">
        <v>367</v>
      </c>
      <c r="F321" s="1">
        <v>45746</v>
      </c>
      <c r="G321" s="1">
        <v>45836</v>
      </c>
      <c r="H321">
        <v>90</v>
      </c>
      <c r="I321">
        <v>65516.5</v>
      </c>
      <c r="J321">
        <v>0</v>
      </c>
      <c r="K321">
        <v>65516.5</v>
      </c>
      <c r="M321">
        <v>63</v>
      </c>
      <c r="N321">
        <v>0</v>
      </c>
      <c r="O321" t="s">
        <v>22</v>
      </c>
      <c r="P321">
        <v>0</v>
      </c>
      <c r="Q321">
        <v>0</v>
      </c>
    </row>
    <row r="322" spans="1:17" x14ac:dyDescent="0.25">
      <c r="A322" t="s">
        <v>342</v>
      </c>
      <c r="B322" t="s">
        <v>343</v>
      </c>
      <c r="C322" t="s">
        <v>133</v>
      </c>
      <c r="D322" t="s">
        <v>20</v>
      </c>
      <c r="E322" t="s">
        <v>368</v>
      </c>
      <c r="F322" s="1">
        <v>45752</v>
      </c>
      <c r="G322" s="1">
        <v>45842</v>
      </c>
      <c r="H322">
        <v>90</v>
      </c>
      <c r="I322">
        <v>30387.599999999999</v>
      </c>
      <c r="J322">
        <v>0</v>
      </c>
      <c r="K322">
        <v>30387.599999999999</v>
      </c>
      <c r="M322">
        <v>57</v>
      </c>
      <c r="N322">
        <v>0</v>
      </c>
      <c r="O322" t="s">
        <v>22</v>
      </c>
      <c r="P322">
        <v>2.5000000000000001E-2</v>
      </c>
      <c r="Q322">
        <v>0</v>
      </c>
    </row>
    <row r="323" spans="1:17" x14ac:dyDescent="0.25">
      <c r="A323" t="s">
        <v>369</v>
      </c>
      <c r="B323" t="s">
        <v>370</v>
      </c>
      <c r="C323" t="s">
        <v>166</v>
      </c>
      <c r="D323" t="s">
        <v>106</v>
      </c>
      <c r="E323" t="s">
        <v>371</v>
      </c>
      <c r="F323" s="1">
        <v>45722</v>
      </c>
      <c r="G323" s="1">
        <v>45737</v>
      </c>
      <c r="H323">
        <v>15</v>
      </c>
      <c r="I323">
        <v>59872.639999999999</v>
      </c>
      <c r="J323">
        <v>59872.639999999999</v>
      </c>
      <c r="K323">
        <v>0</v>
      </c>
      <c r="L323" s="1">
        <v>45735</v>
      </c>
      <c r="M323">
        <v>87</v>
      </c>
      <c r="N323">
        <v>72</v>
      </c>
      <c r="O323" t="s">
        <v>25</v>
      </c>
      <c r="P323">
        <v>2.5000000000000001E-2</v>
      </c>
      <c r="Q323">
        <v>0</v>
      </c>
    </row>
    <row r="324" spans="1:17" x14ac:dyDescent="0.25">
      <c r="A324" t="s">
        <v>369</v>
      </c>
      <c r="B324" t="s">
        <v>370</v>
      </c>
      <c r="C324" t="s">
        <v>166</v>
      </c>
      <c r="D324" t="s">
        <v>106</v>
      </c>
      <c r="E324" t="s">
        <v>372</v>
      </c>
      <c r="F324" s="1">
        <v>45741</v>
      </c>
      <c r="G324" s="1">
        <v>45801</v>
      </c>
      <c r="H324">
        <v>60</v>
      </c>
      <c r="I324">
        <v>34116.39</v>
      </c>
      <c r="J324">
        <v>34116.39</v>
      </c>
      <c r="K324">
        <v>0</v>
      </c>
      <c r="L324" s="1">
        <v>45775</v>
      </c>
      <c r="M324">
        <v>68</v>
      </c>
      <c r="N324">
        <v>8</v>
      </c>
      <c r="O324" t="s">
        <v>25</v>
      </c>
      <c r="P324">
        <v>0</v>
      </c>
      <c r="Q324">
        <v>0</v>
      </c>
    </row>
    <row r="325" spans="1:17" x14ac:dyDescent="0.25">
      <c r="A325" t="s">
        <v>369</v>
      </c>
      <c r="B325" t="s">
        <v>370</v>
      </c>
      <c r="C325" t="s">
        <v>166</v>
      </c>
      <c r="D325" t="s">
        <v>106</v>
      </c>
      <c r="E325" t="s">
        <v>373</v>
      </c>
      <c r="F325" s="1">
        <v>45787</v>
      </c>
      <c r="G325" s="1">
        <v>45817</v>
      </c>
      <c r="H325">
        <v>30</v>
      </c>
      <c r="I325">
        <v>6817.94</v>
      </c>
      <c r="J325">
        <v>0</v>
      </c>
      <c r="K325">
        <v>6817.94</v>
      </c>
      <c r="M325">
        <v>22</v>
      </c>
      <c r="N325">
        <v>0</v>
      </c>
      <c r="O325" t="s">
        <v>22</v>
      </c>
      <c r="P325">
        <v>0.01</v>
      </c>
      <c r="Q325">
        <v>0</v>
      </c>
    </row>
    <row r="326" spans="1:17" x14ac:dyDescent="0.25">
      <c r="A326" t="s">
        <v>369</v>
      </c>
      <c r="B326" t="s">
        <v>370</v>
      </c>
      <c r="C326" t="s">
        <v>166</v>
      </c>
      <c r="D326" t="s">
        <v>106</v>
      </c>
      <c r="E326" t="s">
        <v>374</v>
      </c>
      <c r="F326" s="1">
        <v>45723</v>
      </c>
      <c r="G326" s="1">
        <v>45813</v>
      </c>
      <c r="H326">
        <v>90</v>
      </c>
      <c r="I326">
        <v>77335.539999999994</v>
      </c>
      <c r="J326">
        <v>0</v>
      </c>
      <c r="K326">
        <v>77335.539999999994</v>
      </c>
      <c r="M326">
        <v>86</v>
      </c>
      <c r="N326">
        <v>0</v>
      </c>
      <c r="O326" t="s">
        <v>22</v>
      </c>
      <c r="P326">
        <v>0.02</v>
      </c>
      <c r="Q326">
        <v>0</v>
      </c>
    </row>
    <row r="327" spans="1:17" x14ac:dyDescent="0.25">
      <c r="A327" t="s">
        <v>369</v>
      </c>
      <c r="B327" t="s">
        <v>370</v>
      </c>
      <c r="C327" t="s">
        <v>166</v>
      </c>
      <c r="D327" t="s">
        <v>106</v>
      </c>
      <c r="E327" t="s">
        <v>375</v>
      </c>
      <c r="F327" s="1">
        <v>45789</v>
      </c>
      <c r="G327" s="1">
        <v>45834</v>
      </c>
      <c r="H327">
        <v>45</v>
      </c>
      <c r="I327">
        <v>7028.26</v>
      </c>
      <c r="J327">
        <v>0</v>
      </c>
      <c r="K327">
        <v>7028.26</v>
      </c>
      <c r="M327">
        <v>20</v>
      </c>
      <c r="N327">
        <v>0</v>
      </c>
      <c r="O327" t="s">
        <v>22</v>
      </c>
      <c r="P327">
        <v>0.01</v>
      </c>
      <c r="Q327">
        <v>0</v>
      </c>
    </row>
    <row r="328" spans="1:17" x14ac:dyDescent="0.25">
      <c r="A328" t="s">
        <v>369</v>
      </c>
      <c r="B328" t="s">
        <v>370</v>
      </c>
      <c r="C328" t="s">
        <v>166</v>
      </c>
      <c r="D328" t="s">
        <v>106</v>
      </c>
      <c r="E328" t="s">
        <v>376</v>
      </c>
      <c r="F328" s="1">
        <v>45794</v>
      </c>
      <c r="G328" s="1">
        <v>45839</v>
      </c>
      <c r="H328">
        <v>45</v>
      </c>
      <c r="I328">
        <v>38955.64</v>
      </c>
      <c r="J328">
        <v>0</v>
      </c>
      <c r="K328">
        <v>38955.64</v>
      </c>
      <c r="M328">
        <v>15</v>
      </c>
      <c r="N328">
        <v>0</v>
      </c>
      <c r="O328" t="s">
        <v>22</v>
      </c>
      <c r="P328">
        <v>2.5000000000000001E-2</v>
      </c>
      <c r="Q328">
        <v>0</v>
      </c>
    </row>
    <row r="329" spans="1:17" x14ac:dyDescent="0.25">
      <c r="A329" t="s">
        <v>369</v>
      </c>
      <c r="B329" t="s">
        <v>370</v>
      </c>
      <c r="C329" t="s">
        <v>166</v>
      </c>
      <c r="D329" t="s">
        <v>106</v>
      </c>
      <c r="E329" t="s">
        <v>377</v>
      </c>
      <c r="F329" s="1">
        <v>45637</v>
      </c>
      <c r="G329" s="1">
        <v>45697</v>
      </c>
      <c r="H329">
        <v>60</v>
      </c>
      <c r="I329">
        <v>69228.740000000005</v>
      </c>
      <c r="J329">
        <v>69228.740000000005</v>
      </c>
      <c r="K329">
        <v>0</v>
      </c>
      <c r="L329" s="1">
        <v>45678</v>
      </c>
      <c r="M329">
        <v>172</v>
      </c>
      <c r="N329">
        <v>112</v>
      </c>
      <c r="O329" t="s">
        <v>25</v>
      </c>
      <c r="P329">
        <v>0.01</v>
      </c>
      <c r="Q329">
        <v>692.29</v>
      </c>
    </row>
    <row r="330" spans="1:17" x14ac:dyDescent="0.25">
      <c r="A330" t="s">
        <v>369</v>
      </c>
      <c r="B330" t="s">
        <v>370</v>
      </c>
      <c r="C330" t="s">
        <v>166</v>
      </c>
      <c r="D330" t="s">
        <v>106</v>
      </c>
      <c r="E330" t="s">
        <v>378</v>
      </c>
      <c r="F330" s="1">
        <v>45635</v>
      </c>
      <c r="G330" s="1">
        <v>45680</v>
      </c>
      <c r="H330">
        <v>45</v>
      </c>
      <c r="I330">
        <v>61434.61</v>
      </c>
      <c r="J330">
        <v>61434.61</v>
      </c>
      <c r="K330">
        <v>0</v>
      </c>
      <c r="L330" s="1">
        <v>45687</v>
      </c>
      <c r="M330">
        <v>174</v>
      </c>
      <c r="N330">
        <v>129</v>
      </c>
      <c r="O330" t="s">
        <v>25</v>
      </c>
      <c r="P330">
        <v>0</v>
      </c>
      <c r="Q330">
        <v>0</v>
      </c>
    </row>
    <row r="331" spans="1:17" x14ac:dyDescent="0.25">
      <c r="A331" t="s">
        <v>369</v>
      </c>
      <c r="B331" t="s">
        <v>370</v>
      </c>
      <c r="C331" t="s">
        <v>166</v>
      </c>
      <c r="D331" t="s">
        <v>106</v>
      </c>
      <c r="E331" t="s">
        <v>379</v>
      </c>
      <c r="F331" s="1">
        <v>45691</v>
      </c>
      <c r="G331" s="1">
        <v>45751</v>
      </c>
      <c r="H331">
        <v>60</v>
      </c>
      <c r="I331">
        <v>69678.86</v>
      </c>
      <c r="J331">
        <v>69678.86</v>
      </c>
      <c r="K331">
        <v>0</v>
      </c>
      <c r="L331" s="1">
        <v>45737</v>
      </c>
      <c r="M331">
        <v>118</v>
      </c>
      <c r="N331">
        <v>58</v>
      </c>
      <c r="O331" t="s">
        <v>25</v>
      </c>
      <c r="P331">
        <v>0.02</v>
      </c>
      <c r="Q331">
        <v>1393.58</v>
      </c>
    </row>
    <row r="332" spans="1:17" x14ac:dyDescent="0.25">
      <c r="A332" t="s">
        <v>369</v>
      </c>
      <c r="B332" t="s">
        <v>370</v>
      </c>
      <c r="C332" t="s">
        <v>166</v>
      </c>
      <c r="D332" t="s">
        <v>106</v>
      </c>
      <c r="E332" t="s">
        <v>380</v>
      </c>
      <c r="F332" s="1">
        <v>45706</v>
      </c>
      <c r="G332" s="1">
        <v>45766</v>
      </c>
      <c r="H332">
        <v>60</v>
      </c>
      <c r="I332">
        <v>2987.29</v>
      </c>
      <c r="J332">
        <v>2987.29</v>
      </c>
      <c r="K332">
        <v>0</v>
      </c>
      <c r="L332" s="1">
        <v>45791</v>
      </c>
      <c r="M332">
        <v>103</v>
      </c>
      <c r="N332">
        <v>43</v>
      </c>
      <c r="O332" t="s">
        <v>25</v>
      </c>
      <c r="P332">
        <v>0.02</v>
      </c>
      <c r="Q332">
        <v>0</v>
      </c>
    </row>
    <row r="333" spans="1:17" x14ac:dyDescent="0.25">
      <c r="A333" t="s">
        <v>369</v>
      </c>
      <c r="B333" t="s">
        <v>370</v>
      </c>
      <c r="C333" t="s">
        <v>166</v>
      </c>
      <c r="D333" t="s">
        <v>106</v>
      </c>
      <c r="E333" t="s">
        <v>381</v>
      </c>
      <c r="F333" s="1">
        <v>45695</v>
      </c>
      <c r="G333" s="1">
        <v>45755</v>
      </c>
      <c r="H333">
        <v>60</v>
      </c>
      <c r="I333">
        <v>17575.03</v>
      </c>
      <c r="J333">
        <v>17575.03</v>
      </c>
      <c r="K333">
        <v>0</v>
      </c>
      <c r="L333" s="1">
        <v>45706</v>
      </c>
      <c r="M333">
        <v>114</v>
      </c>
      <c r="N333">
        <v>54</v>
      </c>
      <c r="O333" t="s">
        <v>25</v>
      </c>
      <c r="P333">
        <v>2.5000000000000001E-2</v>
      </c>
      <c r="Q333">
        <v>439.38</v>
      </c>
    </row>
    <row r="334" spans="1:17" x14ac:dyDescent="0.25">
      <c r="A334" t="s">
        <v>369</v>
      </c>
      <c r="B334" t="s">
        <v>370</v>
      </c>
      <c r="C334" t="s">
        <v>166</v>
      </c>
      <c r="D334" t="s">
        <v>106</v>
      </c>
      <c r="E334" t="s">
        <v>382</v>
      </c>
      <c r="F334" s="1">
        <v>45725</v>
      </c>
      <c r="G334" s="1">
        <v>45770</v>
      </c>
      <c r="H334">
        <v>45</v>
      </c>
      <c r="I334">
        <v>49959.54</v>
      </c>
      <c r="J334">
        <v>49959.54</v>
      </c>
      <c r="K334">
        <v>0</v>
      </c>
      <c r="L334" s="1">
        <v>45737</v>
      </c>
      <c r="M334">
        <v>84</v>
      </c>
      <c r="N334">
        <v>39</v>
      </c>
      <c r="O334" t="s">
        <v>25</v>
      </c>
      <c r="P334">
        <v>2.5000000000000001E-2</v>
      </c>
      <c r="Q334">
        <v>1248.99</v>
      </c>
    </row>
    <row r="335" spans="1:17" x14ac:dyDescent="0.25">
      <c r="A335" t="s">
        <v>369</v>
      </c>
      <c r="B335" t="s">
        <v>370</v>
      </c>
      <c r="C335" t="s">
        <v>166</v>
      </c>
      <c r="D335" t="s">
        <v>106</v>
      </c>
      <c r="E335" t="s">
        <v>383</v>
      </c>
      <c r="F335" s="1">
        <v>45699</v>
      </c>
      <c r="G335" s="1">
        <v>45759</v>
      </c>
      <c r="H335">
        <v>60</v>
      </c>
      <c r="I335">
        <v>6038.53</v>
      </c>
      <c r="J335">
        <v>0</v>
      </c>
      <c r="K335">
        <v>6038.53</v>
      </c>
      <c r="M335">
        <v>110</v>
      </c>
      <c r="N335">
        <v>50</v>
      </c>
      <c r="O335" t="s">
        <v>36</v>
      </c>
      <c r="P335">
        <v>2.5000000000000001E-2</v>
      </c>
      <c r="Q335">
        <v>0</v>
      </c>
    </row>
    <row r="336" spans="1:17" x14ac:dyDescent="0.25">
      <c r="A336" t="s">
        <v>369</v>
      </c>
      <c r="B336" t="s">
        <v>370</v>
      </c>
      <c r="C336" t="s">
        <v>166</v>
      </c>
      <c r="D336" t="s">
        <v>106</v>
      </c>
      <c r="E336" t="s">
        <v>384</v>
      </c>
      <c r="F336" s="1">
        <v>45692</v>
      </c>
      <c r="G336" s="1">
        <v>45722</v>
      </c>
      <c r="H336">
        <v>30</v>
      </c>
      <c r="I336">
        <v>43529</v>
      </c>
      <c r="J336">
        <v>43529</v>
      </c>
      <c r="K336">
        <v>0</v>
      </c>
      <c r="L336" s="1">
        <v>45697</v>
      </c>
      <c r="M336">
        <v>117</v>
      </c>
      <c r="N336">
        <v>87</v>
      </c>
      <c r="O336" t="s">
        <v>25</v>
      </c>
      <c r="P336">
        <v>0.02</v>
      </c>
      <c r="Q336">
        <v>870.58</v>
      </c>
    </row>
    <row r="337" spans="1:17" x14ac:dyDescent="0.25">
      <c r="A337" t="s">
        <v>369</v>
      </c>
      <c r="B337" t="s">
        <v>370</v>
      </c>
      <c r="C337" t="s">
        <v>166</v>
      </c>
      <c r="D337" t="s">
        <v>106</v>
      </c>
      <c r="E337" t="s">
        <v>385</v>
      </c>
      <c r="F337" s="1">
        <v>45795</v>
      </c>
      <c r="G337" s="1">
        <v>45825</v>
      </c>
      <c r="H337">
        <v>30</v>
      </c>
      <c r="I337">
        <v>3652.05</v>
      </c>
      <c r="J337">
        <v>0</v>
      </c>
      <c r="K337">
        <v>3652.05</v>
      </c>
      <c r="M337">
        <v>14</v>
      </c>
      <c r="N337">
        <v>0</v>
      </c>
      <c r="O337" t="s">
        <v>22</v>
      </c>
      <c r="P337">
        <v>0.02</v>
      </c>
      <c r="Q337">
        <v>0</v>
      </c>
    </row>
    <row r="338" spans="1:17" x14ac:dyDescent="0.25">
      <c r="A338" t="s">
        <v>369</v>
      </c>
      <c r="B338" t="s">
        <v>370</v>
      </c>
      <c r="C338" t="s">
        <v>166</v>
      </c>
      <c r="D338" t="s">
        <v>106</v>
      </c>
      <c r="E338" t="s">
        <v>386</v>
      </c>
      <c r="F338" s="1">
        <v>45743</v>
      </c>
      <c r="G338" s="1">
        <v>45803</v>
      </c>
      <c r="H338">
        <v>60</v>
      </c>
      <c r="I338">
        <v>9721.98</v>
      </c>
      <c r="J338">
        <v>9721.98</v>
      </c>
      <c r="K338">
        <v>0</v>
      </c>
      <c r="L338" s="1">
        <v>45759</v>
      </c>
      <c r="M338">
        <v>66</v>
      </c>
      <c r="N338">
        <v>6</v>
      </c>
      <c r="O338" t="s">
        <v>25</v>
      </c>
      <c r="P338">
        <v>0.02</v>
      </c>
      <c r="Q338">
        <v>194.44</v>
      </c>
    </row>
    <row r="339" spans="1:17" x14ac:dyDescent="0.25">
      <c r="A339" t="s">
        <v>369</v>
      </c>
      <c r="B339" t="s">
        <v>370</v>
      </c>
      <c r="C339" t="s">
        <v>166</v>
      </c>
      <c r="D339" t="s">
        <v>106</v>
      </c>
      <c r="E339" t="s">
        <v>387</v>
      </c>
      <c r="F339" s="1">
        <v>45787</v>
      </c>
      <c r="G339" s="1">
        <v>45802</v>
      </c>
      <c r="H339">
        <v>15</v>
      </c>
      <c r="I339">
        <v>67298.14</v>
      </c>
      <c r="J339">
        <v>67298.14</v>
      </c>
      <c r="K339">
        <v>0</v>
      </c>
      <c r="L339" s="1">
        <v>45811</v>
      </c>
      <c r="M339">
        <v>22</v>
      </c>
      <c r="N339">
        <v>7</v>
      </c>
      <c r="O339" t="s">
        <v>25</v>
      </c>
      <c r="P339">
        <v>0.01</v>
      </c>
      <c r="Q339">
        <v>0</v>
      </c>
    </row>
    <row r="340" spans="1:17" x14ac:dyDescent="0.25">
      <c r="A340" t="s">
        <v>369</v>
      </c>
      <c r="B340" t="s">
        <v>370</v>
      </c>
      <c r="C340" t="s">
        <v>166</v>
      </c>
      <c r="D340" t="s">
        <v>106</v>
      </c>
      <c r="E340" t="s">
        <v>388</v>
      </c>
      <c r="F340" s="1">
        <v>45645</v>
      </c>
      <c r="G340" s="1">
        <v>45690</v>
      </c>
      <c r="H340">
        <v>45</v>
      </c>
      <c r="I340">
        <v>36912.92</v>
      </c>
      <c r="J340">
        <v>0</v>
      </c>
      <c r="K340">
        <v>36912.92</v>
      </c>
      <c r="M340">
        <v>164</v>
      </c>
      <c r="N340">
        <v>119</v>
      </c>
      <c r="O340" t="s">
        <v>36</v>
      </c>
      <c r="P340">
        <v>2.5000000000000001E-2</v>
      </c>
      <c r="Q340">
        <v>0</v>
      </c>
    </row>
    <row r="341" spans="1:17" x14ac:dyDescent="0.25">
      <c r="A341" t="s">
        <v>369</v>
      </c>
      <c r="B341" t="s">
        <v>370</v>
      </c>
      <c r="C341" t="s">
        <v>166</v>
      </c>
      <c r="D341" t="s">
        <v>106</v>
      </c>
      <c r="E341" t="s">
        <v>389</v>
      </c>
      <c r="F341" s="1">
        <v>45728</v>
      </c>
      <c r="G341" s="1">
        <v>45758</v>
      </c>
      <c r="H341">
        <v>30</v>
      </c>
      <c r="I341">
        <v>32226.34</v>
      </c>
      <c r="J341">
        <v>32226.34</v>
      </c>
      <c r="K341">
        <v>0</v>
      </c>
      <c r="L341" s="1">
        <v>45781</v>
      </c>
      <c r="M341">
        <v>81</v>
      </c>
      <c r="N341">
        <v>51</v>
      </c>
      <c r="O341" t="s">
        <v>25</v>
      </c>
      <c r="P341">
        <v>0</v>
      </c>
      <c r="Q341">
        <v>0</v>
      </c>
    </row>
    <row r="342" spans="1:17" x14ac:dyDescent="0.25">
      <c r="A342" t="s">
        <v>369</v>
      </c>
      <c r="B342" t="s">
        <v>370</v>
      </c>
      <c r="C342" t="s">
        <v>166</v>
      </c>
      <c r="D342" t="s">
        <v>106</v>
      </c>
      <c r="E342" t="s">
        <v>390</v>
      </c>
      <c r="F342" s="1">
        <v>45635</v>
      </c>
      <c r="G342" s="1">
        <v>45650</v>
      </c>
      <c r="H342">
        <v>15</v>
      </c>
      <c r="I342">
        <v>68512.37</v>
      </c>
      <c r="J342">
        <v>68512.37</v>
      </c>
      <c r="K342">
        <v>0</v>
      </c>
      <c r="L342" s="1">
        <v>45642</v>
      </c>
      <c r="M342">
        <v>174</v>
      </c>
      <c r="N342">
        <v>159</v>
      </c>
      <c r="O342" t="s">
        <v>25</v>
      </c>
      <c r="P342">
        <v>2.5000000000000001E-2</v>
      </c>
      <c r="Q342">
        <v>1712.81</v>
      </c>
    </row>
    <row r="343" spans="1:17" x14ac:dyDescent="0.25">
      <c r="A343" t="s">
        <v>369</v>
      </c>
      <c r="B343" t="s">
        <v>370</v>
      </c>
      <c r="C343" t="s">
        <v>166</v>
      </c>
      <c r="D343" t="s">
        <v>106</v>
      </c>
      <c r="E343" t="s">
        <v>391</v>
      </c>
      <c r="F343" s="1">
        <v>45791</v>
      </c>
      <c r="G343" s="1">
        <v>45851</v>
      </c>
      <c r="H343">
        <v>60</v>
      </c>
      <c r="I343">
        <v>1685.41</v>
      </c>
      <c r="J343">
        <v>0</v>
      </c>
      <c r="K343">
        <v>1685.41</v>
      </c>
      <c r="M343">
        <v>18</v>
      </c>
      <c r="N343">
        <v>0</v>
      </c>
      <c r="O343" t="s">
        <v>22</v>
      </c>
      <c r="P343">
        <v>0.01</v>
      </c>
      <c r="Q343">
        <v>0</v>
      </c>
    </row>
    <row r="344" spans="1:17" x14ac:dyDescent="0.25">
      <c r="A344" t="s">
        <v>369</v>
      </c>
      <c r="B344" t="s">
        <v>370</v>
      </c>
      <c r="C344" t="s">
        <v>166</v>
      </c>
      <c r="D344" t="s">
        <v>106</v>
      </c>
      <c r="E344" t="s">
        <v>392</v>
      </c>
      <c r="F344" s="1">
        <v>45733</v>
      </c>
      <c r="G344" s="1">
        <v>45823</v>
      </c>
      <c r="H344">
        <v>90</v>
      </c>
      <c r="I344">
        <v>8375.85</v>
      </c>
      <c r="J344">
        <v>0</v>
      </c>
      <c r="K344">
        <v>8375.85</v>
      </c>
      <c r="M344">
        <v>76</v>
      </c>
      <c r="N344">
        <v>0</v>
      </c>
      <c r="O344" t="s">
        <v>22</v>
      </c>
      <c r="P344">
        <v>0</v>
      </c>
      <c r="Q344">
        <v>0</v>
      </c>
    </row>
    <row r="345" spans="1:17" x14ac:dyDescent="0.25">
      <c r="A345" t="s">
        <v>369</v>
      </c>
      <c r="B345" t="s">
        <v>370</v>
      </c>
      <c r="C345" t="s">
        <v>166</v>
      </c>
      <c r="D345" t="s">
        <v>106</v>
      </c>
      <c r="E345" t="s">
        <v>393</v>
      </c>
      <c r="F345" s="1">
        <v>45724</v>
      </c>
      <c r="G345" s="1">
        <v>45814</v>
      </c>
      <c r="H345">
        <v>90</v>
      </c>
      <c r="I345">
        <v>79380.179999999993</v>
      </c>
      <c r="J345">
        <v>0</v>
      </c>
      <c r="K345">
        <v>79380.179999999993</v>
      </c>
      <c r="M345">
        <v>85</v>
      </c>
      <c r="N345">
        <v>0</v>
      </c>
      <c r="O345" t="s">
        <v>22</v>
      </c>
      <c r="P345">
        <v>0.01</v>
      </c>
      <c r="Q345">
        <v>0</v>
      </c>
    </row>
    <row r="346" spans="1:17" x14ac:dyDescent="0.25">
      <c r="A346" t="s">
        <v>369</v>
      </c>
      <c r="B346" t="s">
        <v>370</v>
      </c>
      <c r="C346" t="s">
        <v>166</v>
      </c>
      <c r="D346" t="s">
        <v>106</v>
      </c>
      <c r="E346" t="s">
        <v>394</v>
      </c>
      <c r="F346" s="1">
        <v>45760</v>
      </c>
      <c r="G346" s="1">
        <v>45850</v>
      </c>
      <c r="H346">
        <v>90</v>
      </c>
      <c r="I346">
        <v>8591.83</v>
      </c>
      <c r="J346">
        <v>0</v>
      </c>
      <c r="K346">
        <v>8591.83</v>
      </c>
      <c r="M346">
        <v>49</v>
      </c>
      <c r="N346">
        <v>0</v>
      </c>
      <c r="O346" t="s">
        <v>22</v>
      </c>
      <c r="P346">
        <v>2.5000000000000001E-2</v>
      </c>
      <c r="Q346">
        <v>0</v>
      </c>
    </row>
    <row r="347" spans="1:17" x14ac:dyDescent="0.25">
      <c r="A347" t="s">
        <v>369</v>
      </c>
      <c r="B347" t="s">
        <v>370</v>
      </c>
      <c r="C347" t="s">
        <v>166</v>
      </c>
      <c r="D347" t="s">
        <v>106</v>
      </c>
      <c r="E347" t="s">
        <v>395</v>
      </c>
      <c r="F347" s="1">
        <v>45797</v>
      </c>
      <c r="G347" s="1">
        <v>45827</v>
      </c>
      <c r="H347">
        <v>30</v>
      </c>
      <c r="I347">
        <v>64602.38</v>
      </c>
      <c r="J347">
        <v>0</v>
      </c>
      <c r="K347">
        <v>64602.38</v>
      </c>
      <c r="M347">
        <v>12</v>
      </c>
      <c r="N347">
        <v>0</v>
      </c>
      <c r="O347" t="s">
        <v>22</v>
      </c>
      <c r="P347">
        <v>0</v>
      </c>
      <c r="Q347">
        <v>0</v>
      </c>
    </row>
    <row r="348" spans="1:17" x14ac:dyDescent="0.25">
      <c r="A348" t="s">
        <v>396</v>
      </c>
      <c r="B348" t="s">
        <v>397</v>
      </c>
      <c r="C348" t="s">
        <v>19</v>
      </c>
      <c r="D348" t="s">
        <v>134</v>
      </c>
      <c r="E348" t="s">
        <v>398</v>
      </c>
      <c r="F348" s="1">
        <v>45783</v>
      </c>
      <c r="G348" s="1">
        <v>45828</v>
      </c>
      <c r="H348">
        <v>45</v>
      </c>
      <c r="I348">
        <v>66420.59</v>
      </c>
      <c r="J348">
        <v>0</v>
      </c>
      <c r="K348">
        <v>66420.59</v>
      </c>
      <c r="M348">
        <v>26</v>
      </c>
      <c r="N348">
        <v>0</v>
      </c>
      <c r="O348" t="s">
        <v>22</v>
      </c>
      <c r="P348">
        <v>0</v>
      </c>
      <c r="Q348">
        <v>0</v>
      </c>
    </row>
    <row r="349" spans="1:17" x14ac:dyDescent="0.25">
      <c r="A349" t="s">
        <v>396</v>
      </c>
      <c r="B349" t="s">
        <v>397</v>
      </c>
      <c r="C349" t="s">
        <v>19</v>
      </c>
      <c r="D349" t="s">
        <v>134</v>
      </c>
      <c r="E349" t="s">
        <v>399</v>
      </c>
      <c r="F349" s="1">
        <v>45781</v>
      </c>
      <c r="G349" s="1">
        <v>45841</v>
      </c>
      <c r="H349">
        <v>60</v>
      </c>
      <c r="I349">
        <v>3291.62</v>
      </c>
      <c r="J349">
        <v>0</v>
      </c>
      <c r="K349">
        <v>3291.62</v>
      </c>
      <c r="M349">
        <v>28</v>
      </c>
      <c r="N349">
        <v>0</v>
      </c>
      <c r="O349" t="s">
        <v>22</v>
      </c>
      <c r="P349">
        <v>0</v>
      </c>
      <c r="Q349">
        <v>0</v>
      </c>
    </row>
    <row r="350" spans="1:17" x14ac:dyDescent="0.25">
      <c r="A350" t="s">
        <v>396</v>
      </c>
      <c r="B350" t="s">
        <v>397</v>
      </c>
      <c r="C350" t="s">
        <v>19</v>
      </c>
      <c r="D350" t="s">
        <v>134</v>
      </c>
      <c r="E350" t="s">
        <v>400</v>
      </c>
      <c r="F350" s="1">
        <v>45705</v>
      </c>
      <c r="G350" s="1">
        <v>45720</v>
      </c>
      <c r="H350">
        <v>15</v>
      </c>
      <c r="I350">
        <v>38911.89</v>
      </c>
      <c r="J350">
        <v>38911.89</v>
      </c>
      <c r="K350">
        <v>0</v>
      </c>
      <c r="L350" s="1">
        <v>45706</v>
      </c>
      <c r="M350">
        <v>104</v>
      </c>
      <c r="N350">
        <v>89</v>
      </c>
      <c r="O350" t="s">
        <v>25</v>
      </c>
      <c r="P350">
        <v>0.02</v>
      </c>
      <c r="Q350">
        <v>778.24</v>
      </c>
    </row>
    <row r="351" spans="1:17" x14ac:dyDescent="0.25">
      <c r="A351" t="s">
        <v>396</v>
      </c>
      <c r="B351" t="s">
        <v>397</v>
      </c>
      <c r="C351" t="s">
        <v>19</v>
      </c>
      <c r="D351" t="s">
        <v>134</v>
      </c>
      <c r="E351" t="s">
        <v>401</v>
      </c>
      <c r="F351" s="1">
        <v>45686</v>
      </c>
      <c r="G351" s="1">
        <v>45701</v>
      </c>
      <c r="H351">
        <v>15</v>
      </c>
      <c r="I351">
        <v>65630.31</v>
      </c>
      <c r="J351">
        <v>65630.31</v>
      </c>
      <c r="K351">
        <v>0</v>
      </c>
      <c r="L351" s="1">
        <v>45728</v>
      </c>
      <c r="M351">
        <v>123</v>
      </c>
      <c r="N351">
        <v>108</v>
      </c>
      <c r="O351" t="s">
        <v>25</v>
      </c>
      <c r="P351">
        <v>2.5000000000000001E-2</v>
      </c>
      <c r="Q351">
        <v>0</v>
      </c>
    </row>
    <row r="352" spans="1:17" x14ac:dyDescent="0.25">
      <c r="A352" t="s">
        <v>396</v>
      </c>
      <c r="B352" t="s">
        <v>397</v>
      </c>
      <c r="C352" t="s">
        <v>19</v>
      </c>
      <c r="D352" t="s">
        <v>134</v>
      </c>
      <c r="E352" t="s">
        <v>402</v>
      </c>
      <c r="F352" s="1">
        <v>45632</v>
      </c>
      <c r="G352" s="1">
        <v>45662</v>
      </c>
      <c r="H352">
        <v>30</v>
      </c>
      <c r="I352">
        <v>67352.88</v>
      </c>
      <c r="J352">
        <v>67352.88</v>
      </c>
      <c r="K352">
        <v>0</v>
      </c>
      <c r="L352" s="1">
        <v>45660</v>
      </c>
      <c r="M352">
        <v>177</v>
      </c>
      <c r="N352">
        <v>147</v>
      </c>
      <c r="O352" t="s">
        <v>25</v>
      </c>
      <c r="P352">
        <v>0.01</v>
      </c>
      <c r="Q352">
        <v>0</v>
      </c>
    </row>
    <row r="353" spans="1:17" x14ac:dyDescent="0.25">
      <c r="A353" t="s">
        <v>396</v>
      </c>
      <c r="B353" t="s">
        <v>397</v>
      </c>
      <c r="C353" t="s">
        <v>19</v>
      </c>
      <c r="D353" t="s">
        <v>134</v>
      </c>
      <c r="E353" t="s">
        <v>403</v>
      </c>
      <c r="F353" s="1">
        <v>45802</v>
      </c>
      <c r="G353" s="1">
        <v>45847</v>
      </c>
      <c r="H353">
        <v>45</v>
      </c>
      <c r="I353">
        <v>42114.2</v>
      </c>
      <c r="J353">
        <v>0</v>
      </c>
      <c r="K353">
        <v>42114.2</v>
      </c>
      <c r="M353">
        <v>7</v>
      </c>
      <c r="N353">
        <v>0</v>
      </c>
      <c r="O353" t="s">
        <v>22</v>
      </c>
      <c r="P353">
        <v>0.01</v>
      </c>
      <c r="Q353">
        <v>0</v>
      </c>
    </row>
    <row r="354" spans="1:17" x14ac:dyDescent="0.25">
      <c r="A354" t="s">
        <v>396</v>
      </c>
      <c r="B354" t="s">
        <v>397</v>
      </c>
      <c r="C354" t="s">
        <v>19</v>
      </c>
      <c r="D354" t="s">
        <v>134</v>
      </c>
      <c r="E354" t="s">
        <v>404</v>
      </c>
      <c r="F354" s="1">
        <v>45642</v>
      </c>
      <c r="G354" s="1">
        <v>45702</v>
      </c>
      <c r="H354">
        <v>60</v>
      </c>
      <c r="I354">
        <v>77399.399999999994</v>
      </c>
      <c r="J354">
        <v>57581.87</v>
      </c>
      <c r="K354">
        <v>19817.53</v>
      </c>
      <c r="L354" s="1">
        <v>45808</v>
      </c>
      <c r="M354">
        <v>167</v>
      </c>
      <c r="N354">
        <v>107</v>
      </c>
      <c r="O354" t="s">
        <v>29</v>
      </c>
      <c r="P354">
        <v>2.5000000000000001E-2</v>
      </c>
      <c r="Q354">
        <v>0</v>
      </c>
    </row>
    <row r="355" spans="1:17" x14ac:dyDescent="0.25">
      <c r="A355" t="s">
        <v>396</v>
      </c>
      <c r="B355" t="s">
        <v>397</v>
      </c>
      <c r="C355" t="s">
        <v>19</v>
      </c>
      <c r="D355" t="s">
        <v>134</v>
      </c>
      <c r="E355" t="s">
        <v>405</v>
      </c>
      <c r="F355" s="1">
        <v>45640</v>
      </c>
      <c r="G355" s="1">
        <v>45655</v>
      </c>
      <c r="H355">
        <v>15</v>
      </c>
      <c r="I355">
        <v>45865.279999999999</v>
      </c>
      <c r="J355">
        <v>0</v>
      </c>
      <c r="K355">
        <v>45865.279999999999</v>
      </c>
      <c r="M355">
        <v>169</v>
      </c>
      <c r="N355">
        <v>154</v>
      </c>
      <c r="O355" t="s">
        <v>36</v>
      </c>
      <c r="P355">
        <v>0.02</v>
      </c>
      <c r="Q355">
        <v>0</v>
      </c>
    </row>
    <row r="356" spans="1:17" x14ac:dyDescent="0.25">
      <c r="A356" t="s">
        <v>396</v>
      </c>
      <c r="B356" t="s">
        <v>397</v>
      </c>
      <c r="C356" t="s">
        <v>19</v>
      </c>
      <c r="D356" t="s">
        <v>134</v>
      </c>
      <c r="E356" t="s">
        <v>406</v>
      </c>
      <c r="F356" s="1">
        <v>45754</v>
      </c>
      <c r="G356" s="1">
        <v>45799</v>
      </c>
      <c r="H356">
        <v>45</v>
      </c>
      <c r="I356">
        <v>33793.81</v>
      </c>
      <c r="J356">
        <v>33793.81</v>
      </c>
      <c r="K356">
        <v>0</v>
      </c>
      <c r="L356" s="1">
        <v>45786</v>
      </c>
      <c r="M356">
        <v>55</v>
      </c>
      <c r="N356">
        <v>10</v>
      </c>
      <c r="O356" t="s">
        <v>25</v>
      </c>
      <c r="P356">
        <v>0.01</v>
      </c>
      <c r="Q356">
        <v>337.94</v>
      </c>
    </row>
    <row r="357" spans="1:17" x14ac:dyDescent="0.25">
      <c r="A357" t="s">
        <v>396</v>
      </c>
      <c r="B357" t="s">
        <v>397</v>
      </c>
      <c r="C357" t="s">
        <v>19</v>
      </c>
      <c r="D357" t="s">
        <v>134</v>
      </c>
      <c r="E357" t="s">
        <v>407</v>
      </c>
      <c r="F357" s="1">
        <v>45710</v>
      </c>
      <c r="G357" s="1">
        <v>45725</v>
      </c>
      <c r="H357">
        <v>15</v>
      </c>
      <c r="I357">
        <v>27425.95</v>
      </c>
      <c r="J357">
        <v>27425.95</v>
      </c>
      <c r="K357">
        <v>0</v>
      </c>
      <c r="L357" s="1">
        <v>45737</v>
      </c>
      <c r="M357">
        <v>99</v>
      </c>
      <c r="N357">
        <v>84</v>
      </c>
      <c r="O357" t="s">
        <v>25</v>
      </c>
      <c r="P357">
        <v>0.01</v>
      </c>
      <c r="Q357">
        <v>0</v>
      </c>
    </row>
    <row r="358" spans="1:17" x14ac:dyDescent="0.25">
      <c r="A358" t="s">
        <v>396</v>
      </c>
      <c r="B358" t="s">
        <v>397</v>
      </c>
      <c r="C358" t="s">
        <v>19</v>
      </c>
      <c r="D358" t="s">
        <v>134</v>
      </c>
      <c r="E358" t="s">
        <v>408</v>
      </c>
      <c r="F358" s="1">
        <v>45635</v>
      </c>
      <c r="G358" s="1">
        <v>45725</v>
      </c>
      <c r="H358">
        <v>90</v>
      </c>
      <c r="I358">
        <v>29988.01</v>
      </c>
      <c r="J358">
        <v>0</v>
      </c>
      <c r="K358">
        <v>29988.01</v>
      </c>
      <c r="M358">
        <v>174</v>
      </c>
      <c r="N358">
        <v>84</v>
      </c>
      <c r="O358" t="s">
        <v>36</v>
      </c>
      <c r="P358">
        <v>0.02</v>
      </c>
      <c r="Q358">
        <v>0</v>
      </c>
    </row>
    <row r="359" spans="1:17" x14ac:dyDescent="0.25">
      <c r="A359" t="s">
        <v>396</v>
      </c>
      <c r="B359" t="s">
        <v>397</v>
      </c>
      <c r="C359" t="s">
        <v>19</v>
      </c>
      <c r="D359" t="s">
        <v>134</v>
      </c>
      <c r="E359" t="s">
        <v>409</v>
      </c>
      <c r="F359" s="1">
        <v>45652</v>
      </c>
      <c r="G359" s="1">
        <v>45667</v>
      </c>
      <c r="H359">
        <v>15</v>
      </c>
      <c r="I359">
        <v>13367.9</v>
      </c>
      <c r="J359">
        <v>0</v>
      </c>
      <c r="K359">
        <v>13367.9</v>
      </c>
      <c r="M359">
        <v>157</v>
      </c>
      <c r="N359">
        <v>142</v>
      </c>
      <c r="O359" t="s">
        <v>36</v>
      </c>
      <c r="P359">
        <v>0</v>
      </c>
      <c r="Q359">
        <v>0</v>
      </c>
    </row>
    <row r="360" spans="1:17" x14ac:dyDescent="0.25">
      <c r="A360" t="s">
        <v>396</v>
      </c>
      <c r="B360" t="s">
        <v>397</v>
      </c>
      <c r="C360" t="s">
        <v>19</v>
      </c>
      <c r="D360" t="s">
        <v>134</v>
      </c>
      <c r="E360" t="s">
        <v>410</v>
      </c>
      <c r="F360" s="1">
        <v>45653</v>
      </c>
      <c r="G360" s="1">
        <v>45698</v>
      </c>
      <c r="H360">
        <v>45</v>
      </c>
      <c r="I360">
        <v>19553.96</v>
      </c>
      <c r="J360">
        <v>0</v>
      </c>
      <c r="K360">
        <v>19553.96</v>
      </c>
      <c r="M360">
        <v>156</v>
      </c>
      <c r="N360">
        <v>111</v>
      </c>
      <c r="O360" t="s">
        <v>36</v>
      </c>
      <c r="P360">
        <v>0</v>
      </c>
      <c r="Q360">
        <v>0</v>
      </c>
    </row>
    <row r="361" spans="1:17" x14ac:dyDescent="0.25">
      <c r="A361" t="s">
        <v>396</v>
      </c>
      <c r="B361" t="s">
        <v>397</v>
      </c>
      <c r="C361" t="s">
        <v>19</v>
      </c>
      <c r="D361" t="s">
        <v>134</v>
      </c>
      <c r="E361" t="s">
        <v>411</v>
      </c>
      <c r="F361" s="1">
        <v>45703</v>
      </c>
      <c r="G361" s="1">
        <v>45763</v>
      </c>
      <c r="H361">
        <v>60</v>
      </c>
      <c r="I361">
        <v>23792.79</v>
      </c>
      <c r="J361">
        <v>23792.79</v>
      </c>
      <c r="K361">
        <v>0</v>
      </c>
      <c r="L361" s="1">
        <v>45757</v>
      </c>
      <c r="M361">
        <v>106</v>
      </c>
      <c r="N361">
        <v>46</v>
      </c>
      <c r="O361" t="s">
        <v>25</v>
      </c>
      <c r="P361">
        <v>0.02</v>
      </c>
      <c r="Q361">
        <v>475.86</v>
      </c>
    </row>
    <row r="362" spans="1:17" x14ac:dyDescent="0.25">
      <c r="A362" t="s">
        <v>396</v>
      </c>
      <c r="B362" t="s">
        <v>397</v>
      </c>
      <c r="C362" t="s">
        <v>19</v>
      </c>
      <c r="D362" t="s">
        <v>134</v>
      </c>
      <c r="E362" t="s">
        <v>412</v>
      </c>
      <c r="F362" s="1">
        <v>45738</v>
      </c>
      <c r="G362" s="1">
        <v>45798</v>
      </c>
      <c r="H362">
        <v>60</v>
      </c>
      <c r="I362">
        <v>79167.02</v>
      </c>
      <c r="J362">
        <v>0</v>
      </c>
      <c r="K362">
        <v>79167.02</v>
      </c>
      <c r="M362">
        <v>71</v>
      </c>
      <c r="N362">
        <v>11</v>
      </c>
      <c r="O362" t="s">
        <v>36</v>
      </c>
      <c r="P362">
        <v>0.02</v>
      </c>
      <c r="Q362">
        <v>0</v>
      </c>
    </row>
    <row r="363" spans="1:17" x14ac:dyDescent="0.25">
      <c r="A363" t="s">
        <v>396</v>
      </c>
      <c r="B363" t="s">
        <v>397</v>
      </c>
      <c r="C363" t="s">
        <v>19</v>
      </c>
      <c r="D363" t="s">
        <v>134</v>
      </c>
      <c r="E363" t="s">
        <v>413</v>
      </c>
      <c r="F363" s="1">
        <v>45739</v>
      </c>
      <c r="G363" s="1">
        <v>45829</v>
      </c>
      <c r="H363">
        <v>90</v>
      </c>
      <c r="I363">
        <v>17875.62</v>
      </c>
      <c r="J363">
        <v>0</v>
      </c>
      <c r="K363">
        <v>17875.62</v>
      </c>
      <c r="M363">
        <v>70</v>
      </c>
      <c r="N363">
        <v>0</v>
      </c>
      <c r="O363" t="s">
        <v>22</v>
      </c>
      <c r="P363">
        <v>0.01</v>
      </c>
      <c r="Q363">
        <v>0</v>
      </c>
    </row>
    <row r="364" spans="1:17" x14ac:dyDescent="0.25">
      <c r="A364" t="s">
        <v>396</v>
      </c>
      <c r="B364" t="s">
        <v>397</v>
      </c>
      <c r="C364" t="s">
        <v>19</v>
      </c>
      <c r="D364" t="s">
        <v>134</v>
      </c>
      <c r="E364" t="s">
        <v>414</v>
      </c>
      <c r="F364" s="1">
        <v>45648</v>
      </c>
      <c r="G364" s="1">
        <v>45708</v>
      </c>
      <c r="H364">
        <v>60</v>
      </c>
      <c r="I364">
        <v>4820.4799999999996</v>
      </c>
      <c r="J364">
        <v>3745.11</v>
      </c>
      <c r="K364">
        <v>1075.3699999999999</v>
      </c>
      <c r="L364" s="1">
        <v>45651</v>
      </c>
      <c r="M364">
        <v>161</v>
      </c>
      <c r="N364">
        <v>101</v>
      </c>
      <c r="O364" t="s">
        <v>29</v>
      </c>
      <c r="P364">
        <v>0.02</v>
      </c>
      <c r="Q364">
        <v>0</v>
      </c>
    </row>
    <row r="365" spans="1:17" x14ac:dyDescent="0.25">
      <c r="A365" t="s">
        <v>396</v>
      </c>
      <c r="B365" t="s">
        <v>397</v>
      </c>
      <c r="C365" t="s">
        <v>19</v>
      </c>
      <c r="D365" t="s">
        <v>134</v>
      </c>
      <c r="E365" t="s">
        <v>415</v>
      </c>
      <c r="F365" s="1">
        <v>45772</v>
      </c>
      <c r="G365" s="1">
        <v>45832</v>
      </c>
      <c r="H365">
        <v>60</v>
      </c>
      <c r="I365">
        <v>19223.61</v>
      </c>
      <c r="J365">
        <v>0</v>
      </c>
      <c r="K365">
        <v>19223.61</v>
      </c>
      <c r="M365">
        <v>37</v>
      </c>
      <c r="N365">
        <v>0</v>
      </c>
      <c r="O365" t="s">
        <v>22</v>
      </c>
      <c r="P365">
        <v>0.01</v>
      </c>
      <c r="Q365">
        <v>0</v>
      </c>
    </row>
    <row r="366" spans="1:17" x14ac:dyDescent="0.25">
      <c r="A366" t="s">
        <v>396</v>
      </c>
      <c r="B366" t="s">
        <v>397</v>
      </c>
      <c r="C366" t="s">
        <v>19</v>
      </c>
      <c r="D366" t="s">
        <v>134</v>
      </c>
      <c r="E366" t="s">
        <v>416</v>
      </c>
      <c r="F366" s="1">
        <v>45674</v>
      </c>
      <c r="G366" s="1">
        <v>45719</v>
      </c>
      <c r="H366">
        <v>45</v>
      </c>
      <c r="I366">
        <v>30005.66</v>
      </c>
      <c r="J366">
        <v>30005.66</v>
      </c>
      <c r="K366">
        <v>0</v>
      </c>
      <c r="L366" s="1">
        <v>45749</v>
      </c>
      <c r="M366">
        <v>135</v>
      </c>
      <c r="N366">
        <v>90</v>
      </c>
      <c r="O366" t="s">
        <v>25</v>
      </c>
      <c r="P366">
        <v>2.5000000000000001E-2</v>
      </c>
      <c r="Q366">
        <v>0</v>
      </c>
    </row>
    <row r="367" spans="1:17" x14ac:dyDescent="0.25">
      <c r="A367" t="s">
        <v>396</v>
      </c>
      <c r="B367" t="s">
        <v>397</v>
      </c>
      <c r="C367" t="s">
        <v>19</v>
      </c>
      <c r="D367" t="s">
        <v>134</v>
      </c>
      <c r="E367" t="s">
        <v>417</v>
      </c>
      <c r="F367" s="1">
        <v>45739</v>
      </c>
      <c r="G367" s="1">
        <v>45784</v>
      </c>
      <c r="H367">
        <v>45</v>
      </c>
      <c r="I367">
        <v>75963.13</v>
      </c>
      <c r="J367">
        <v>75963.13</v>
      </c>
      <c r="K367">
        <v>0</v>
      </c>
      <c r="L367" s="1">
        <v>45811</v>
      </c>
      <c r="M367">
        <v>70</v>
      </c>
      <c r="N367">
        <v>25</v>
      </c>
      <c r="O367" t="s">
        <v>25</v>
      </c>
      <c r="P367">
        <v>0.01</v>
      </c>
      <c r="Q367">
        <v>0</v>
      </c>
    </row>
    <row r="368" spans="1:17" x14ac:dyDescent="0.25">
      <c r="A368" t="s">
        <v>396</v>
      </c>
      <c r="B368" t="s">
        <v>397</v>
      </c>
      <c r="C368" t="s">
        <v>19</v>
      </c>
      <c r="D368" t="s">
        <v>134</v>
      </c>
      <c r="E368" t="s">
        <v>418</v>
      </c>
      <c r="F368" s="1">
        <v>45667</v>
      </c>
      <c r="G368" s="1">
        <v>45727</v>
      </c>
      <c r="H368">
        <v>60</v>
      </c>
      <c r="I368">
        <v>44271.25</v>
      </c>
      <c r="J368">
        <v>8056.16</v>
      </c>
      <c r="K368">
        <v>36215.089999999997</v>
      </c>
      <c r="L368" s="1">
        <v>45712</v>
      </c>
      <c r="M368">
        <v>142</v>
      </c>
      <c r="N368">
        <v>82</v>
      </c>
      <c r="O368" t="s">
        <v>29</v>
      </c>
      <c r="P368">
        <v>0.01</v>
      </c>
      <c r="Q368">
        <v>0</v>
      </c>
    </row>
    <row r="369" spans="1:17" x14ac:dyDescent="0.25">
      <c r="A369" t="s">
        <v>396</v>
      </c>
      <c r="B369" t="s">
        <v>397</v>
      </c>
      <c r="C369" t="s">
        <v>19</v>
      </c>
      <c r="D369" t="s">
        <v>134</v>
      </c>
      <c r="E369" t="s">
        <v>419</v>
      </c>
      <c r="F369" s="1">
        <v>45662</v>
      </c>
      <c r="G369" s="1">
        <v>45722</v>
      </c>
      <c r="H369">
        <v>60</v>
      </c>
      <c r="I369">
        <v>24453.03</v>
      </c>
      <c r="J369">
        <v>18895.38</v>
      </c>
      <c r="K369">
        <v>5557.65</v>
      </c>
      <c r="L369" s="1">
        <v>45766</v>
      </c>
      <c r="M369">
        <v>147</v>
      </c>
      <c r="N369">
        <v>87</v>
      </c>
      <c r="O369" t="s">
        <v>29</v>
      </c>
      <c r="P369">
        <v>0</v>
      </c>
      <c r="Q369">
        <v>0</v>
      </c>
    </row>
    <row r="370" spans="1:17" x14ac:dyDescent="0.25">
      <c r="A370" t="s">
        <v>396</v>
      </c>
      <c r="B370" t="s">
        <v>397</v>
      </c>
      <c r="C370" t="s">
        <v>19</v>
      </c>
      <c r="D370" t="s">
        <v>134</v>
      </c>
      <c r="E370" t="s">
        <v>420</v>
      </c>
      <c r="F370" s="1">
        <v>45639</v>
      </c>
      <c r="G370" s="1">
        <v>45729</v>
      </c>
      <c r="H370">
        <v>90</v>
      </c>
      <c r="I370">
        <v>57002.9</v>
      </c>
      <c r="J370">
        <v>57002.9</v>
      </c>
      <c r="K370">
        <v>0</v>
      </c>
      <c r="L370" s="1">
        <v>45711</v>
      </c>
      <c r="M370">
        <v>170</v>
      </c>
      <c r="N370">
        <v>80</v>
      </c>
      <c r="O370" t="s">
        <v>25</v>
      </c>
      <c r="P370">
        <v>2.5000000000000001E-2</v>
      </c>
      <c r="Q370">
        <v>1425.07</v>
      </c>
    </row>
    <row r="371" spans="1:17" x14ac:dyDescent="0.25">
      <c r="A371" t="s">
        <v>396</v>
      </c>
      <c r="B371" t="s">
        <v>397</v>
      </c>
      <c r="C371" t="s">
        <v>19</v>
      </c>
      <c r="D371" t="s">
        <v>134</v>
      </c>
      <c r="E371" t="s">
        <v>421</v>
      </c>
      <c r="F371" s="1">
        <v>45760</v>
      </c>
      <c r="G371" s="1">
        <v>45805</v>
      </c>
      <c r="H371">
        <v>45</v>
      </c>
      <c r="I371">
        <v>6520.16</v>
      </c>
      <c r="J371">
        <v>6520.16</v>
      </c>
      <c r="K371">
        <v>0</v>
      </c>
      <c r="L371" s="1">
        <v>45776</v>
      </c>
      <c r="M371">
        <v>49</v>
      </c>
      <c r="N371">
        <v>4</v>
      </c>
      <c r="O371" t="s">
        <v>25</v>
      </c>
      <c r="P371">
        <v>0.01</v>
      </c>
      <c r="Q371">
        <v>65.2</v>
      </c>
    </row>
    <row r="372" spans="1:17" x14ac:dyDescent="0.25">
      <c r="A372" t="s">
        <v>396</v>
      </c>
      <c r="B372" t="s">
        <v>397</v>
      </c>
      <c r="C372" t="s">
        <v>19</v>
      </c>
      <c r="D372" t="s">
        <v>134</v>
      </c>
      <c r="E372" t="s">
        <v>422</v>
      </c>
      <c r="F372" s="1">
        <v>45715</v>
      </c>
      <c r="G372" s="1">
        <v>45745</v>
      </c>
      <c r="H372">
        <v>30</v>
      </c>
      <c r="I372">
        <v>2780.36</v>
      </c>
      <c r="J372">
        <v>2780.36</v>
      </c>
      <c r="K372">
        <v>0</v>
      </c>
      <c r="L372" s="1">
        <v>45759</v>
      </c>
      <c r="M372">
        <v>94</v>
      </c>
      <c r="N372">
        <v>64</v>
      </c>
      <c r="O372" t="s">
        <v>25</v>
      </c>
      <c r="P372">
        <v>0.01</v>
      </c>
      <c r="Q372">
        <v>0</v>
      </c>
    </row>
    <row r="373" spans="1:17" x14ac:dyDescent="0.25">
      <c r="A373" t="s">
        <v>396</v>
      </c>
      <c r="B373" t="s">
        <v>397</v>
      </c>
      <c r="C373" t="s">
        <v>19</v>
      </c>
      <c r="D373" t="s">
        <v>134</v>
      </c>
      <c r="E373" t="s">
        <v>423</v>
      </c>
      <c r="F373" s="1">
        <v>45741</v>
      </c>
      <c r="G373" s="1">
        <v>45831</v>
      </c>
      <c r="H373">
        <v>90</v>
      </c>
      <c r="I373">
        <v>69699.899999999994</v>
      </c>
      <c r="J373">
        <v>0</v>
      </c>
      <c r="K373">
        <v>69699.899999999994</v>
      </c>
      <c r="M373">
        <v>68</v>
      </c>
      <c r="N373">
        <v>0</v>
      </c>
      <c r="O373" t="s">
        <v>22</v>
      </c>
      <c r="P373">
        <v>0.02</v>
      </c>
      <c r="Q373">
        <v>0</v>
      </c>
    </row>
    <row r="374" spans="1:17" x14ac:dyDescent="0.25">
      <c r="A374" t="s">
        <v>396</v>
      </c>
      <c r="B374" t="s">
        <v>397</v>
      </c>
      <c r="C374" t="s">
        <v>19</v>
      </c>
      <c r="D374" t="s">
        <v>134</v>
      </c>
      <c r="E374" t="s">
        <v>424</v>
      </c>
      <c r="F374" s="1">
        <v>45691</v>
      </c>
      <c r="G374" s="1">
        <v>45781</v>
      </c>
      <c r="H374">
        <v>90</v>
      </c>
      <c r="I374">
        <v>71114.2</v>
      </c>
      <c r="J374">
        <v>0</v>
      </c>
      <c r="K374">
        <v>71114.2</v>
      </c>
      <c r="M374">
        <v>118</v>
      </c>
      <c r="N374">
        <v>28</v>
      </c>
      <c r="O374" t="s">
        <v>36</v>
      </c>
      <c r="P374">
        <v>0.01</v>
      </c>
      <c r="Q374">
        <v>0</v>
      </c>
    </row>
    <row r="375" spans="1:17" x14ac:dyDescent="0.25">
      <c r="A375" t="s">
        <v>396</v>
      </c>
      <c r="B375" t="s">
        <v>397</v>
      </c>
      <c r="C375" t="s">
        <v>19</v>
      </c>
      <c r="D375" t="s">
        <v>134</v>
      </c>
      <c r="E375" t="s">
        <v>425</v>
      </c>
      <c r="F375" s="1">
        <v>45786</v>
      </c>
      <c r="G375" s="1">
        <v>45846</v>
      </c>
      <c r="H375">
        <v>60</v>
      </c>
      <c r="I375">
        <v>62901.34</v>
      </c>
      <c r="J375">
        <v>0</v>
      </c>
      <c r="K375">
        <v>62901.34</v>
      </c>
      <c r="M375">
        <v>23</v>
      </c>
      <c r="N375">
        <v>0</v>
      </c>
      <c r="O375" t="s">
        <v>22</v>
      </c>
      <c r="P375">
        <v>2.5000000000000001E-2</v>
      </c>
      <c r="Q375">
        <v>0</v>
      </c>
    </row>
    <row r="376" spans="1:17" x14ac:dyDescent="0.25">
      <c r="A376" t="s">
        <v>396</v>
      </c>
      <c r="B376" t="s">
        <v>397</v>
      </c>
      <c r="C376" t="s">
        <v>19</v>
      </c>
      <c r="D376" t="s">
        <v>134</v>
      </c>
      <c r="E376" t="s">
        <v>426</v>
      </c>
      <c r="F376" s="1">
        <v>45770</v>
      </c>
      <c r="G376" s="1">
        <v>45785</v>
      </c>
      <c r="H376">
        <v>15</v>
      </c>
      <c r="I376">
        <v>34575.79</v>
      </c>
      <c r="J376">
        <v>34575.79</v>
      </c>
      <c r="K376">
        <v>0</v>
      </c>
      <c r="L376" s="1">
        <v>45780</v>
      </c>
      <c r="M376">
        <v>39</v>
      </c>
      <c r="N376">
        <v>24</v>
      </c>
      <c r="O376" t="s">
        <v>25</v>
      </c>
      <c r="P376">
        <v>0.01</v>
      </c>
      <c r="Q376">
        <v>345.76</v>
      </c>
    </row>
    <row r="377" spans="1:17" x14ac:dyDescent="0.25">
      <c r="A377" t="s">
        <v>396</v>
      </c>
      <c r="B377" t="s">
        <v>397</v>
      </c>
      <c r="C377" t="s">
        <v>19</v>
      </c>
      <c r="D377" t="s">
        <v>134</v>
      </c>
      <c r="E377" t="s">
        <v>427</v>
      </c>
      <c r="F377" s="1">
        <v>45754</v>
      </c>
      <c r="G377" s="1">
        <v>45769</v>
      </c>
      <c r="H377">
        <v>15</v>
      </c>
      <c r="I377">
        <v>24294.81</v>
      </c>
      <c r="J377">
        <v>0</v>
      </c>
      <c r="K377">
        <v>24294.81</v>
      </c>
      <c r="M377">
        <v>55</v>
      </c>
      <c r="N377">
        <v>40</v>
      </c>
      <c r="O377" t="s">
        <v>36</v>
      </c>
      <c r="P377">
        <v>2.5000000000000001E-2</v>
      </c>
      <c r="Q377">
        <v>0</v>
      </c>
    </row>
    <row r="378" spans="1:17" x14ac:dyDescent="0.25">
      <c r="A378" t="s">
        <v>396</v>
      </c>
      <c r="B378" t="s">
        <v>397</v>
      </c>
      <c r="C378" t="s">
        <v>19</v>
      </c>
      <c r="D378" t="s">
        <v>134</v>
      </c>
      <c r="E378" t="s">
        <v>428</v>
      </c>
      <c r="F378" s="1">
        <v>45759</v>
      </c>
      <c r="G378" s="1">
        <v>45774</v>
      </c>
      <c r="H378">
        <v>15</v>
      </c>
      <c r="I378">
        <v>40381.949999999997</v>
      </c>
      <c r="J378">
        <v>0</v>
      </c>
      <c r="K378">
        <v>40381.949999999997</v>
      </c>
      <c r="M378">
        <v>50</v>
      </c>
      <c r="N378">
        <v>35</v>
      </c>
      <c r="O378" t="s">
        <v>36</v>
      </c>
      <c r="P378">
        <v>0.01</v>
      </c>
      <c r="Q378">
        <v>0</v>
      </c>
    </row>
    <row r="379" spans="1:17" x14ac:dyDescent="0.25">
      <c r="A379" t="s">
        <v>396</v>
      </c>
      <c r="B379" t="s">
        <v>397</v>
      </c>
      <c r="C379" t="s">
        <v>19</v>
      </c>
      <c r="D379" t="s">
        <v>134</v>
      </c>
      <c r="E379" t="s">
        <v>429</v>
      </c>
      <c r="F379" s="1">
        <v>45775</v>
      </c>
      <c r="G379" s="1">
        <v>45835</v>
      </c>
      <c r="H379">
        <v>60</v>
      </c>
      <c r="I379">
        <v>32804.89</v>
      </c>
      <c r="J379">
        <v>0</v>
      </c>
      <c r="K379">
        <v>32804.89</v>
      </c>
      <c r="M379">
        <v>34</v>
      </c>
      <c r="N379">
        <v>0</v>
      </c>
      <c r="O379" t="s">
        <v>22</v>
      </c>
      <c r="P379">
        <v>0</v>
      </c>
      <c r="Q379">
        <v>0</v>
      </c>
    </row>
    <row r="380" spans="1:17" x14ac:dyDescent="0.25">
      <c r="A380" t="s">
        <v>396</v>
      </c>
      <c r="B380" t="s">
        <v>397</v>
      </c>
      <c r="C380" t="s">
        <v>19</v>
      </c>
      <c r="D380" t="s">
        <v>134</v>
      </c>
      <c r="E380" t="s">
        <v>430</v>
      </c>
      <c r="F380" s="1">
        <v>45782</v>
      </c>
      <c r="G380" s="1">
        <v>45842</v>
      </c>
      <c r="H380">
        <v>60</v>
      </c>
      <c r="I380">
        <v>7077.2</v>
      </c>
      <c r="J380">
        <v>0</v>
      </c>
      <c r="K380">
        <v>7077.2</v>
      </c>
      <c r="M380">
        <v>27</v>
      </c>
      <c r="N380">
        <v>0</v>
      </c>
      <c r="O380" t="s">
        <v>22</v>
      </c>
      <c r="P380">
        <v>2.5000000000000001E-2</v>
      </c>
      <c r="Q380">
        <v>0</v>
      </c>
    </row>
    <row r="381" spans="1:17" x14ac:dyDescent="0.25">
      <c r="A381" t="s">
        <v>396</v>
      </c>
      <c r="B381" t="s">
        <v>397</v>
      </c>
      <c r="C381" t="s">
        <v>19</v>
      </c>
      <c r="D381" t="s">
        <v>134</v>
      </c>
      <c r="E381" t="s">
        <v>431</v>
      </c>
      <c r="F381" s="1">
        <v>45737</v>
      </c>
      <c r="G381" s="1">
        <v>45827</v>
      </c>
      <c r="H381">
        <v>90</v>
      </c>
      <c r="I381">
        <v>76910.84</v>
      </c>
      <c r="J381">
        <v>0</v>
      </c>
      <c r="K381">
        <v>76910.84</v>
      </c>
      <c r="M381">
        <v>72</v>
      </c>
      <c r="N381">
        <v>0</v>
      </c>
      <c r="O381" t="s">
        <v>22</v>
      </c>
      <c r="P381">
        <v>0.02</v>
      </c>
      <c r="Q381">
        <v>0</v>
      </c>
    </row>
    <row r="382" spans="1:17" x14ac:dyDescent="0.25">
      <c r="A382" t="s">
        <v>396</v>
      </c>
      <c r="B382" t="s">
        <v>397</v>
      </c>
      <c r="C382" t="s">
        <v>19</v>
      </c>
      <c r="D382" t="s">
        <v>134</v>
      </c>
      <c r="E382" t="s">
        <v>432</v>
      </c>
      <c r="F382" s="1">
        <v>45672</v>
      </c>
      <c r="G382" s="1">
        <v>45762</v>
      </c>
      <c r="H382">
        <v>90</v>
      </c>
      <c r="I382">
        <v>63294.65</v>
      </c>
      <c r="J382">
        <v>47998.04</v>
      </c>
      <c r="K382">
        <v>15296.61</v>
      </c>
      <c r="L382" s="1">
        <v>45724</v>
      </c>
      <c r="M382">
        <v>137</v>
      </c>
      <c r="N382">
        <v>47</v>
      </c>
      <c r="O382" t="s">
        <v>29</v>
      </c>
      <c r="P382">
        <v>2.5000000000000001E-2</v>
      </c>
      <c r="Q382">
        <v>0</v>
      </c>
    </row>
    <row r="383" spans="1:17" x14ac:dyDescent="0.25">
      <c r="A383" t="s">
        <v>396</v>
      </c>
      <c r="B383" t="s">
        <v>397</v>
      </c>
      <c r="C383" t="s">
        <v>19</v>
      </c>
      <c r="D383" t="s">
        <v>134</v>
      </c>
      <c r="E383" t="s">
        <v>433</v>
      </c>
      <c r="F383" s="1">
        <v>45778</v>
      </c>
      <c r="G383" s="1">
        <v>45808</v>
      </c>
      <c r="H383">
        <v>30</v>
      </c>
      <c r="I383">
        <v>37435.5</v>
      </c>
      <c r="J383">
        <v>37435.5</v>
      </c>
      <c r="K383">
        <v>0</v>
      </c>
      <c r="L383" s="1">
        <v>45797</v>
      </c>
      <c r="M383">
        <v>31</v>
      </c>
      <c r="N383">
        <v>1</v>
      </c>
      <c r="O383" t="s">
        <v>25</v>
      </c>
      <c r="P383">
        <v>0</v>
      </c>
      <c r="Q383">
        <v>0</v>
      </c>
    </row>
    <row r="384" spans="1:17" x14ac:dyDescent="0.25">
      <c r="A384" t="s">
        <v>434</v>
      </c>
      <c r="B384" t="s">
        <v>435</v>
      </c>
      <c r="C384" t="s">
        <v>59</v>
      </c>
      <c r="D384" t="s">
        <v>106</v>
      </c>
      <c r="E384" t="s">
        <v>436</v>
      </c>
      <c r="F384" s="1">
        <v>45728</v>
      </c>
      <c r="G384" s="1">
        <v>45788</v>
      </c>
      <c r="H384">
        <v>60</v>
      </c>
      <c r="I384">
        <v>77769.41</v>
      </c>
      <c r="J384">
        <v>77769.41</v>
      </c>
      <c r="K384">
        <v>0</v>
      </c>
      <c r="L384" s="1">
        <v>45784</v>
      </c>
      <c r="M384">
        <v>81</v>
      </c>
      <c r="N384">
        <v>21</v>
      </c>
      <c r="O384" t="s">
        <v>25</v>
      </c>
      <c r="P384">
        <v>0.01</v>
      </c>
      <c r="Q384">
        <v>0</v>
      </c>
    </row>
    <row r="385" spans="1:17" x14ac:dyDescent="0.25">
      <c r="A385" t="s">
        <v>434</v>
      </c>
      <c r="B385" t="s">
        <v>435</v>
      </c>
      <c r="C385" t="s">
        <v>59</v>
      </c>
      <c r="D385" t="s">
        <v>106</v>
      </c>
      <c r="E385" t="s">
        <v>437</v>
      </c>
      <c r="F385" s="1">
        <v>45669</v>
      </c>
      <c r="G385" s="1">
        <v>45729</v>
      </c>
      <c r="H385">
        <v>60</v>
      </c>
      <c r="I385">
        <v>37919.519999999997</v>
      </c>
      <c r="J385">
        <v>37919.519999999997</v>
      </c>
      <c r="K385">
        <v>0</v>
      </c>
      <c r="L385" s="1">
        <v>45686</v>
      </c>
      <c r="M385">
        <v>140</v>
      </c>
      <c r="N385">
        <v>80</v>
      </c>
      <c r="O385" t="s">
        <v>25</v>
      </c>
      <c r="P385">
        <v>0.02</v>
      </c>
      <c r="Q385">
        <v>758.39</v>
      </c>
    </row>
    <row r="386" spans="1:17" x14ac:dyDescent="0.25">
      <c r="A386" t="s">
        <v>434</v>
      </c>
      <c r="B386" t="s">
        <v>435</v>
      </c>
      <c r="C386" t="s">
        <v>59</v>
      </c>
      <c r="D386" t="s">
        <v>106</v>
      </c>
      <c r="E386" t="s">
        <v>438</v>
      </c>
      <c r="F386" s="1">
        <v>45741</v>
      </c>
      <c r="G386" s="1">
        <v>45756</v>
      </c>
      <c r="H386">
        <v>15</v>
      </c>
      <c r="I386">
        <v>32782.720000000001</v>
      </c>
      <c r="J386">
        <v>32782.720000000001</v>
      </c>
      <c r="K386">
        <v>0</v>
      </c>
      <c r="L386" s="1">
        <v>45777</v>
      </c>
      <c r="M386">
        <v>68</v>
      </c>
      <c r="N386">
        <v>53</v>
      </c>
      <c r="O386" t="s">
        <v>25</v>
      </c>
      <c r="P386">
        <v>0</v>
      </c>
      <c r="Q386">
        <v>0</v>
      </c>
    </row>
    <row r="387" spans="1:17" x14ac:dyDescent="0.25">
      <c r="A387" t="s">
        <v>434</v>
      </c>
      <c r="B387" t="s">
        <v>435</v>
      </c>
      <c r="C387" t="s">
        <v>59</v>
      </c>
      <c r="D387" t="s">
        <v>106</v>
      </c>
      <c r="E387" t="s">
        <v>439</v>
      </c>
      <c r="F387" s="1">
        <v>45632</v>
      </c>
      <c r="G387" s="1">
        <v>45662</v>
      </c>
      <c r="H387">
        <v>30</v>
      </c>
      <c r="I387">
        <v>31558.560000000001</v>
      </c>
      <c r="J387">
        <v>31558.560000000001</v>
      </c>
      <c r="K387">
        <v>0</v>
      </c>
      <c r="L387" s="1">
        <v>45677</v>
      </c>
      <c r="M387">
        <v>177</v>
      </c>
      <c r="N387">
        <v>147</v>
      </c>
      <c r="O387" t="s">
        <v>25</v>
      </c>
      <c r="P387">
        <v>0</v>
      </c>
      <c r="Q387">
        <v>0</v>
      </c>
    </row>
    <row r="388" spans="1:17" x14ac:dyDescent="0.25">
      <c r="A388" t="s">
        <v>434</v>
      </c>
      <c r="B388" t="s">
        <v>435</v>
      </c>
      <c r="C388" t="s">
        <v>59</v>
      </c>
      <c r="D388" t="s">
        <v>106</v>
      </c>
      <c r="E388" t="s">
        <v>440</v>
      </c>
      <c r="F388" s="1">
        <v>45700</v>
      </c>
      <c r="G388" s="1">
        <v>45790</v>
      </c>
      <c r="H388">
        <v>90</v>
      </c>
      <c r="I388">
        <v>73683.710000000006</v>
      </c>
      <c r="J388">
        <v>73683.710000000006</v>
      </c>
      <c r="K388">
        <v>0</v>
      </c>
      <c r="L388" s="1">
        <v>45792</v>
      </c>
      <c r="M388">
        <v>109</v>
      </c>
      <c r="N388">
        <v>19</v>
      </c>
      <c r="O388" t="s">
        <v>25</v>
      </c>
      <c r="P388">
        <v>0.02</v>
      </c>
      <c r="Q388">
        <v>0</v>
      </c>
    </row>
    <row r="389" spans="1:17" x14ac:dyDescent="0.25">
      <c r="A389" t="s">
        <v>434</v>
      </c>
      <c r="B389" t="s">
        <v>435</v>
      </c>
      <c r="C389" t="s">
        <v>59</v>
      </c>
      <c r="D389" t="s">
        <v>106</v>
      </c>
      <c r="E389" t="s">
        <v>441</v>
      </c>
      <c r="F389" s="1">
        <v>45661</v>
      </c>
      <c r="G389" s="1">
        <v>45691</v>
      </c>
      <c r="H389">
        <v>30</v>
      </c>
      <c r="I389">
        <v>38208.519999999997</v>
      </c>
      <c r="J389">
        <v>38208.519999999997</v>
      </c>
      <c r="K389">
        <v>0</v>
      </c>
      <c r="L389" s="1">
        <v>45677</v>
      </c>
      <c r="M389">
        <v>148</v>
      </c>
      <c r="N389">
        <v>118</v>
      </c>
      <c r="O389" t="s">
        <v>25</v>
      </c>
      <c r="P389">
        <v>0.01</v>
      </c>
      <c r="Q389">
        <v>382.09</v>
      </c>
    </row>
    <row r="390" spans="1:17" x14ac:dyDescent="0.25">
      <c r="A390" t="s">
        <v>434</v>
      </c>
      <c r="B390" t="s">
        <v>435</v>
      </c>
      <c r="C390" t="s">
        <v>59</v>
      </c>
      <c r="D390" t="s">
        <v>106</v>
      </c>
      <c r="E390" t="s">
        <v>442</v>
      </c>
      <c r="F390" s="1">
        <v>45652</v>
      </c>
      <c r="G390" s="1">
        <v>45682</v>
      </c>
      <c r="H390">
        <v>30</v>
      </c>
      <c r="I390">
        <v>11159.9</v>
      </c>
      <c r="J390">
        <v>11159.9</v>
      </c>
      <c r="K390">
        <v>0</v>
      </c>
      <c r="L390" s="1">
        <v>45693</v>
      </c>
      <c r="M390">
        <v>157</v>
      </c>
      <c r="N390">
        <v>127</v>
      </c>
      <c r="O390" t="s">
        <v>25</v>
      </c>
      <c r="P390">
        <v>0.02</v>
      </c>
      <c r="Q390">
        <v>0</v>
      </c>
    </row>
    <row r="391" spans="1:17" x14ac:dyDescent="0.25">
      <c r="A391" t="s">
        <v>434</v>
      </c>
      <c r="B391" t="s">
        <v>435</v>
      </c>
      <c r="C391" t="s">
        <v>59</v>
      </c>
      <c r="D391" t="s">
        <v>106</v>
      </c>
      <c r="E391" t="s">
        <v>443</v>
      </c>
      <c r="F391" s="1">
        <v>45791</v>
      </c>
      <c r="G391" s="1">
        <v>45851</v>
      </c>
      <c r="H391">
        <v>60</v>
      </c>
      <c r="I391">
        <v>45068.56</v>
      </c>
      <c r="J391">
        <v>0</v>
      </c>
      <c r="K391">
        <v>45068.56</v>
      </c>
      <c r="M391">
        <v>18</v>
      </c>
      <c r="N391">
        <v>0</v>
      </c>
      <c r="O391" t="s">
        <v>22</v>
      </c>
      <c r="P391">
        <v>0.02</v>
      </c>
      <c r="Q391">
        <v>0</v>
      </c>
    </row>
    <row r="392" spans="1:17" x14ac:dyDescent="0.25">
      <c r="A392" t="s">
        <v>434</v>
      </c>
      <c r="B392" t="s">
        <v>435</v>
      </c>
      <c r="C392" t="s">
        <v>59</v>
      </c>
      <c r="D392" t="s">
        <v>106</v>
      </c>
      <c r="E392" t="s">
        <v>444</v>
      </c>
      <c r="F392" s="1">
        <v>45765</v>
      </c>
      <c r="G392" s="1">
        <v>45825</v>
      </c>
      <c r="H392">
        <v>60</v>
      </c>
      <c r="I392">
        <v>52538.98</v>
      </c>
      <c r="J392">
        <v>0</v>
      </c>
      <c r="K392">
        <v>52538.98</v>
      </c>
      <c r="M392">
        <v>44</v>
      </c>
      <c r="N392">
        <v>0</v>
      </c>
      <c r="O392" t="s">
        <v>22</v>
      </c>
      <c r="P392">
        <v>0.01</v>
      </c>
      <c r="Q392">
        <v>0</v>
      </c>
    </row>
    <row r="393" spans="1:17" x14ac:dyDescent="0.25">
      <c r="A393" t="s">
        <v>434</v>
      </c>
      <c r="B393" t="s">
        <v>435</v>
      </c>
      <c r="C393" t="s">
        <v>59</v>
      </c>
      <c r="D393" t="s">
        <v>106</v>
      </c>
      <c r="E393" t="s">
        <v>445</v>
      </c>
      <c r="F393" s="1">
        <v>45735</v>
      </c>
      <c r="G393" s="1">
        <v>45825</v>
      </c>
      <c r="H393">
        <v>90</v>
      </c>
      <c r="I393">
        <v>35256.980000000003</v>
      </c>
      <c r="J393">
        <v>0</v>
      </c>
      <c r="K393">
        <v>35256.980000000003</v>
      </c>
      <c r="M393">
        <v>74</v>
      </c>
      <c r="N393">
        <v>0</v>
      </c>
      <c r="O393" t="s">
        <v>22</v>
      </c>
      <c r="P393">
        <v>0</v>
      </c>
      <c r="Q393">
        <v>0</v>
      </c>
    </row>
    <row r="394" spans="1:17" x14ac:dyDescent="0.25">
      <c r="A394" t="s">
        <v>434</v>
      </c>
      <c r="B394" t="s">
        <v>435</v>
      </c>
      <c r="C394" t="s">
        <v>59</v>
      </c>
      <c r="D394" t="s">
        <v>106</v>
      </c>
      <c r="E394" t="s">
        <v>446</v>
      </c>
      <c r="F394" s="1">
        <v>45680</v>
      </c>
      <c r="G394" s="1">
        <v>45770</v>
      </c>
      <c r="H394">
        <v>90</v>
      </c>
      <c r="I394">
        <v>63253.79</v>
      </c>
      <c r="J394">
        <v>63253.79</v>
      </c>
      <c r="K394">
        <v>0</v>
      </c>
      <c r="L394" s="1">
        <v>45717</v>
      </c>
      <c r="M394">
        <v>129</v>
      </c>
      <c r="N394">
        <v>39</v>
      </c>
      <c r="O394" t="s">
        <v>25</v>
      </c>
      <c r="P394">
        <v>0.01</v>
      </c>
      <c r="Q394">
        <v>632.54</v>
      </c>
    </row>
    <row r="395" spans="1:17" x14ac:dyDescent="0.25">
      <c r="A395" t="s">
        <v>434</v>
      </c>
      <c r="B395" t="s">
        <v>435</v>
      </c>
      <c r="C395" t="s">
        <v>59</v>
      </c>
      <c r="D395" t="s">
        <v>106</v>
      </c>
      <c r="E395" t="s">
        <v>447</v>
      </c>
      <c r="F395" s="1">
        <v>45670</v>
      </c>
      <c r="G395" s="1">
        <v>45760</v>
      </c>
      <c r="H395">
        <v>90</v>
      </c>
      <c r="I395">
        <v>74339.27</v>
      </c>
      <c r="J395">
        <v>0</v>
      </c>
      <c r="K395">
        <v>74339.27</v>
      </c>
      <c r="M395">
        <v>139</v>
      </c>
      <c r="N395">
        <v>49</v>
      </c>
      <c r="O395" t="s">
        <v>36</v>
      </c>
      <c r="P395">
        <v>0.01</v>
      </c>
      <c r="Q395">
        <v>0</v>
      </c>
    </row>
    <row r="396" spans="1:17" x14ac:dyDescent="0.25">
      <c r="A396" t="s">
        <v>434</v>
      </c>
      <c r="B396" t="s">
        <v>435</v>
      </c>
      <c r="C396" t="s">
        <v>59</v>
      </c>
      <c r="D396" t="s">
        <v>106</v>
      </c>
      <c r="E396" t="s">
        <v>448</v>
      </c>
      <c r="F396" s="1">
        <v>45699</v>
      </c>
      <c r="G396" s="1">
        <v>45714</v>
      </c>
      <c r="H396">
        <v>15</v>
      </c>
      <c r="I396">
        <v>40033.019999999997</v>
      </c>
      <c r="J396">
        <v>40033.019999999997</v>
      </c>
      <c r="K396">
        <v>0</v>
      </c>
      <c r="L396" s="1">
        <v>45715</v>
      </c>
      <c r="M396">
        <v>110</v>
      </c>
      <c r="N396">
        <v>95</v>
      </c>
      <c r="O396" t="s">
        <v>25</v>
      </c>
      <c r="P396">
        <v>0.01</v>
      </c>
      <c r="Q396">
        <v>0</v>
      </c>
    </row>
    <row r="397" spans="1:17" x14ac:dyDescent="0.25">
      <c r="A397" t="s">
        <v>434</v>
      </c>
      <c r="B397" t="s">
        <v>435</v>
      </c>
      <c r="C397" t="s">
        <v>59</v>
      </c>
      <c r="D397" t="s">
        <v>106</v>
      </c>
      <c r="E397" t="s">
        <v>449</v>
      </c>
      <c r="F397" s="1">
        <v>45661</v>
      </c>
      <c r="G397" s="1">
        <v>45691</v>
      </c>
      <c r="H397">
        <v>30</v>
      </c>
      <c r="I397">
        <v>4727.08</v>
      </c>
      <c r="J397">
        <v>4727.08</v>
      </c>
      <c r="K397">
        <v>0</v>
      </c>
      <c r="L397" s="1">
        <v>45718</v>
      </c>
      <c r="M397">
        <v>148</v>
      </c>
      <c r="N397">
        <v>118</v>
      </c>
      <c r="O397" t="s">
        <v>25</v>
      </c>
      <c r="P397">
        <v>0</v>
      </c>
      <c r="Q397">
        <v>0</v>
      </c>
    </row>
    <row r="398" spans="1:17" x14ac:dyDescent="0.25">
      <c r="A398" t="s">
        <v>434</v>
      </c>
      <c r="B398" t="s">
        <v>435</v>
      </c>
      <c r="C398" t="s">
        <v>59</v>
      </c>
      <c r="D398" t="s">
        <v>106</v>
      </c>
      <c r="E398" t="s">
        <v>450</v>
      </c>
      <c r="F398" s="1">
        <v>45778</v>
      </c>
      <c r="G398" s="1">
        <v>45838</v>
      </c>
      <c r="H398">
        <v>60</v>
      </c>
      <c r="I398">
        <v>67735.399999999994</v>
      </c>
      <c r="J398">
        <v>0</v>
      </c>
      <c r="K398">
        <v>67735.399999999994</v>
      </c>
      <c r="M398">
        <v>31</v>
      </c>
      <c r="N398">
        <v>0</v>
      </c>
      <c r="O398" t="s">
        <v>22</v>
      </c>
      <c r="P398">
        <v>2.5000000000000001E-2</v>
      </c>
      <c r="Q398">
        <v>0</v>
      </c>
    </row>
    <row r="399" spans="1:17" x14ac:dyDescent="0.25">
      <c r="A399" t="s">
        <v>434</v>
      </c>
      <c r="B399" t="s">
        <v>435</v>
      </c>
      <c r="C399" t="s">
        <v>59</v>
      </c>
      <c r="D399" t="s">
        <v>106</v>
      </c>
      <c r="E399" t="s">
        <v>451</v>
      </c>
      <c r="F399" s="1">
        <v>45690</v>
      </c>
      <c r="G399" s="1">
        <v>45705</v>
      </c>
      <c r="H399">
        <v>15</v>
      </c>
      <c r="I399">
        <v>5990.64</v>
      </c>
      <c r="J399">
        <v>5990.64</v>
      </c>
      <c r="K399">
        <v>0</v>
      </c>
      <c r="L399" s="1">
        <v>45698</v>
      </c>
      <c r="M399">
        <v>119</v>
      </c>
      <c r="N399">
        <v>104</v>
      </c>
      <c r="O399" t="s">
        <v>25</v>
      </c>
      <c r="P399">
        <v>0</v>
      </c>
      <c r="Q399">
        <v>0</v>
      </c>
    </row>
    <row r="400" spans="1:17" x14ac:dyDescent="0.25">
      <c r="A400" t="s">
        <v>434</v>
      </c>
      <c r="B400" t="s">
        <v>435</v>
      </c>
      <c r="C400" t="s">
        <v>59</v>
      </c>
      <c r="D400" t="s">
        <v>106</v>
      </c>
      <c r="E400" t="s">
        <v>452</v>
      </c>
      <c r="F400" s="1">
        <v>45735</v>
      </c>
      <c r="G400" s="1">
        <v>45795</v>
      </c>
      <c r="H400">
        <v>60</v>
      </c>
      <c r="I400">
        <v>62175.72</v>
      </c>
      <c r="J400">
        <v>62175.72</v>
      </c>
      <c r="K400">
        <v>0</v>
      </c>
      <c r="L400" s="1">
        <v>45751</v>
      </c>
      <c r="M400">
        <v>74</v>
      </c>
      <c r="N400">
        <v>14</v>
      </c>
      <c r="O400" t="s">
        <v>25</v>
      </c>
      <c r="P400">
        <v>0.02</v>
      </c>
      <c r="Q400">
        <v>1243.51</v>
      </c>
    </row>
    <row r="401" spans="1:17" x14ac:dyDescent="0.25">
      <c r="A401" t="s">
        <v>434</v>
      </c>
      <c r="B401" t="s">
        <v>435</v>
      </c>
      <c r="C401" t="s">
        <v>59</v>
      </c>
      <c r="D401" t="s">
        <v>106</v>
      </c>
      <c r="E401" t="s">
        <v>453</v>
      </c>
      <c r="F401" s="1">
        <v>45632</v>
      </c>
      <c r="G401" s="1">
        <v>45722</v>
      </c>
      <c r="H401">
        <v>90</v>
      </c>
      <c r="I401">
        <v>33959.1</v>
      </c>
      <c r="J401">
        <v>33959.1</v>
      </c>
      <c r="K401">
        <v>0</v>
      </c>
      <c r="L401" s="1">
        <v>45724</v>
      </c>
      <c r="M401">
        <v>177</v>
      </c>
      <c r="N401">
        <v>87</v>
      </c>
      <c r="O401" t="s">
        <v>25</v>
      </c>
      <c r="P401">
        <v>0.02</v>
      </c>
      <c r="Q401">
        <v>0</v>
      </c>
    </row>
    <row r="402" spans="1:17" x14ac:dyDescent="0.25">
      <c r="A402" t="s">
        <v>434</v>
      </c>
      <c r="B402" t="s">
        <v>435</v>
      </c>
      <c r="C402" t="s">
        <v>59</v>
      </c>
      <c r="D402" t="s">
        <v>106</v>
      </c>
      <c r="E402" t="s">
        <v>454</v>
      </c>
      <c r="F402" s="1">
        <v>45791</v>
      </c>
      <c r="G402" s="1">
        <v>45881</v>
      </c>
      <c r="H402">
        <v>90</v>
      </c>
      <c r="I402">
        <v>23462.54</v>
      </c>
      <c r="J402">
        <v>0</v>
      </c>
      <c r="K402">
        <v>23462.54</v>
      </c>
      <c r="M402">
        <v>18</v>
      </c>
      <c r="N402">
        <v>0</v>
      </c>
      <c r="O402" t="s">
        <v>22</v>
      </c>
      <c r="P402">
        <v>2.5000000000000001E-2</v>
      </c>
      <c r="Q402">
        <v>0</v>
      </c>
    </row>
    <row r="403" spans="1:17" x14ac:dyDescent="0.25">
      <c r="A403" t="s">
        <v>434</v>
      </c>
      <c r="B403" t="s">
        <v>435</v>
      </c>
      <c r="C403" t="s">
        <v>59</v>
      </c>
      <c r="D403" t="s">
        <v>106</v>
      </c>
      <c r="E403" t="s">
        <v>455</v>
      </c>
      <c r="F403" s="1">
        <v>45782</v>
      </c>
      <c r="G403" s="1">
        <v>45842</v>
      </c>
      <c r="H403">
        <v>60</v>
      </c>
      <c r="I403">
        <v>50451.25</v>
      </c>
      <c r="J403">
        <v>0</v>
      </c>
      <c r="K403">
        <v>50451.25</v>
      </c>
      <c r="M403">
        <v>27</v>
      </c>
      <c r="N403">
        <v>0</v>
      </c>
      <c r="O403" t="s">
        <v>22</v>
      </c>
      <c r="P403">
        <v>0.01</v>
      </c>
      <c r="Q403">
        <v>0</v>
      </c>
    </row>
    <row r="404" spans="1:17" x14ac:dyDescent="0.25">
      <c r="A404" t="s">
        <v>434</v>
      </c>
      <c r="B404" t="s">
        <v>435</v>
      </c>
      <c r="C404" t="s">
        <v>59</v>
      </c>
      <c r="D404" t="s">
        <v>106</v>
      </c>
      <c r="E404" t="s">
        <v>456</v>
      </c>
      <c r="F404" s="1">
        <v>45802</v>
      </c>
      <c r="G404" s="1">
        <v>45892</v>
      </c>
      <c r="H404">
        <v>90</v>
      </c>
      <c r="I404">
        <v>57476.87</v>
      </c>
      <c r="J404">
        <v>0</v>
      </c>
      <c r="K404">
        <v>57476.87</v>
      </c>
      <c r="M404">
        <v>7</v>
      </c>
      <c r="N404">
        <v>0</v>
      </c>
      <c r="O404" t="s">
        <v>22</v>
      </c>
      <c r="P404">
        <v>0</v>
      </c>
      <c r="Q404">
        <v>0</v>
      </c>
    </row>
    <row r="405" spans="1:17" x14ac:dyDescent="0.25">
      <c r="A405" t="s">
        <v>434</v>
      </c>
      <c r="B405" t="s">
        <v>435</v>
      </c>
      <c r="C405" t="s">
        <v>59</v>
      </c>
      <c r="D405" t="s">
        <v>106</v>
      </c>
      <c r="E405" t="s">
        <v>457</v>
      </c>
      <c r="F405" s="1">
        <v>45747</v>
      </c>
      <c r="G405" s="1">
        <v>45807</v>
      </c>
      <c r="H405">
        <v>60</v>
      </c>
      <c r="I405">
        <v>43002.47</v>
      </c>
      <c r="J405">
        <v>43002.47</v>
      </c>
      <c r="K405">
        <v>0</v>
      </c>
      <c r="L405" s="1">
        <v>45819</v>
      </c>
      <c r="M405">
        <v>62</v>
      </c>
      <c r="N405">
        <v>2</v>
      </c>
      <c r="O405" t="s">
        <v>25</v>
      </c>
      <c r="P405">
        <v>0.02</v>
      </c>
      <c r="Q405">
        <v>0</v>
      </c>
    </row>
    <row r="406" spans="1:17" x14ac:dyDescent="0.25">
      <c r="A406" t="s">
        <v>434</v>
      </c>
      <c r="B406" t="s">
        <v>435</v>
      </c>
      <c r="C406" t="s">
        <v>59</v>
      </c>
      <c r="D406" t="s">
        <v>106</v>
      </c>
      <c r="E406" t="s">
        <v>458</v>
      </c>
      <c r="F406" s="1">
        <v>45683</v>
      </c>
      <c r="G406" s="1">
        <v>45698</v>
      </c>
      <c r="H406">
        <v>15</v>
      </c>
      <c r="I406">
        <v>60408.21</v>
      </c>
      <c r="J406">
        <v>60408.21</v>
      </c>
      <c r="K406">
        <v>0</v>
      </c>
      <c r="L406" s="1">
        <v>45703</v>
      </c>
      <c r="M406">
        <v>126</v>
      </c>
      <c r="N406">
        <v>111</v>
      </c>
      <c r="O406" t="s">
        <v>25</v>
      </c>
      <c r="P406">
        <v>0.01</v>
      </c>
      <c r="Q406">
        <v>0</v>
      </c>
    </row>
    <row r="407" spans="1:17" x14ac:dyDescent="0.25">
      <c r="A407" t="s">
        <v>434</v>
      </c>
      <c r="B407" t="s">
        <v>435</v>
      </c>
      <c r="C407" t="s">
        <v>59</v>
      </c>
      <c r="D407" t="s">
        <v>106</v>
      </c>
      <c r="E407" t="s">
        <v>459</v>
      </c>
      <c r="F407" s="1">
        <v>45781</v>
      </c>
      <c r="G407" s="1">
        <v>45826</v>
      </c>
      <c r="H407">
        <v>45</v>
      </c>
      <c r="I407">
        <v>6936.45</v>
      </c>
      <c r="J407">
        <v>0</v>
      </c>
      <c r="K407">
        <v>6936.45</v>
      </c>
      <c r="M407">
        <v>28</v>
      </c>
      <c r="N407">
        <v>0</v>
      </c>
      <c r="O407" t="s">
        <v>22</v>
      </c>
      <c r="P407">
        <v>2.5000000000000001E-2</v>
      </c>
      <c r="Q407">
        <v>0</v>
      </c>
    </row>
    <row r="408" spans="1:17" x14ac:dyDescent="0.25">
      <c r="A408" t="s">
        <v>434</v>
      </c>
      <c r="B408" t="s">
        <v>435</v>
      </c>
      <c r="C408" t="s">
        <v>59</v>
      </c>
      <c r="D408" t="s">
        <v>106</v>
      </c>
      <c r="E408" t="s">
        <v>460</v>
      </c>
      <c r="F408" s="1">
        <v>45668</v>
      </c>
      <c r="G408" s="1">
        <v>45713</v>
      </c>
      <c r="H408">
        <v>45</v>
      </c>
      <c r="I408">
        <v>29242.62</v>
      </c>
      <c r="J408">
        <v>18884.599999999999</v>
      </c>
      <c r="K408">
        <v>10358.02</v>
      </c>
      <c r="L408" s="1">
        <v>45771</v>
      </c>
      <c r="M408">
        <v>141</v>
      </c>
      <c r="N408">
        <v>96</v>
      </c>
      <c r="O408" t="s">
        <v>29</v>
      </c>
      <c r="P408">
        <v>0.01</v>
      </c>
      <c r="Q408">
        <v>0</v>
      </c>
    </row>
    <row r="409" spans="1:17" x14ac:dyDescent="0.25">
      <c r="A409" t="s">
        <v>434</v>
      </c>
      <c r="B409" t="s">
        <v>435</v>
      </c>
      <c r="C409" t="s">
        <v>59</v>
      </c>
      <c r="D409" t="s">
        <v>106</v>
      </c>
      <c r="E409" t="s">
        <v>461</v>
      </c>
      <c r="F409" s="1">
        <v>45728</v>
      </c>
      <c r="G409" s="1">
        <v>45758</v>
      </c>
      <c r="H409">
        <v>30</v>
      </c>
      <c r="I409">
        <v>79094.070000000007</v>
      </c>
      <c r="J409">
        <v>79094.070000000007</v>
      </c>
      <c r="K409">
        <v>0</v>
      </c>
      <c r="L409" s="1">
        <v>45764</v>
      </c>
      <c r="M409">
        <v>81</v>
      </c>
      <c r="N409">
        <v>51</v>
      </c>
      <c r="O409" t="s">
        <v>25</v>
      </c>
      <c r="P409">
        <v>0.01</v>
      </c>
      <c r="Q409">
        <v>0</v>
      </c>
    </row>
    <row r="410" spans="1:17" x14ac:dyDescent="0.25">
      <c r="A410" t="s">
        <v>434</v>
      </c>
      <c r="B410" t="s">
        <v>435</v>
      </c>
      <c r="C410" t="s">
        <v>59</v>
      </c>
      <c r="D410" t="s">
        <v>106</v>
      </c>
      <c r="E410" t="s">
        <v>462</v>
      </c>
      <c r="F410" s="1">
        <v>45799</v>
      </c>
      <c r="G410" s="1">
        <v>45859</v>
      </c>
      <c r="H410">
        <v>60</v>
      </c>
      <c r="I410">
        <v>5375.58</v>
      </c>
      <c r="J410">
        <v>0</v>
      </c>
      <c r="K410">
        <v>5375.58</v>
      </c>
      <c r="M410">
        <v>10</v>
      </c>
      <c r="N410">
        <v>0</v>
      </c>
      <c r="O410" t="s">
        <v>22</v>
      </c>
      <c r="P410">
        <v>0</v>
      </c>
      <c r="Q410">
        <v>0</v>
      </c>
    </row>
    <row r="411" spans="1:17" x14ac:dyDescent="0.25">
      <c r="A411" t="s">
        <v>463</v>
      </c>
      <c r="B411" t="s">
        <v>464</v>
      </c>
      <c r="C411" t="s">
        <v>105</v>
      </c>
      <c r="D411" t="s">
        <v>465</v>
      </c>
      <c r="E411" t="s">
        <v>466</v>
      </c>
      <c r="F411" s="1">
        <v>45634</v>
      </c>
      <c r="G411" s="1">
        <v>45664</v>
      </c>
      <c r="H411">
        <v>30</v>
      </c>
      <c r="I411">
        <v>52646.82</v>
      </c>
      <c r="J411">
        <v>0</v>
      </c>
      <c r="K411">
        <v>52646.82</v>
      </c>
      <c r="M411">
        <v>175</v>
      </c>
      <c r="N411">
        <v>145</v>
      </c>
      <c r="O411" t="s">
        <v>36</v>
      </c>
      <c r="P411">
        <v>0</v>
      </c>
      <c r="Q411">
        <v>0</v>
      </c>
    </row>
    <row r="412" spans="1:17" x14ac:dyDescent="0.25">
      <c r="A412" t="s">
        <v>463</v>
      </c>
      <c r="B412" t="s">
        <v>464</v>
      </c>
      <c r="C412" t="s">
        <v>105</v>
      </c>
      <c r="D412" t="s">
        <v>465</v>
      </c>
      <c r="E412" t="s">
        <v>467</v>
      </c>
      <c r="F412" s="1">
        <v>45669</v>
      </c>
      <c r="G412" s="1">
        <v>45729</v>
      </c>
      <c r="H412">
        <v>60</v>
      </c>
      <c r="I412">
        <v>48758.02</v>
      </c>
      <c r="J412">
        <v>48758.02</v>
      </c>
      <c r="K412">
        <v>0</v>
      </c>
      <c r="L412" s="1">
        <v>45722</v>
      </c>
      <c r="M412">
        <v>140</v>
      </c>
      <c r="N412">
        <v>80</v>
      </c>
      <c r="O412" t="s">
        <v>25</v>
      </c>
      <c r="P412">
        <v>0.02</v>
      </c>
      <c r="Q412">
        <v>975.16</v>
      </c>
    </row>
    <row r="413" spans="1:17" x14ac:dyDescent="0.25">
      <c r="A413" t="s">
        <v>463</v>
      </c>
      <c r="B413" t="s">
        <v>464</v>
      </c>
      <c r="C413" t="s">
        <v>105</v>
      </c>
      <c r="D413" t="s">
        <v>465</v>
      </c>
      <c r="E413" t="s">
        <v>468</v>
      </c>
      <c r="F413" s="1">
        <v>45753</v>
      </c>
      <c r="G413" s="1">
        <v>45768</v>
      </c>
      <c r="H413">
        <v>15</v>
      </c>
      <c r="I413">
        <v>41418.67</v>
      </c>
      <c r="J413">
        <v>0</v>
      </c>
      <c r="K413">
        <v>41418.67</v>
      </c>
      <c r="M413">
        <v>56</v>
      </c>
      <c r="N413">
        <v>41</v>
      </c>
      <c r="O413" t="s">
        <v>36</v>
      </c>
      <c r="P413">
        <v>0.02</v>
      </c>
      <c r="Q413">
        <v>0</v>
      </c>
    </row>
    <row r="414" spans="1:17" x14ac:dyDescent="0.25">
      <c r="A414" t="s">
        <v>463</v>
      </c>
      <c r="B414" t="s">
        <v>464</v>
      </c>
      <c r="C414" t="s">
        <v>105</v>
      </c>
      <c r="D414" t="s">
        <v>465</v>
      </c>
      <c r="E414" t="s">
        <v>469</v>
      </c>
      <c r="F414" s="1">
        <v>45728</v>
      </c>
      <c r="G414" s="1">
        <v>45758</v>
      </c>
      <c r="H414">
        <v>30</v>
      </c>
      <c r="I414">
        <v>63410.33</v>
      </c>
      <c r="J414">
        <v>63410.33</v>
      </c>
      <c r="K414">
        <v>0</v>
      </c>
      <c r="L414" s="1">
        <v>45747</v>
      </c>
      <c r="M414">
        <v>81</v>
      </c>
      <c r="N414">
        <v>51</v>
      </c>
      <c r="O414" t="s">
        <v>25</v>
      </c>
      <c r="P414">
        <v>2.5000000000000001E-2</v>
      </c>
      <c r="Q414">
        <v>1585.26</v>
      </c>
    </row>
    <row r="415" spans="1:17" x14ac:dyDescent="0.25">
      <c r="A415" t="s">
        <v>463</v>
      </c>
      <c r="B415" t="s">
        <v>464</v>
      </c>
      <c r="C415" t="s">
        <v>105</v>
      </c>
      <c r="D415" t="s">
        <v>465</v>
      </c>
      <c r="E415" t="s">
        <v>470</v>
      </c>
      <c r="F415" s="1">
        <v>45769</v>
      </c>
      <c r="G415" s="1">
        <v>45829</v>
      </c>
      <c r="H415">
        <v>60</v>
      </c>
      <c r="I415">
        <v>44933.35</v>
      </c>
      <c r="J415">
        <v>0</v>
      </c>
      <c r="K415">
        <v>44933.35</v>
      </c>
      <c r="M415">
        <v>40</v>
      </c>
      <c r="N415">
        <v>0</v>
      </c>
      <c r="O415" t="s">
        <v>22</v>
      </c>
      <c r="P415">
        <v>0</v>
      </c>
      <c r="Q415">
        <v>0</v>
      </c>
    </row>
    <row r="416" spans="1:17" x14ac:dyDescent="0.25">
      <c r="A416" t="s">
        <v>463</v>
      </c>
      <c r="B416" t="s">
        <v>464</v>
      </c>
      <c r="C416" t="s">
        <v>105</v>
      </c>
      <c r="D416" t="s">
        <v>465</v>
      </c>
      <c r="E416" t="s">
        <v>471</v>
      </c>
      <c r="F416" s="1">
        <v>45640</v>
      </c>
      <c r="G416" s="1">
        <v>45670</v>
      </c>
      <c r="H416">
        <v>30</v>
      </c>
      <c r="I416">
        <v>70246.97</v>
      </c>
      <c r="J416">
        <v>70246.97</v>
      </c>
      <c r="K416">
        <v>0</v>
      </c>
      <c r="L416" s="1">
        <v>45650</v>
      </c>
      <c r="M416">
        <v>169</v>
      </c>
      <c r="N416">
        <v>139</v>
      </c>
      <c r="O416" t="s">
        <v>25</v>
      </c>
      <c r="P416">
        <v>0</v>
      </c>
      <c r="Q416">
        <v>0</v>
      </c>
    </row>
    <row r="417" spans="1:17" x14ac:dyDescent="0.25">
      <c r="A417" t="s">
        <v>463</v>
      </c>
      <c r="B417" t="s">
        <v>464</v>
      </c>
      <c r="C417" t="s">
        <v>105</v>
      </c>
      <c r="D417" t="s">
        <v>465</v>
      </c>
      <c r="E417" t="s">
        <v>472</v>
      </c>
      <c r="F417" s="1">
        <v>45725</v>
      </c>
      <c r="G417" s="1">
        <v>45755</v>
      </c>
      <c r="H417">
        <v>30</v>
      </c>
      <c r="I417">
        <v>66400.58</v>
      </c>
      <c r="J417">
        <v>66400.58</v>
      </c>
      <c r="K417">
        <v>0</v>
      </c>
      <c r="L417" s="1">
        <v>45745</v>
      </c>
      <c r="M417">
        <v>84</v>
      </c>
      <c r="N417">
        <v>54</v>
      </c>
      <c r="O417" t="s">
        <v>25</v>
      </c>
      <c r="P417">
        <v>0</v>
      </c>
      <c r="Q417">
        <v>0</v>
      </c>
    </row>
    <row r="418" spans="1:17" x14ac:dyDescent="0.25">
      <c r="A418" t="s">
        <v>463</v>
      </c>
      <c r="B418" t="s">
        <v>464</v>
      </c>
      <c r="C418" t="s">
        <v>105</v>
      </c>
      <c r="D418" t="s">
        <v>465</v>
      </c>
      <c r="E418" t="s">
        <v>473</v>
      </c>
      <c r="F418" s="1">
        <v>45687</v>
      </c>
      <c r="G418" s="1">
        <v>45732</v>
      </c>
      <c r="H418">
        <v>45</v>
      </c>
      <c r="I418">
        <v>79060.759999999995</v>
      </c>
      <c r="J418">
        <v>79060.759999999995</v>
      </c>
      <c r="K418">
        <v>0</v>
      </c>
      <c r="L418" s="1">
        <v>45693</v>
      </c>
      <c r="M418">
        <v>122</v>
      </c>
      <c r="N418">
        <v>77</v>
      </c>
      <c r="O418" t="s">
        <v>25</v>
      </c>
      <c r="P418">
        <v>2.5000000000000001E-2</v>
      </c>
      <c r="Q418">
        <v>1976.52</v>
      </c>
    </row>
    <row r="419" spans="1:17" x14ac:dyDescent="0.25">
      <c r="A419" t="s">
        <v>463</v>
      </c>
      <c r="B419" t="s">
        <v>464</v>
      </c>
      <c r="C419" t="s">
        <v>105</v>
      </c>
      <c r="D419" t="s">
        <v>465</v>
      </c>
      <c r="E419" t="s">
        <v>474</v>
      </c>
      <c r="F419" s="1">
        <v>45757</v>
      </c>
      <c r="G419" s="1">
        <v>45847</v>
      </c>
      <c r="H419">
        <v>90</v>
      </c>
      <c r="I419">
        <v>46746.65</v>
      </c>
      <c r="J419">
        <v>0</v>
      </c>
      <c r="K419">
        <v>46746.65</v>
      </c>
      <c r="M419">
        <v>52</v>
      </c>
      <c r="N419">
        <v>0</v>
      </c>
      <c r="O419" t="s">
        <v>22</v>
      </c>
      <c r="P419">
        <v>0</v>
      </c>
      <c r="Q419">
        <v>0</v>
      </c>
    </row>
    <row r="420" spans="1:17" x14ac:dyDescent="0.25">
      <c r="A420" t="s">
        <v>463</v>
      </c>
      <c r="B420" t="s">
        <v>464</v>
      </c>
      <c r="C420" t="s">
        <v>105</v>
      </c>
      <c r="D420" t="s">
        <v>465</v>
      </c>
      <c r="E420" t="s">
        <v>475</v>
      </c>
      <c r="F420" s="1">
        <v>45803</v>
      </c>
      <c r="G420" s="1">
        <v>45818</v>
      </c>
      <c r="H420">
        <v>15</v>
      </c>
      <c r="I420">
        <v>6126.69</v>
      </c>
      <c r="J420">
        <v>0</v>
      </c>
      <c r="K420">
        <v>6126.69</v>
      </c>
      <c r="M420">
        <v>6</v>
      </c>
      <c r="N420">
        <v>0</v>
      </c>
      <c r="O420" t="s">
        <v>22</v>
      </c>
      <c r="P420">
        <v>0.02</v>
      </c>
      <c r="Q420">
        <v>0</v>
      </c>
    </row>
    <row r="421" spans="1:17" x14ac:dyDescent="0.25">
      <c r="A421" t="s">
        <v>463</v>
      </c>
      <c r="B421" t="s">
        <v>464</v>
      </c>
      <c r="C421" t="s">
        <v>105</v>
      </c>
      <c r="D421" t="s">
        <v>465</v>
      </c>
      <c r="E421" t="s">
        <v>476</v>
      </c>
      <c r="F421" s="1">
        <v>45658</v>
      </c>
      <c r="G421" s="1">
        <v>45673</v>
      </c>
      <c r="H421">
        <v>15</v>
      </c>
      <c r="I421">
        <v>78727.740000000005</v>
      </c>
      <c r="J421">
        <v>0</v>
      </c>
      <c r="K421">
        <v>78727.740000000005</v>
      </c>
      <c r="M421">
        <v>151</v>
      </c>
      <c r="N421">
        <v>136</v>
      </c>
      <c r="O421" t="s">
        <v>36</v>
      </c>
      <c r="P421">
        <v>0</v>
      </c>
      <c r="Q421">
        <v>0</v>
      </c>
    </row>
    <row r="422" spans="1:17" x14ac:dyDescent="0.25">
      <c r="A422" t="s">
        <v>463</v>
      </c>
      <c r="B422" t="s">
        <v>464</v>
      </c>
      <c r="C422" t="s">
        <v>105</v>
      </c>
      <c r="D422" t="s">
        <v>465</v>
      </c>
      <c r="E422" t="s">
        <v>477</v>
      </c>
      <c r="F422" s="1">
        <v>45701</v>
      </c>
      <c r="G422" s="1">
        <v>45731</v>
      </c>
      <c r="H422">
        <v>30</v>
      </c>
      <c r="I422">
        <v>21653.54</v>
      </c>
      <c r="J422">
        <v>21653.54</v>
      </c>
      <c r="K422">
        <v>0</v>
      </c>
      <c r="L422" s="1">
        <v>45701</v>
      </c>
      <c r="M422">
        <v>108</v>
      </c>
      <c r="N422">
        <v>78</v>
      </c>
      <c r="O422" t="s">
        <v>25</v>
      </c>
      <c r="P422">
        <v>0</v>
      </c>
      <c r="Q422">
        <v>0</v>
      </c>
    </row>
    <row r="423" spans="1:17" x14ac:dyDescent="0.25">
      <c r="A423" t="s">
        <v>463</v>
      </c>
      <c r="B423" t="s">
        <v>464</v>
      </c>
      <c r="C423" t="s">
        <v>105</v>
      </c>
      <c r="D423" t="s">
        <v>465</v>
      </c>
      <c r="E423" t="s">
        <v>478</v>
      </c>
      <c r="F423" s="1">
        <v>45711</v>
      </c>
      <c r="G423" s="1">
        <v>45801</v>
      </c>
      <c r="H423">
        <v>90</v>
      </c>
      <c r="I423">
        <v>11689.69</v>
      </c>
      <c r="J423">
        <v>11689.69</v>
      </c>
      <c r="K423">
        <v>0</v>
      </c>
      <c r="L423" s="1">
        <v>45830</v>
      </c>
      <c r="M423">
        <v>98</v>
      </c>
      <c r="N423">
        <v>8</v>
      </c>
      <c r="O423" t="s">
        <v>25</v>
      </c>
      <c r="P423">
        <v>2.5000000000000001E-2</v>
      </c>
      <c r="Q423">
        <v>0</v>
      </c>
    </row>
    <row r="424" spans="1:17" x14ac:dyDescent="0.25">
      <c r="A424" t="s">
        <v>463</v>
      </c>
      <c r="B424" t="s">
        <v>464</v>
      </c>
      <c r="C424" t="s">
        <v>105</v>
      </c>
      <c r="D424" t="s">
        <v>465</v>
      </c>
      <c r="E424" t="s">
        <v>479</v>
      </c>
      <c r="F424" s="1">
        <v>45698</v>
      </c>
      <c r="G424" s="1">
        <v>45728</v>
      </c>
      <c r="H424">
        <v>30</v>
      </c>
      <c r="I424">
        <v>25941.35</v>
      </c>
      <c r="J424">
        <v>25941.35</v>
      </c>
      <c r="K424">
        <v>0</v>
      </c>
      <c r="L424" s="1">
        <v>45750</v>
      </c>
      <c r="M424">
        <v>111</v>
      </c>
      <c r="N424">
        <v>81</v>
      </c>
      <c r="O424" t="s">
        <v>25</v>
      </c>
      <c r="P424">
        <v>0.01</v>
      </c>
      <c r="Q424">
        <v>0</v>
      </c>
    </row>
    <row r="425" spans="1:17" x14ac:dyDescent="0.25">
      <c r="A425" t="s">
        <v>463</v>
      </c>
      <c r="B425" t="s">
        <v>464</v>
      </c>
      <c r="C425" t="s">
        <v>105</v>
      </c>
      <c r="D425" t="s">
        <v>465</v>
      </c>
      <c r="E425" t="s">
        <v>480</v>
      </c>
      <c r="F425" s="1">
        <v>45688</v>
      </c>
      <c r="G425" s="1">
        <v>45718</v>
      </c>
      <c r="H425">
        <v>30</v>
      </c>
      <c r="I425">
        <v>5994.34</v>
      </c>
      <c r="J425">
        <v>0</v>
      </c>
      <c r="K425">
        <v>5994.34</v>
      </c>
      <c r="M425">
        <v>121</v>
      </c>
      <c r="N425">
        <v>91</v>
      </c>
      <c r="O425" t="s">
        <v>36</v>
      </c>
      <c r="P425">
        <v>0</v>
      </c>
      <c r="Q425">
        <v>0</v>
      </c>
    </row>
    <row r="426" spans="1:17" x14ac:dyDescent="0.25">
      <c r="A426" t="s">
        <v>463</v>
      </c>
      <c r="B426" t="s">
        <v>464</v>
      </c>
      <c r="C426" t="s">
        <v>105</v>
      </c>
      <c r="D426" t="s">
        <v>465</v>
      </c>
      <c r="E426" t="s">
        <v>481</v>
      </c>
      <c r="F426" s="1">
        <v>45728</v>
      </c>
      <c r="G426" s="1">
        <v>45758</v>
      </c>
      <c r="H426">
        <v>30</v>
      </c>
      <c r="I426">
        <v>50004.39</v>
      </c>
      <c r="J426">
        <v>0</v>
      </c>
      <c r="K426">
        <v>50004.39</v>
      </c>
      <c r="M426">
        <v>81</v>
      </c>
      <c r="N426">
        <v>51</v>
      </c>
      <c r="O426" t="s">
        <v>36</v>
      </c>
      <c r="P426">
        <v>0.02</v>
      </c>
      <c r="Q426">
        <v>0</v>
      </c>
    </row>
    <row r="427" spans="1:17" x14ac:dyDescent="0.25">
      <c r="A427" t="s">
        <v>463</v>
      </c>
      <c r="B427" t="s">
        <v>464</v>
      </c>
      <c r="C427" t="s">
        <v>105</v>
      </c>
      <c r="D427" t="s">
        <v>465</v>
      </c>
      <c r="E427" t="s">
        <v>482</v>
      </c>
      <c r="F427" s="1">
        <v>45787</v>
      </c>
      <c r="G427" s="1">
        <v>45832</v>
      </c>
      <c r="H427">
        <v>45</v>
      </c>
      <c r="I427">
        <v>42463.1</v>
      </c>
      <c r="J427">
        <v>0</v>
      </c>
      <c r="K427">
        <v>42463.1</v>
      </c>
      <c r="M427">
        <v>22</v>
      </c>
      <c r="N427">
        <v>0</v>
      </c>
      <c r="O427" t="s">
        <v>22</v>
      </c>
      <c r="P427">
        <v>0.01</v>
      </c>
      <c r="Q427">
        <v>0</v>
      </c>
    </row>
    <row r="428" spans="1:17" x14ac:dyDescent="0.25">
      <c r="A428" t="s">
        <v>463</v>
      </c>
      <c r="B428" t="s">
        <v>464</v>
      </c>
      <c r="C428" t="s">
        <v>105</v>
      </c>
      <c r="D428" t="s">
        <v>465</v>
      </c>
      <c r="E428" t="s">
        <v>483</v>
      </c>
      <c r="F428" s="1">
        <v>45661</v>
      </c>
      <c r="G428" s="1">
        <v>45691</v>
      </c>
      <c r="H428">
        <v>30</v>
      </c>
      <c r="I428">
        <v>24020.54</v>
      </c>
      <c r="J428">
        <v>24020.54</v>
      </c>
      <c r="K428">
        <v>0</v>
      </c>
      <c r="L428" s="1">
        <v>45683</v>
      </c>
      <c r="M428">
        <v>148</v>
      </c>
      <c r="N428">
        <v>118</v>
      </c>
      <c r="O428" t="s">
        <v>25</v>
      </c>
      <c r="P428">
        <v>0</v>
      </c>
      <c r="Q428">
        <v>0</v>
      </c>
    </row>
    <row r="429" spans="1:17" x14ac:dyDescent="0.25">
      <c r="A429" t="s">
        <v>463</v>
      </c>
      <c r="B429" t="s">
        <v>464</v>
      </c>
      <c r="C429" t="s">
        <v>105</v>
      </c>
      <c r="D429" t="s">
        <v>465</v>
      </c>
      <c r="E429" t="s">
        <v>484</v>
      </c>
      <c r="F429" s="1">
        <v>45661</v>
      </c>
      <c r="G429" s="1">
        <v>45721</v>
      </c>
      <c r="H429">
        <v>60</v>
      </c>
      <c r="I429">
        <v>63153.2</v>
      </c>
      <c r="J429">
        <v>63153.2</v>
      </c>
      <c r="K429">
        <v>0</v>
      </c>
      <c r="L429" s="1">
        <v>45724</v>
      </c>
      <c r="M429">
        <v>148</v>
      </c>
      <c r="N429">
        <v>88</v>
      </c>
      <c r="O429" t="s">
        <v>25</v>
      </c>
      <c r="P429">
        <v>0</v>
      </c>
      <c r="Q429">
        <v>0</v>
      </c>
    </row>
    <row r="430" spans="1:17" x14ac:dyDescent="0.25">
      <c r="A430" t="s">
        <v>463</v>
      </c>
      <c r="B430" t="s">
        <v>464</v>
      </c>
      <c r="C430" t="s">
        <v>105</v>
      </c>
      <c r="D430" t="s">
        <v>465</v>
      </c>
      <c r="E430" t="s">
        <v>485</v>
      </c>
      <c r="F430" s="1">
        <v>45650</v>
      </c>
      <c r="G430" s="1">
        <v>45680</v>
      </c>
      <c r="H430">
        <v>30</v>
      </c>
      <c r="I430">
        <v>22657.69</v>
      </c>
      <c r="J430">
        <v>22657.69</v>
      </c>
      <c r="K430">
        <v>0</v>
      </c>
      <c r="L430" s="1">
        <v>45699</v>
      </c>
      <c r="M430">
        <v>159</v>
      </c>
      <c r="N430">
        <v>129</v>
      </c>
      <c r="O430" t="s">
        <v>25</v>
      </c>
      <c r="P430">
        <v>2.5000000000000001E-2</v>
      </c>
      <c r="Q430">
        <v>0</v>
      </c>
    </row>
    <row r="431" spans="1:17" x14ac:dyDescent="0.25">
      <c r="A431" t="s">
        <v>463</v>
      </c>
      <c r="B431" t="s">
        <v>464</v>
      </c>
      <c r="C431" t="s">
        <v>105</v>
      </c>
      <c r="D431" t="s">
        <v>465</v>
      </c>
      <c r="E431" t="s">
        <v>486</v>
      </c>
      <c r="F431" s="1">
        <v>45788</v>
      </c>
      <c r="G431" s="1">
        <v>45833</v>
      </c>
      <c r="H431">
        <v>45</v>
      </c>
      <c r="I431">
        <v>50338.65</v>
      </c>
      <c r="J431">
        <v>0</v>
      </c>
      <c r="K431">
        <v>50338.65</v>
      </c>
      <c r="M431">
        <v>21</v>
      </c>
      <c r="N431">
        <v>0</v>
      </c>
      <c r="O431" t="s">
        <v>22</v>
      </c>
      <c r="P431">
        <v>0.01</v>
      </c>
      <c r="Q431">
        <v>0</v>
      </c>
    </row>
    <row r="432" spans="1:17" x14ac:dyDescent="0.25">
      <c r="A432" t="s">
        <v>463</v>
      </c>
      <c r="B432" t="s">
        <v>464</v>
      </c>
      <c r="C432" t="s">
        <v>105</v>
      </c>
      <c r="D432" t="s">
        <v>465</v>
      </c>
      <c r="E432" t="s">
        <v>487</v>
      </c>
      <c r="F432" s="1">
        <v>45642</v>
      </c>
      <c r="G432" s="1">
        <v>45732</v>
      </c>
      <c r="H432">
        <v>90</v>
      </c>
      <c r="I432">
        <v>47719.33</v>
      </c>
      <c r="J432">
        <v>47719.33</v>
      </c>
      <c r="K432">
        <v>0</v>
      </c>
      <c r="L432" s="1">
        <v>45737</v>
      </c>
      <c r="M432">
        <v>167</v>
      </c>
      <c r="N432">
        <v>77</v>
      </c>
      <c r="O432" t="s">
        <v>25</v>
      </c>
      <c r="P432">
        <v>2.5000000000000001E-2</v>
      </c>
      <c r="Q432">
        <v>0</v>
      </c>
    </row>
    <row r="433" spans="1:17" x14ac:dyDescent="0.25">
      <c r="A433" t="s">
        <v>463</v>
      </c>
      <c r="B433" t="s">
        <v>464</v>
      </c>
      <c r="C433" t="s">
        <v>105</v>
      </c>
      <c r="D433" t="s">
        <v>465</v>
      </c>
      <c r="E433" t="s">
        <v>488</v>
      </c>
      <c r="F433" s="1">
        <v>45689</v>
      </c>
      <c r="G433" s="1">
        <v>45719</v>
      </c>
      <c r="H433">
        <v>30</v>
      </c>
      <c r="I433">
        <v>35859</v>
      </c>
      <c r="J433">
        <v>35859</v>
      </c>
      <c r="K433">
        <v>0</v>
      </c>
      <c r="L433" s="1">
        <v>45697</v>
      </c>
      <c r="M433">
        <v>120</v>
      </c>
      <c r="N433">
        <v>90</v>
      </c>
      <c r="O433" t="s">
        <v>25</v>
      </c>
      <c r="P433">
        <v>0.02</v>
      </c>
      <c r="Q433">
        <v>717.18</v>
      </c>
    </row>
    <row r="434" spans="1:17" x14ac:dyDescent="0.25">
      <c r="A434" t="s">
        <v>463</v>
      </c>
      <c r="B434" t="s">
        <v>464</v>
      </c>
      <c r="C434" t="s">
        <v>105</v>
      </c>
      <c r="D434" t="s">
        <v>465</v>
      </c>
      <c r="E434" t="s">
        <v>489</v>
      </c>
      <c r="F434" s="1">
        <v>45758</v>
      </c>
      <c r="G434" s="1">
        <v>45773</v>
      </c>
      <c r="H434">
        <v>15</v>
      </c>
      <c r="I434">
        <v>69201.960000000006</v>
      </c>
      <c r="J434">
        <v>0</v>
      </c>
      <c r="K434">
        <v>69201.960000000006</v>
      </c>
      <c r="M434">
        <v>51</v>
      </c>
      <c r="N434">
        <v>36</v>
      </c>
      <c r="O434" t="s">
        <v>36</v>
      </c>
      <c r="P434">
        <v>0.02</v>
      </c>
      <c r="Q434">
        <v>0</v>
      </c>
    </row>
    <row r="435" spans="1:17" x14ac:dyDescent="0.25">
      <c r="A435" t="s">
        <v>463</v>
      </c>
      <c r="B435" t="s">
        <v>464</v>
      </c>
      <c r="C435" t="s">
        <v>105</v>
      </c>
      <c r="D435" t="s">
        <v>465</v>
      </c>
      <c r="E435" t="s">
        <v>490</v>
      </c>
      <c r="F435" s="1">
        <v>45698</v>
      </c>
      <c r="G435" s="1">
        <v>45788</v>
      </c>
      <c r="H435">
        <v>90</v>
      </c>
      <c r="I435">
        <v>26706.47</v>
      </c>
      <c r="J435">
        <v>26706.47</v>
      </c>
      <c r="K435">
        <v>0</v>
      </c>
      <c r="L435" s="1">
        <v>45817</v>
      </c>
      <c r="M435">
        <v>111</v>
      </c>
      <c r="N435">
        <v>21</v>
      </c>
      <c r="O435" t="s">
        <v>25</v>
      </c>
      <c r="P435">
        <v>0.01</v>
      </c>
      <c r="Q435">
        <v>0</v>
      </c>
    </row>
    <row r="436" spans="1:17" x14ac:dyDescent="0.25">
      <c r="A436" t="s">
        <v>463</v>
      </c>
      <c r="B436" t="s">
        <v>464</v>
      </c>
      <c r="C436" t="s">
        <v>105</v>
      </c>
      <c r="D436" t="s">
        <v>465</v>
      </c>
      <c r="E436" t="s">
        <v>491</v>
      </c>
      <c r="F436" s="1">
        <v>45787</v>
      </c>
      <c r="G436" s="1">
        <v>45847</v>
      </c>
      <c r="H436">
        <v>60</v>
      </c>
      <c r="I436">
        <v>11462.99</v>
      </c>
      <c r="J436">
        <v>0</v>
      </c>
      <c r="K436">
        <v>11462.99</v>
      </c>
      <c r="M436">
        <v>22</v>
      </c>
      <c r="N436">
        <v>0</v>
      </c>
      <c r="O436" t="s">
        <v>22</v>
      </c>
      <c r="P436">
        <v>0.01</v>
      </c>
      <c r="Q436">
        <v>0</v>
      </c>
    </row>
    <row r="437" spans="1:17" x14ac:dyDescent="0.25">
      <c r="A437" t="s">
        <v>463</v>
      </c>
      <c r="B437" t="s">
        <v>464</v>
      </c>
      <c r="C437" t="s">
        <v>105</v>
      </c>
      <c r="D437" t="s">
        <v>465</v>
      </c>
      <c r="E437" t="s">
        <v>492</v>
      </c>
      <c r="F437" s="1">
        <v>45721</v>
      </c>
      <c r="G437" s="1">
        <v>45781</v>
      </c>
      <c r="H437">
        <v>60</v>
      </c>
      <c r="I437">
        <v>65111.3</v>
      </c>
      <c r="J437">
        <v>65111.3</v>
      </c>
      <c r="K437">
        <v>0</v>
      </c>
      <c r="L437" s="1">
        <v>45763</v>
      </c>
      <c r="M437">
        <v>88</v>
      </c>
      <c r="N437">
        <v>28</v>
      </c>
      <c r="O437" t="s">
        <v>25</v>
      </c>
      <c r="P437">
        <v>2.5000000000000001E-2</v>
      </c>
      <c r="Q437">
        <v>1627.78</v>
      </c>
    </row>
    <row r="438" spans="1:17" x14ac:dyDescent="0.25">
      <c r="A438" t="s">
        <v>463</v>
      </c>
      <c r="B438" t="s">
        <v>464</v>
      </c>
      <c r="C438" t="s">
        <v>105</v>
      </c>
      <c r="D438" t="s">
        <v>465</v>
      </c>
      <c r="E438" t="s">
        <v>493</v>
      </c>
      <c r="F438" s="1">
        <v>45685</v>
      </c>
      <c r="G438" s="1">
        <v>45715</v>
      </c>
      <c r="H438">
        <v>30</v>
      </c>
      <c r="I438">
        <v>18765.45</v>
      </c>
      <c r="J438">
        <v>4211.33</v>
      </c>
      <c r="K438">
        <v>14554.12</v>
      </c>
      <c r="L438" s="1">
        <v>45717</v>
      </c>
      <c r="M438">
        <v>124</v>
      </c>
      <c r="N438">
        <v>94</v>
      </c>
      <c r="O438" t="s">
        <v>29</v>
      </c>
      <c r="P438">
        <v>0.02</v>
      </c>
      <c r="Q438">
        <v>0</v>
      </c>
    </row>
    <row r="439" spans="1:17" x14ac:dyDescent="0.25">
      <c r="A439" t="s">
        <v>463</v>
      </c>
      <c r="B439" t="s">
        <v>464</v>
      </c>
      <c r="C439" t="s">
        <v>105</v>
      </c>
      <c r="D439" t="s">
        <v>465</v>
      </c>
      <c r="E439" t="s">
        <v>494</v>
      </c>
      <c r="F439" s="1">
        <v>45693</v>
      </c>
      <c r="G439" s="1">
        <v>45753</v>
      </c>
      <c r="H439">
        <v>60</v>
      </c>
      <c r="I439">
        <v>43514.54</v>
      </c>
      <c r="J439">
        <v>43514.54</v>
      </c>
      <c r="K439">
        <v>0</v>
      </c>
      <c r="L439" s="1">
        <v>45773</v>
      </c>
      <c r="M439">
        <v>116</v>
      </c>
      <c r="N439">
        <v>56</v>
      </c>
      <c r="O439" t="s">
        <v>25</v>
      </c>
      <c r="P439">
        <v>0</v>
      </c>
      <c r="Q439">
        <v>0</v>
      </c>
    </row>
    <row r="440" spans="1:17" x14ac:dyDescent="0.25">
      <c r="A440" t="s">
        <v>463</v>
      </c>
      <c r="B440" t="s">
        <v>464</v>
      </c>
      <c r="C440" t="s">
        <v>105</v>
      </c>
      <c r="D440" t="s">
        <v>465</v>
      </c>
      <c r="E440" t="s">
        <v>495</v>
      </c>
      <c r="F440" s="1">
        <v>45755</v>
      </c>
      <c r="G440" s="1">
        <v>45800</v>
      </c>
      <c r="H440">
        <v>45</v>
      </c>
      <c r="I440">
        <v>62963.19</v>
      </c>
      <c r="J440">
        <v>62963.19</v>
      </c>
      <c r="K440">
        <v>0</v>
      </c>
      <c r="L440" s="1">
        <v>45821</v>
      </c>
      <c r="M440">
        <v>54</v>
      </c>
      <c r="N440">
        <v>9</v>
      </c>
      <c r="O440" t="s">
        <v>25</v>
      </c>
      <c r="P440">
        <v>0</v>
      </c>
      <c r="Q440">
        <v>0</v>
      </c>
    </row>
    <row r="441" spans="1:17" x14ac:dyDescent="0.25">
      <c r="A441" t="s">
        <v>463</v>
      </c>
      <c r="B441" t="s">
        <v>464</v>
      </c>
      <c r="C441" t="s">
        <v>105</v>
      </c>
      <c r="D441" t="s">
        <v>465</v>
      </c>
      <c r="E441" t="s">
        <v>496</v>
      </c>
      <c r="F441" s="1">
        <v>45788</v>
      </c>
      <c r="G441" s="1">
        <v>45818</v>
      </c>
      <c r="H441">
        <v>30</v>
      </c>
      <c r="I441">
        <v>51386.1</v>
      </c>
      <c r="J441">
        <v>0</v>
      </c>
      <c r="K441">
        <v>51386.1</v>
      </c>
      <c r="M441">
        <v>21</v>
      </c>
      <c r="N441">
        <v>0</v>
      </c>
      <c r="O441" t="s">
        <v>22</v>
      </c>
      <c r="P441">
        <v>2.5000000000000001E-2</v>
      </c>
      <c r="Q441">
        <v>0</v>
      </c>
    </row>
    <row r="442" spans="1:17" x14ac:dyDescent="0.25">
      <c r="A442" t="s">
        <v>463</v>
      </c>
      <c r="B442" t="s">
        <v>464</v>
      </c>
      <c r="C442" t="s">
        <v>105</v>
      </c>
      <c r="D442" t="s">
        <v>465</v>
      </c>
      <c r="E442" t="s">
        <v>497</v>
      </c>
      <c r="F442" s="1">
        <v>45801</v>
      </c>
      <c r="G442" s="1">
        <v>45891</v>
      </c>
      <c r="H442">
        <v>90</v>
      </c>
      <c r="I442">
        <v>9507.23</v>
      </c>
      <c r="J442">
        <v>0</v>
      </c>
      <c r="K442">
        <v>9507.23</v>
      </c>
      <c r="M442">
        <v>8</v>
      </c>
      <c r="N442">
        <v>0</v>
      </c>
      <c r="O442" t="s">
        <v>22</v>
      </c>
      <c r="P442">
        <v>0.02</v>
      </c>
      <c r="Q442">
        <v>0</v>
      </c>
    </row>
    <row r="443" spans="1:17" x14ac:dyDescent="0.25">
      <c r="A443" t="s">
        <v>463</v>
      </c>
      <c r="B443" t="s">
        <v>464</v>
      </c>
      <c r="C443" t="s">
        <v>105</v>
      </c>
      <c r="D443" t="s">
        <v>465</v>
      </c>
      <c r="E443" t="s">
        <v>498</v>
      </c>
      <c r="F443" s="1">
        <v>45783</v>
      </c>
      <c r="G443" s="1">
        <v>45873</v>
      </c>
      <c r="H443">
        <v>90</v>
      </c>
      <c r="I443">
        <v>24551.34</v>
      </c>
      <c r="J443">
        <v>0</v>
      </c>
      <c r="K443">
        <v>24551.34</v>
      </c>
      <c r="M443">
        <v>26</v>
      </c>
      <c r="N443">
        <v>0</v>
      </c>
      <c r="O443" t="s">
        <v>22</v>
      </c>
      <c r="P443">
        <v>2.5000000000000001E-2</v>
      </c>
      <c r="Q443">
        <v>0</v>
      </c>
    </row>
    <row r="444" spans="1:17" x14ac:dyDescent="0.25">
      <c r="A444" t="s">
        <v>463</v>
      </c>
      <c r="B444" t="s">
        <v>464</v>
      </c>
      <c r="C444" t="s">
        <v>105</v>
      </c>
      <c r="D444" t="s">
        <v>465</v>
      </c>
      <c r="E444" t="s">
        <v>499</v>
      </c>
      <c r="F444" s="1">
        <v>45632</v>
      </c>
      <c r="G444" s="1">
        <v>45677</v>
      </c>
      <c r="H444">
        <v>45</v>
      </c>
      <c r="I444">
        <v>40717.129999999997</v>
      </c>
      <c r="J444">
        <v>40717.129999999997</v>
      </c>
      <c r="K444">
        <v>0</v>
      </c>
      <c r="L444" s="1">
        <v>45665</v>
      </c>
      <c r="M444">
        <v>177</v>
      </c>
      <c r="N444">
        <v>132</v>
      </c>
      <c r="O444" t="s">
        <v>25</v>
      </c>
      <c r="P444">
        <v>0</v>
      </c>
      <c r="Q444">
        <v>0</v>
      </c>
    </row>
    <row r="445" spans="1:17" x14ac:dyDescent="0.25">
      <c r="A445" t="s">
        <v>463</v>
      </c>
      <c r="B445" t="s">
        <v>464</v>
      </c>
      <c r="C445" t="s">
        <v>105</v>
      </c>
      <c r="D445" t="s">
        <v>465</v>
      </c>
      <c r="E445" t="s">
        <v>500</v>
      </c>
      <c r="F445" s="1">
        <v>45640</v>
      </c>
      <c r="G445" s="1">
        <v>45700</v>
      </c>
      <c r="H445">
        <v>60</v>
      </c>
      <c r="I445">
        <v>25862.720000000001</v>
      </c>
      <c r="J445">
        <v>25862.720000000001</v>
      </c>
      <c r="K445">
        <v>0</v>
      </c>
      <c r="L445" s="1">
        <v>45694</v>
      </c>
      <c r="M445">
        <v>169</v>
      </c>
      <c r="N445">
        <v>109</v>
      </c>
      <c r="O445" t="s">
        <v>25</v>
      </c>
      <c r="P445">
        <v>0.02</v>
      </c>
      <c r="Q445">
        <v>517.25</v>
      </c>
    </row>
    <row r="446" spans="1:17" x14ac:dyDescent="0.25">
      <c r="A446" t="s">
        <v>501</v>
      </c>
      <c r="B446" t="s">
        <v>502</v>
      </c>
      <c r="C446" t="s">
        <v>133</v>
      </c>
      <c r="D446" t="s">
        <v>465</v>
      </c>
      <c r="E446" t="s">
        <v>503</v>
      </c>
      <c r="F446" s="1">
        <v>45629</v>
      </c>
      <c r="G446" s="1">
        <v>45719</v>
      </c>
      <c r="H446">
        <v>90</v>
      </c>
      <c r="I446">
        <v>18173.240000000002</v>
      </c>
      <c r="J446">
        <v>18173.240000000002</v>
      </c>
      <c r="K446">
        <v>0</v>
      </c>
      <c r="L446" s="1">
        <v>45632</v>
      </c>
      <c r="M446">
        <v>180</v>
      </c>
      <c r="N446">
        <v>90</v>
      </c>
      <c r="O446" t="s">
        <v>25</v>
      </c>
      <c r="P446">
        <v>0.02</v>
      </c>
      <c r="Q446">
        <v>363.46</v>
      </c>
    </row>
    <row r="447" spans="1:17" x14ac:dyDescent="0.25">
      <c r="A447" t="s">
        <v>501</v>
      </c>
      <c r="B447" t="s">
        <v>502</v>
      </c>
      <c r="C447" t="s">
        <v>133</v>
      </c>
      <c r="D447" t="s">
        <v>465</v>
      </c>
      <c r="E447" t="s">
        <v>504</v>
      </c>
      <c r="F447" s="1">
        <v>45666</v>
      </c>
      <c r="G447" s="1">
        <v>45726</v>
      </c>
      <c r="H447">
        <v>60</v>
      </c>
      <c r="I447">
        <v>1598.87</v>
      </c>
      <c r="J447">
        <v>1229.8599999999999</v>
      </c>
      <c r="K447">
        <v>369.01</v>
      </c>
      <c r="L447" s="1">
        <v>45707</v>
      </c>
      <c r="M447">
        <v>143</v>
      </c>
      <c r="N447">
        <v>83</v>
      </c>
      <c r="O447" t="s">
        <v>29</v>
      </c>
      <c r="P447">
        <v>0</v>
      </c>
      <c r="Q447">
        <v>0</v>
      </c>
    </row>
    <row r="448" spans="1:17" x14ac:dyDescent="0.25">
      <c r="A448" t="s">
        <v>501</v>
      </c>
      <c r="B448" t="s">
        <v>502</v>
      </c>
      <c r="C448" t="s">
        <v>133</v>
      </c>
      <c r="D448" t="s">
        <v>465</v>
      </c>
      <c r="E448" t="s">
        <v>505</v>
      </c>
      <c r="F448" s="1">
        <v>45802</v>
      </c>
      <c r="G448" s="1">
        <v>45847</v>
      </c>
      <c r="H448">
        <v>45</v>
      </c>
      <c r="I448">
        <v>25618.99</v>
      </c>
      <c r="J448">
        <v>0</v>
      </c>
      <c r="K448">
        <v>25618.99</v>
      </c>
      <c r="M448">
        <v>7</v>
      </c>
      <c r="N448">
        <v>0</v>
      </c>
      <c r="O448" t="s">
        <v>22</v>
      </c>
      <c r="P448">
        <v>2.5000000000000001E-2</v>
      </c>
      <c r="Q448">
        <v>0</v>
      </c>
    </row>
    <row r="449" spans="1:17" x14ac:dyDescent="0.25">
      <c r="A449" t="s">
        <v>501</v>
      </c>
      <c r="B449" t="s">
        <v>502</v>
      </c>
      <c r="C449" t="s">
        <v>133</v>
      </c>
      <c r="D449" t="s">
        <v>465</v>
      </c>
      <c r="E449" t="s">
        <v>506</v>
      </c>
      <c r="F449" s="1">
        <v>45697</v>
      </c>
      <c r="G449" s="1">
        <v>45712</v>
      </c>
      <c r="H449">
        <v>15</v>
      </c>
      <c r="I449">
        <v>2399.44</v>
      </c>
      <c r="J449">
        <v>2399.44</v>
      </c>
      <c r="K449">
        <v>0</v>
      </c>
      <c r="L449" s="1">
        <v>45703</v>
      </c>
      <c r="M449">
        <v>112</v>
      </c>
      <c r="N449">
        <v>97</v>
      </c>
      <c r="O449" t="s">
        <v>25</v>
      </c>
      <c r="P449">
        <v>2.5000000000000001E-2</v>
      </c>
      <c r="Q449">
        <v>59.99</v>
      </c>
    </row>
    <row r="450" spans="1:17" x14ac:dyDescent="0.25">
      <c r="A450" t="s">
        <v>501</v>
      </c>
      <c r="B450" t="s">
        <v>502</v>
      </c>
      <c r="C450" t="s">
        <v>133</v>
      </c>
      <c r="D450" t="s">
        <v>465</v>
      </c>
      <c r="E450" t="s">
        <v>507</v>
      </c>
      <c r="F450" s="1">
        <v>45744</v>
      </c>
      <c r="G450" s="1">
        <v>45759</v>
      </c>
      <c r="H450">
        <v>15</v>
      </c>
      <c r="I450">
        <v>64005.7</v>
      </c>
      <c r="J450">
        <v>64005.7</v>
      </c>
      <c r="K450">
        <v>0</v>
      </c>
      <c r="L450" s="1">
        <v>45764</v>
      </c>
      <c r="M450">
        <v>65</v>
      </c>
      <c r="N450">
        <v>50</v>
      </c>
      <c r="O450" t="s">
        <v>25</v>
      </c>
      <c r="P450">
        <v>0.02</v>
      </c>
      <c r="Q450">
        <v>0</v>
      </c>
    </row>
    <row r="451" spans="1:17" x14ac:dyDescent="0.25">
      <c r="A451" t="s">
        <v>501</v>
      </c>
      <c r="B451" t="s">
        <v>502</v>
      </c>
      <c r="C451" t="s">
        <v>133</v>
      </c>
      <c r="D451" t="s">
        <v>465</v>
      </c>
      <c r="E451" t="s">
        <v>508</v>
      </c>
      <c r="F451" s="1">
        <v>45774</v>
      </c>
      <c r="G451" s="1">
        <v>45789</v>
      </c>
      <c r="H451">
        <v>15</v>
      </c>
      <c r="I451">
        <v>64291.57</v>
      </c>
      <c r="J451">
        <v>64291.57</v>
      </c>
      <c r="K451">
        <v>0</v>
      </c>
      <c r="L451" s="1">
        <v>45780</v>
      </c>
      <c r="M451">
        <v>35</v>
      </c>
      <c r="N451">
        <v>20</v>
      </c>
      <c r="O451" t="s">
        <v>25</v>
      </c>
      <c r="P451">
        <v>0.02</v>
      </c>
      <c r="Q451">
        <v>1285.83</v>
      </c>
    </row>
    <row r="452" spans="1:17" x14ac:dyDescent="0.25">
      <c r="A452" t="s">
        <v>501</v>
      </c>
      <c r="B452" t="s">
        <v>502</v>
      </c>
      <c r="C452" t="s">
        <v>133</v>
      </c>
      <c r="D452" t="s">
        <v>465</v>
      </c>
      <c r="E452" t="s">
        <v>509</v>
      </c>
      <c r="F452" s="1">
        <v>45737</v>
      </c>
      <c r="G452" s="1">
        <v>45827</v>
      </c>
      <c r="H452">
        <v>90</v>
      </c>
      <c r="I452">
        <v>34562.31</v>
      </c>
      <c r="J452">
        <v>0</v>
      </c>
      <c r="K452">
        <v>34562.31</v>
      </c>
      <c r="M452">
        <v>72</v>
      </c>
      <c r="N452">
        <v>0</v>
      </c>
      <c r="O452" t="s">
        <v>22</v>
      </c>
      <c r="P452">
        <v>2.5000000000000001E-2</v>
      </c>
      <c r="Q452">
        <v>0</v>
      </c>
    </row>
    <row r="453" spans="1:17" x14ac:dyDescent="0.25">
      <c r="A453" t="s">
        <v>501</v>
      </c>
      <c r="B453" t="s">
        <v>502</v>
      </c>
      <c r="C453" t="s">
        <v>133</v>
      </c>
      <c r="D453" t="s">
        <v>465</v>
      </c>
      <c r="E453" t="s">
        <v>510</v>
      </c>
      <c r="F453" s="1">
        <v>45758</v>
      </c>
      <c r="G453" s="1">
        <v>45788</v>
      </c>
      <c r="H453">
        <v>30</v>
      </c>
      <c r="I453">
        <v>55034.65</v>
      </c>
      <c r="J453">
        <v>55034.65</v>
      </c>
      <c r="K453">
        <v>0</v>
      </c>
      <c r="L453" s="1">
        <v>45808</v>
      </c>
      <c r="M453">
        <v>51</v>
      </c>
      <c r="N453">
        <v>21</v>
      </c>
      <c r="O453" t="s">
        <v>25</v>
      </c>
      <c r="P453">
        <v>0.02</v>
      </c>
      <c r="Q453">
        <v>0</v>
      </c>
    </row>
    <row r="454" spans="1:17" x14ac:dyDescent="0.25">
      <c r="A454" t="s">
        <v>501</v>
      </c>
      <c r="B454" t="s">
        <v>502</v>
      </c>
      <c r="C454" t="s">
        <v>133</v>
      </c>
      <c r="D454" t="s">
        <v>465</v>
      </c>
      <c r="E454" t="s">
        <v>511</v>
      </c>
      <c r="F454" s="1">
        <v>45692</v>
      </c>
      <c r="G454" s="1">
        <v>45752</v>
      </c>
      <c r="H454">
        <v>60</v>
      </c>
      <c r="I454">
        <v>72171.740000000005</v>
      </c>
      <c r="J454">
        <v>72171.740000000005</v>
      </c>
      <c r="K454">
        <v>0</v>
      </c>
      <c r="L454" s="1">
        <v>45753</v>
      </c>
      <c r="M454">
        <v>117</v>
      </c>
      <c r="N454">
        <v>57</v>
      </c>
      <c r="O454" t="s">
        <v>25</v>
      </c>
      <c r="P454">
        <v>0.02</v>
      </c>
      <c r="Q454">
        <v>0</v>
      </c>
    </row>
    <row r="455" spans="1:17" x14ac:dyDescent="0.25">
      <c r="A455" t="s">
        <v>501</v>
      </c>
      <c r="B455" t="s">
        <v>502</v>
      </c>
      <c r="C455" t="s">
        <v>133</v>
      </c>
      <c r="D455" t="s">
        <v>465</v>
      </c>
      <c r="E455" t="s">
        <v>512</v>
      </c>
      <c r="F455" s="1">
        <v>45682</v>
      </c>
      <c r="G455" s="1">
        <v>45712</v>
      </c>
      <c r="H455">
        <v>30</v>
      </c>
      <c r="I455">
        <v>37108.949999999997</v>
      </c>
      <c r="J455">
        <v>37108.949999999997</v>
      </c>
      <c r="K455">
        <v>0</v>
      </c>
      <c r="L455" s="1">
        <v>45704</v>
      </c>
      <c r="M455">
        <v>127</v>
      </c>
      <c r="N455">
        <v>97</v>
      </c>
      <c r="O455" t="s">
        <v>25</v>
      </c>
      <c r="P455">
        <v>0</v>
      </c>
      <c r="Q455">
        <v>0</v>
      </c>
    </row>
    <row r="456" spans="1:17" x14ac:dyDescent="0.25">
      <c r="A456" t="s">
        <v>501</v>
      </c>
      <c r="B456" t="s">
        <v>502</v>
      </c>
      <c r="C456" t="s">
        <v>133</v>
      </c>
      <c r="D456" t="s">
        <v>465</v>
      </c>
      <c r="E456" t="s">
        <v>513</v>
      </c>
      <c r="F456" s="1">
        <v>45668</v>
      </c>
      <c r="G456" s="1">
        <v>45683</v>
      </c>
      <c r="H456">
        <v>15</v>
      </c>
      <c r="I456">
        <v>4441.0200000000004</v>
      </c>
      <c r="J456">
        <v>4441.0200000000004</v>
      </c>
      <c r="K456">
        <v>0</v>
      </c>
      <c r="L456" s="1">
        <v>45691</v>
      </c>
      <c r="M456">
        <v>141</v>
      </c>
      <c r="N456">
        <v>126</v>
      </c>
      <c r="O456" t="s">
        <v>25</v>
      </c>
      <c r="P456">
        <v>2.5000000000000001E-2</v>
      </c>
      <c r="Q456">
        <v>0</v>
      </c>
    </row>
    <row r="457" spans="1:17" x14ac:dyDescent="0.25">
      <c r="A457" t="s">
        <v>501</v>
      </c>
      <c r="B457" t="s">
        <v>502</v>
      </c>
      <c r="C457" t="s">
        <v>133</v>
      </c>
      <c r="D457" t="s">
        <v>465</v>
      </c>
      <c r="E457" t="s">
        <v>514</v>
      </c>
      <c r="F457" s="1">
        <v>45629</v>
      </c>
      <c r="G457" s="1">
        <v>45689</v>
      </c>
      <c r="H457">
        <v>60</v>
      </c>
      <c r="I457">
        <v>24755.599999999999</v>
      </c>
      <c r="J457">
        <v>24755.599999999999</v>
      </c>
      <c r="K457">
        <v>0</v>
      </c>
      <c r="L457" s="1">
        <v>45697</v>
      </c>
      <c r="M457">
        <v>180</v>
      </c>
      <c r="N457">
        <v>120</v>
      </c>
      <c r="O457" t="s">
        <v>25</v>
      </c>
      <c r="P457">
        <v>0</v>
      </c>
      <c r="Q457">
        <v>0</v>
      </c>
    </row>
    <row r="458" spans="1:17" x14ac:dyDescent="0.25">
      <c r="A458" t="s">
        <v>501</v>
      </c>
      <c r="B458" t="s">
        <v>502</v>
      </c>
      <c r="C458" t="s">
        <v>133</v>
      </c>
      <c r="D458" t="s">
        <v>465</v>
      </c>
      <c r="E458" t="s">
        <v>515</v>
      </c>
      <c r="F458" s="1">
        <v>45764</v>
      </c>
      <c r="G458" s="1">
        <v>45794</v>
      </c>
      <c r="H458">
        <v>30</v>
      </c>
      <c r="I458">
        <v>28839.05</v>
      </c>
      <c r="J458">
        <v>28839.05</v>
      </c>
      <c r="K458">
        <v>0</v>
      </c>
      <c r="L458" s="1">
        <v>45781</v>
      </c>
      <c r="M458">
        <v>45</v>
      </c>
      <c r="N458">
        <v>15</v>
      </c>
      <c r="O458" t="s">
        <v>25</v>
      </c>
      <c r="P458">
        <v>0.02</v>
      </c>
      <c r="Q458">
        <v>576.78</v>
      </c>
    </row>
    <row r="459" spans="1:17" x14ac:dyDescent="0.25">
      <c r="A459" t="s">
        <v>501</v>
      </c>
      <c r="B459" t="s">
        <v>502</v>
      </c>
      <c r="C459" t="s">
        <v>133</v>
      </c>
      <c r="D459" t="s">
        <v>465</v>
      </c>
      <c r="E459" t="s">
        <v>516</v>
      </c>
      <c r="F459" s="1">
        <v>45729</v>
      </c>
      <c r="G459" s="1">
        <v>45774</v>
      </c>
      <c r="H459">
        <v>45</v>
      </c>
      <c r="I459">
        <v>29550.17</v>
      </c>
      <c r="J459">
        <v>29550.17</v>
      </c>
      <c r="K459">
        <v>0</v>
      </c>
      <c r="L459" s="1">
        <v>45800</v>
      </c>
      <c r="M459">
        <v>80</v>
      </c>
      <c r="N459">
        <v>35</v>
      </c>
      <c r="O459" t="s">
        <v>25</v>
      </c>
      <c r="P459">
        <v>2.5000000000000001E-2</v>
      </c>
      <c r="Q459">
        <v>0</v>
      </c>
    </row>
    <row r="460" spans="1:17" x14ac:dyDescent="0.25">
      <c r="A460" t="s">
        <v>501</v>
      </c>
      <c r="B460" t="s">
        <v>502</v>
      </c>
      <c r="C460" t="s">
        <v>133</v>
      </c>
      <c r="D460" t="s">
        <v>465</v>
      </c>
      <c r="E460" t="s">
        <v>517</v>
      </c>
      <c r="F460" s="1">
        <v>45671</v>
      </c>
      <c r="G460" s="1">
        <v>45716</v>
      </c>
      <c r="H460">
        <v>45</v>
      </c>
      <c r="I460">
        <v>71334.52</v>
      </c>
      <c r="J460">
        <v>71334.52</v>
      </c>
      <c r="K460">
        <v>0</v>
      </c>
      <c r="L460" s="1">
        <v>45731</v>
      </c>
      <c r="M460">
        <v>138</v>
      </c>
      <c r="N460">
        <v>93</v>
      </c>
      <c r="O460" t="s">
        <v>25</v>
      </c>
      <c r="P460">
        <v>0</v>
      </c>
      <c r="Q460">
        <v>0</v>
      </c>
    </row>
    <row r="461" spans="1:17" x14ac:dyDescent="0.25">
      <c r="A461" t="s">
        <v>501</v>
      </c>
      <c r="B461" t="s">
        <v>502</v>
      </c>
      <c r="C461" t="s">
        <v>133</v>
      </c>
      <c r="D461" t="s">
        <v>465</v>
      </c>
      <c r="E461" t="s">
        <v>518</v>
      </c>
      <c r="F461" s="1">
        <v>45677</v>
      </c>
      <c r="G461" s="1">
        <v>45737</v>
      </c>
      <c r="H461">
        <v>60</v>
      </c>
      <c r="I461">
        <v>30727.67</v>
      </c>
      <c r="J461">
        <v>0</v>
      </c>
      <c r="K461">
        <v>30727.67</v>
      </c>
      <c r="M461">
        <v>132</v>
      </c>
      <c r="N461">
        <v>72</v>
      </c>
      <c r="O461" t="s">
        <v>36</v>
      </c>
      <c r="P461">
        <v>0.02</v>
      </c>
      <c r="Q461">
        <v>0</v>
      </c>
    </row>
    <row r="462" spans="1:17" x14ac:dyDescent="0.25">
      <c r="A462" t="s">
        <v>501</v>
      </c>
      <c r="B462" t="s">
        <v>502</v>
      </c>
      <c r="C462" t="s">
        <v>133</v>
      </c>
      <c r="D462" t="s">
        <v>465</v>
      </c>
      <c r="E462" t="s">
        <v>519</v>
      </c>
      <c r="F462" s="1">
        <v>45788</v>
      </c>
      <c r="G462" s="1">
        <v>45848</v>
      </c>
      <c r="H462">
        <v>60</v>
      </c>
      <c r="I462">
        <v>23019.39</v>
      </c>
      <c r="J462">
        <v>0</v>
      </c>
      <c r="K462">
        <v>23019.39</v>
      </c>
      <c r="M462">
        <v>21</v>
      </c>
      <c r="N462">
        <v>0</v>
      </c>
      <c r="O462" t="s">
        <v>22</v>
      </c>
      <c r="P462">
        <v>0.02</v>
      </c>
      <c r="Q462">
        <v>0</v>
      </c>
    </row>
    <row r="463" spans="1:17" x14ac:dyDescent="0.25">
      <c r="A463" t="s">
        <v>501</v>
      </c>
      <c r="B463" t="s">
        <v>502</v>
      </c>
      <c r="C463" t="s">
        <v>133</v>
      </c>
      <c r="D463" t="s">
        <v>465</v>
      </c>
      <c r="E463" t="s">
        <v>520</v>
      </c>
      <c r="F463" s="1">
        <v>45705</v>
      </c>
      <c r="G463" s="1">
        <v>45795</v>
      </c>
      <c r="H463">
        <v>90</v>
      </c>
      <c r="I463">
        <v>33625.64</v>
      </c>
      <c r="J463">
        <v>10234.969999999999</v>
      </c>
      <c r="K463">
        <v>23390.67</v>
      </c>
      <c r="L463" s="1">
        <v>45744</v>
      </c>
      <c r="M463">
        <v>104</v>
      </c>
      <c r="N463">
        <v>14</v>
      </c>
      <c r="O463" t="s">
        <v>29</v>
      </c>
      <c r="P463">
        <v>0.02</v>
      </c>
      <c r="Q463">
        <v>0</v>
      </c>
    </row>
    <row r="464" spans="1:17" x14ac:dyDescent="0.25">
      <c r="A464" t="s">
        <v>501</v>
      </c>
      <c r="B464" t="s">
        <v>502</v>
      </c>
      <c r="C464" t="s">
        <v>133</v>
      </c>
      <c r="D464" t="s">
        <v>465</v>
      </c>
      <c r="E464" t="s">
        <v>521</v>
      </c>
      <c r="F464" s="1">
        <v>45655</v>
      </c>
      <c r="G464" s="1">
        <v>45715</v>
      </c>
      <c r="H464">
        <v>60</v>
      </c>
      <c r="I464">
        <v>22620.74</v>
      </c>
      <c r="J464">
        <v>22620.74</v>
      </c>
      <c r="K464">
        <v>0</v>
      </c>
      <c r="L464" s="1">
        <v>45662</v>
      </c>
      <c r="M464">
        <v>154</v>
      </c>
      <c r="N464">
        <v>94</v>
      </c>
      <c r="O464" t="s">
        <v>25</v>
      </c>
      <c r="P464">
        <v>0.02</v>
      </c>
      <c r="Q464">
        <v>452.41</v>
      </c>
    </row>
    <row r="465" spans="1:17" x14ac:dyDescent="0.25">
      <c r="A465" t="s">
        <v>501</v>
      </c>
      <c r="B465" t="s">
        <v>502</v>
      </c>
      <c r="C465" t="s">
        <v>133</v>
      </c>
      <c r="D465" t="s">
        <v>465</v>
      </c>
      <c r="E465" t="s">
        <v>522</v>
      </c>
      <c r="F465" s="1">
        <v>45741</v>
      </c>
      <c r="G465" s="1">
        <v>45771</v>
      </c>
      <c r="H465">
        <v>30</v>
      </c>
      <c r="I465">
        <v>62477.33</v>
      </c>
      <c r="J465">
        <v>39509.17</v>
      </c>
      <c r="K465">
        <v>22968.16</v>
      </c>
      <c r="L465" s="1">
        <v>45797</v>
      </c>
      <c r="M465">
        <v>68</v>
      </c>
      <c r="N465">
        <v>38</v>
      </c>
      <c r="O465" t="s">
        <v>29</v>
      </c>
      <c r="P465">
        <v>2.5000000000000001E-2</v>
      </c>
      <c r="Q465">
        <v>0</v>
      </c>
    </row>
    <row r="466" spans="1:17" x14ac:dyDescent="0.25">
      <c r="A466" t="s">
        <v>501</v>
      </c>
      <c r="B466" t="s">
        <v>502</v>
      </c>
      <c r="C466" t="s">
        <v>133</v>
      </c>
      <c r="D466" t="s">
        <v>465</v>
      </c>
      <c r="E466" t="s">
        <v>523</v>
      </c>
      <c r="F466" s="1">
        <v>45708</v>
      </c>
      <c r="G466" s="1">
        <v>45768</v>
      </c>
      <c r="H466">
        <v>60</v>
      </c>
      <c r="I466">
        <v>22990.66</v>
      </c>
      <c r="J466">
        <v>10175.290000000001</v>
      </c>
      <c r="K466">
        <v>12815.37</v>
      </c>
      <c r="L466" s="1">
        <v>45739</v>
      </c>
      <c r="M466">
        <v>101</v>
      </c>
      <c r="N466">
        <v>41</v>
      </c>
      <c r="O466" t="s">
        <v>29</v>
      </c>
      <c r="P466">
        <v>0.01</v>
      </c>
      <c r="Q466">
        <v>0</v>
      </c>
    </row>
    <row r="467" spans="1:17" x14ac:dyDescent="0.25">
      <c r="A467" t="s">
        <v>501</v>
      </c>
      <c r="B467" t="s">
        <v>502</v>
      </c>
      <c r="C467" t="s">
        <v>133</v>
      </c>
      <c r="D467" t="s">
        <v>465</v>
      </c>
      <c r="E467" t="s">
        <v>524</v>
      </c>
      <c r="F467" s="1">
        <v>45765</v>
      </c>
      <c r="G467" s="1">
        <v>45780</v>
      </c>
      <c r="H467">
        <v>15</v>
      </c>
      <c r="I467">
        <v>49451.040000000001</v>
      </c>
      <c r="J467">
        <v>49451.040000000001</v>
      </c>
      <c r="K467">
        <v>0</v>
      </c>
      <c r="L467" s="1">
        <v>45768</v>
      </c>
      <c r="M467">
        <v>44</v>
      </c>
      <c r="N467">
        <v>29</v>
      </c>
      <c r="O467" t="s">
        <v>25</v>
      </c>
      <c r="P467">
        <v>2.5000000000000001E-2</v>
      </c>
      <c r="Q467">
        <v>1236.28</v>
      </c>
    </row>
    <row r="468" spans="1:17" x14ac:dyDescent="0.25">
      <c r="A468" t="s">
        <v>501</v>
      </c>
      <c r="B468" t="s">
        <v>502</v>
      </c>
      <c r="C468" t="s">
        <v>133</v>
      </c>
      <c r="D468" t="s">
        <v>465</v>
      </c>
      <c r="E468" t="s">
        <v>525</v>
      </c>
      <c r="F468" s="1">
        <v>45649</v>
      </c>
      <c r="G468" s="1">
        <v>45679</v>
      </c>
      <c r="H468">
        <v>30</v>
      </c>
      <c r="I468">
        <v>51868.83</v>
      </c>
      <c r="J468">
        <v>0</v>
      </c>
      <c r="K468">
        <v>51868.83</v>
      </c>
      <c r="M468">
        <v>160</v>
      </c>
      <c r="N468">
        <v>130</v>
      </c>
      <c r="O468" t="s">
        <v>36</v>
      </c>
      <c r="P468">
        <v>0.02</v>
      </c>
      <c r="Q468">
        <v>0</v>
      </c>
    </row>
    <row r="469" spans="1:17" x14ac:dyDescent="0.25">
      <c r="A469" t="s">
        <v>501</v>
      </c>
      <c r="B469" t="s">
        <v>502</v>
      </c>
      <c r="C469" t="s">
        <v>133</v>
      </c>
      <c r="D469" t="s">
        <v>465</v>
      </c>
      <c r="E469" t="s">
        <v>526</v>
      </c>
      <c r="F469" s="1">
        <v>45696</v>
      </c>
      <c r="G469" s="1">
        <v>45786</v>
      </c>
      <c r="H469">
        <v>90</v>
      </c>
      <c r="I469">
        <v>5115.17</v>
      </c>
      <c r="J469">
        <v>5115.17</v>
      </c>
      <c r="K469">
        <v>0</v>
      </c>
      <c r="L469" s="1">
        <v>45808</v>
      </c>
      <c r="M469">
        <v>113</v>
      </c>
      <c r="N469">
        <v>23</v>
      </c>
      <c r="O469" t="s">
        <v>25</v>
      </c>
      <c r="P469">
        <v>0</v>
      </c>
      <c r="Q469">
        <v>0</v>
      </c>
    </row>
    <row r="470" spans="1:17" x14ac:dyDescent="0.25">
      <c r="A470" t="s">
        <v>501</v>
      </c>
      <c r="B470" t="s">
        <v>502</v>
      </c>
      <c r="C470" t="s">
        <v>133</v>
      </c>
      <c r="D470" t="s">
        <v>465</v>
      </c>
      <c r="E470" t="s">
        <v>527</v>
      </c>
      <c r="F470" s="1">
        <v>45723</v>
      </c>
      <c r="G470" s="1">
        <v>45813</v>
      </c>
      <c r="H470">
        <v>90</v>
      </c>
      <c r="I470">
        <v>58767.8</v>
      </c>
      <c r="J470">
        <v>0</v>
      </c>
      <c r="K470">
        <v>58767.8</v>
      </c>
      <c r="M470">
        <v>86</v>
      </c>
      <c r="N470">
        <v>0</v>
      </c>
      <c r="O470" t="s">
        <v>22</v>
      </c>
      <c r="P470">
        <v>0.01</v>
      </c>
      <c r="Q470">
        <v>0</v>
      </c>
    </row>
    <row r="471" spans="1:17" x14ac:dyDescent="0.25">
      <c r="A471" t="s">
        <v>501</v>
      </c>
      <c r="B471" t="s">
        <v>502</v>
      </c>
      <c r="C471" t="s">
        <v>133</v>
      </c>
      <c r="D471" t="s">
        <v>465</v>
      </c>
      <c r="E471" t="s">
        <v>528</v>
      </c>
      <c r="F471" s="1">
        <v>45692</v>
      </c>
      <c r="G471" s="1">
        <v>45752</v>
      </c>
      <c r="H471">
        <v>60</v>
      </c>
      <c r="I471">
        <v>17166.3</v>
      </c>
      <c r="J471">
        <v>17166.3</v>
      </c>
      <c r="K471">
        <v>0</v>
      </c>
      <c r="L471" s="1">
        <v>45713</v>
      </c>
      <c r="M471">
        <v>117</v>
      </c>
      <c r="N471">
        <v>57</v>
      </c>
      <c r="O471" t="s">
        <v>25</v>
      </c>
      <c r="P471">
        <v>0.01</v>
      </c>
      <c r="Q471">
        <v>171.66</v>
      </c>
    </row>
    <row r="472" spans="1:17" x14ac:dyDescent="0.25">
      <c r="A472" t="s">
        <v>501</v>
      </c>
      <c r="B472" t="s">
        <v>502</v>
      </c>
      <c r="C472" t="s">
        <v>133</v>
      </c>
      <c r="D472" t="s">
        <v>465</v>
      </c>
      <c r="E472" t="s">
        <v>529</v>
      </c>
      <c r="F472" s="1">
        <v>45781</v>
      </c>
      <c r="G472" s="1">
        <v>45871</v>
      </c>
      <c r="H472">
        <v>90</v>
      </c>
      <c r="I472">
        <v>6834.32</v>
      </c>
      <c r="J472">
        <v>0</v>
      </c>
      <c r="K472">
        <v>6834.32</v>
      </c>
      <c r="M472">
        <v>28</v>
      </c>
      <c r="N472">
        <v>0</v>
      </c>
      <c r="O472" t="s">
        <v>22</v>
      </c>
      <c r="P472">
        <v>0</v>
      </c>
      <c r="Q472">
        <v>0</v>
      </c>
    </row>
    <row r="473" spans="1:17" x14ac:dyDescent="0.25">
      <c r="A473" t="s">
        <v>501</v>
      </c>
      <c r="B473" t="s">
        <v>502</v>
      </c>
      <c r="C473" t="s">
        <v>133</v>
      </c>
      <c r="D473" t="s">
        <v>465</v>
      </c>
      <c r="E473" t="s">
        <v>530</v>
      </c>
      <c r="F473" s="1">
        <v>45695</v>
      </c>
      <c r="G473" s="1">
        <v>45725</v>
      </c>
      <c r="H473">
        <v>30</v>
      </c>
      <c r="I473">
        <v>48294.74</v>
      </c>
      <c r="J473">
        <v>48294.74</v>
      </c>
      <c r="K473">
        <v>0</v>
      </c>
      <c r="L473" s="1">
        <v>45734</v>
      </c>
      <c r="M473">
        <v>114</v>
      </c>
      <c r="N473">
        <v>84</v>
      </c>
      <c r="O473" t="s">
        <v>25</v>
      </c>
      <c r="P473">
        <v>2.5000000000000001E-2</v>
      </c>
      <c r="Q473">
        <v>0</v>
      </c>
    </row>
    <row r="474" spans="1:17" x14ac:dyDescent="0.25">
      <c r="A474" t="s">
        <v>501</v>
      </c>
      <c r="B474" t="s">
        <v>502</v>
      </c>
      <c r="C474" t="s">
        <v>133</v>
      </c>
      <c r="D474" t="s">
        <v>465</v>
      </c>
      <c r="E474" t="s">
        <v>531</v>
      </c>
      <c r="F474" s="1">
        <v>45777</v>
      </c>
      <c r="G474" s="1">
        <v>45792</v>
      </c>
      <c r="H474">
        <v>15</v>
      </c>
      <c r="I474">
        <v>27771.8</v>
      </c>
      <c r="J474">
        <v>27771.8</v>
      </c>
      <c r="K474">
        <v>0</v>
      </c>
      <c r="L474" s="1">
        <v>45785</v>
      </c>
      <c r="M474">
        <v>32</v>
      </c>
      <c r="N474">
        <v>17</v>
      </c>
      <c r="O474" t="s">
        <v>25</v>
      </c>
      <c r="P474">
        <v>0</v>
      </c>
      <c r="Q474">
        <v>0</v>
      </c>
    </row>
    <row r="475" spans="1:17" x14ac:dyDescent="0.25">
      <c r="A475" t="s">
        <v>501</v>
      </c>
      <c r="B475" t="s">
        <v>502</v>
      </c>
      <c r="C475" t="s">
        <v>133</v>
      </c>
      <c r="D475" t="s">
        <v>465</v>
      </c>
      <c r="E475" t="s">
        <v>532</v>
      </c>
      <c r="F475" s="1">
        <v>45763</v>
      </c>
      <c r="G475" s="1">
        <v>45823</v>
      </c>
      <c r="H475">
        <v>60</v>
      </c>
      <c r="I475">
        <v>55453.78</v>
      </c>
      <c r="J475">
        <v>0</v>
      </c>
      <c r="K475">
        <v>55453.78</v>
      </c>
      <c r="M475">
        <v>46</v>
      </c>
      <c r="N475">
        <v>0</v>
      </c>
      <c r="O475" t="s">
        <v>22</v>
      </c>
      <c r="P475">
        <v>2.5000000000000001E-2</v>
      </c>
      <c r="Q475">
        <v>0</v>
      </c>
    </row>
    <row r="476" spans="1:17" x14ac:dyDescent="0.25">
      <c r="A476" t="s">
        <v>501</v>
      </c>
      <c r="B476" t="s">
        <v>502</v>
      </c>
      <c r="C476" t="s">
        <v>133</v>
      </c>
      <c r="D476" t="s">
        <v>465</v>
      </c>
      <c r="E476" t="s">
        <v>533</v>
      </c>
      <c r="F476" s="1">
        <v>45677</v>
      </c>
      <c r="G476" s="1">
        <v>45767</v>
      </c>
      <c r="H476">
        <v>90</v>
      </c>
      <c r="I476">
        <v>13151.82</v>
      </c>
      <c r="J476">
        <v>0</v>
      </c>
      <c r="K476">
        <v>13151.82</v>
      </c>
      <c r="M476">
        <v>132</v>
      </c>
      <c r="N476">
        <v>42</v>
      </c>
      <c r="O476" t="s">
        <v>36</v>
      </c>
      <c r="P476">
        <v>2.5000000000000001E-2</v>
      </c>
      <c r="Q476">
        <v>0</v>
      </c>
    </row>
    <row r="477" spans="1:17" x14ac:dyDescent="0.25">
      <c r="A477" t="s">
        <v>501</v>
      </c>
      <c r="B477" t="s">
        <v>502</v>
      </c>
      <c r="C477" t="s">
        <v>133</v>
      </c>
      <c r="D477" t="s">
        <v>465</v>
      </c>
      <c r="E477" t="s">
        <v>534</v>
      </c>
      <c r="F477" s="1">
        <v>45775</v>
      </c>
      <c r="G477" s="1">
        <v>45805</v>
      </c>
      <c r="H477">
        <v>30</v>
      </c>
      <c r="I477">
        <v>41799.279999999999</v>
      </c>
      <c r="J477">
        <v>41799.279999999999</v>
      </c>
      <c r="K477">
        <v>0</v>
      </c>
      <c r="L477" s="1">
        <v>45784</v>
      </c>
      <c r="M477">
        <v>34</v>
      </c>
      <c r="N477">
        <v>4</v>
      </c>
      <c r="O477" t="s">
        <v>25</v>
      </c>
      <c r="P477">
        <v>2.5000000000000001E-2</v>
      </c>
      <c r="Q477">
        <v>1044.98</v>
      </c>
    </row>
    <row r="478" spans="1:17" x14ac:dyDescent="0.25">
      <c r="A478" t="s">
        <v>535</v>
      </c>
      <c r="B478" t="s">
        <v>536</v>
      </c>
      <c r="C478" t="s">
        <v>166</v>
      </c>
      <c r="D478" t="s">
        <v>465</v>
      </c>
      <c r="E478" t="s">
        <v>537</v>
      </c>
      <c r="F478" s="1">
        <v>45686</v>
      </c>
      <c r="G478" s="1">
        <v>45746</v>
      </c>
      <c r="H478">
        <v>60</v>
      </c>
      <c r="I478">
        <v>68290.78</v>
      </c>
      <c r="J478">
        <v>68290.78</v>
      </c>
      <c r="K478">
        <v>0</v>
      </c>
      <c r="L478" s="1">
        <v>45758</v>
      </c>
      <c r="M478">
        <v>123</v>
      </c>
      <c r="N478">
        <v>63</v>
      </c>
      <c r="O478" t="s">
        <v>25</v>
      </c>
      <c r="P478">
        <v>0</v>
      </c>
      <c r="Q478">
        <v>0</v>
      </c>
    </row>
    <row r="479" spans="1:17" x14ac:dyDescent="0.25">
      <c r="A479" t="s">
        <v>535</v>
      </c>
      <c r="B479" t="s">
        <v>536</v>
      </c>
      <c r="C479" t="s">
        <v>166</v>
      </c>
      <c r="D479" t="s">
        <v>465</v>
      </c>
      <c r="E479" t="s">
        <v>538</v>
      </c>
      <c r="F479" s="1">
        <v>45793</v>
      </c>
      <c r="G479" s="1">
        <v>45853</v>
      </c>
      <c r="H479">
        <v>60</v>
      </c>
      <c r="I479">
        <v>45232.160000000003</v>
      </c>
      <c r="J479">
        <v>0</v>
      </c>
      <c r="K479">
        <v>45232.160000000003</v>
      </c>
      <c r="M479">
        <v>16</v>
      </c>
      <c r="N479">
        <v>0</v>
      </c>
      <c r="O479" t="s">
        <v>22</v>
      </c>
      <c r="P479">
        <v>2.5000000000000001E-2</v>
      </c>
      <c r="Q479">
        <v>0</v>
      </c>
    </row>
    <row r="480" spans="1:17" x14ac:dyDescent="0.25">
      <c r="A480" t="s">
        <v>535</v>
      </c>
      <c r="B480" t="s">
        <v>536</v>
      </c>
      <c r="C480" t="s">
        <v>166</v>
      </c>
      <c r="D480" t="s">
        <v>465</v>
      </c>
      <c r="E480" t="s">
        <v>539</v>
      </c>
      <c r="F480" s="1">
        <v>45743</v>
      </c>
      <c r="G480" s="1">
        <v>45833</v>
      </c>
      <c r="H480">
        <v>90</v>
      </c>
      <c r="I480">
        <v>27267.07</v>
      </c>
      <c r="J480">
        <v>0</v>
      </c>
      <c r="K480">
        <v>27267.07</v>
      </c>
      <c r="M480">
        <v>66</v>
      </c>
      <c r="N480">
        <v>0</v>
      </c>
      <c r="O480" t="s">
        <v>22</v>
      </c>
      <c r="P480">
        <v>2.5000000000000001E-2</v>
      </c>
      <c r="Q480">
        <v>0</v>
      </c>
    </row>
    <row r="481" spans="1:17" x14ac:dyDescent="0.25">
      <c r="A481" t="s">
        <v>535</v>
      </c>
      <c r="B481" t="s">
        <v>536</v>
      </c>
      <c r="C481" t="s">
        <v>166</v>
      </c>
      <c r="D481" t="s">
        <v>465</v>
      </c>
      <c r="E481" t="s">
        <v>540</v>
      </c>
      <c r="F481" s="1">
        <v>45646</v>
      </c>
      <c r="G481" s="1">
        <v>45736</v>
      </c>
      <c r="H481">
        <v>90</v>
      </c>
      <c r="I481">
        <v>23866.240000000002</v>
      </c>
      <c r="J481">
        <v>23866.240000000002</v>
      </c>
      <c r="K481">
        <v>0</v>
      </c>
      <c r="L481" s="1">
        <v>45659</v>
      </c>
      <c r="M481">
        <v>163</v>
      </c>
      <c r="N481">
        <v>73</v>
      </c>
      <c r="O481" t="s">
        <v>25</v>
      </c>
      <c r="P481">
        <v>0.01</v>
      </c>
      <c r="Q481">
        <v>238.66</v>
      </c>
    </row>
    <row r="482" spans="1:17" x14ac:dyDescent="0.25">
      <c r="A482" t="s">
        <v>535</v>
      </c>
      <c r="B482" t="s">
        <v>536</v>
      </c>
      <c r="C482" t="s">
        <v>166</v>
      </c>
      <c r="D482" t="s">
        <v>465</v>
      </c>
      <c r="E482" t="s">
        <v>541</v>
      </c>
      <c r="F482" s="1">
        <v>45777</v>
      </c>
      <c r="G482" s="1">
        <v>45807</v>
      </c>
      <c r="H482">
        <v>30</v>
      </c>
      <c r="I482">
        <v>76629.58</v>
      </c>
      <c r="J482">
        <v>0</v>
      </c>
      <c r="K482">
        <v>76629.58</v>
      </c>
      <c r="M482">
        <v>32</v>
      </c>
      <c r="N482">
        <v>2</v>
      </c>
      <c r="O482" t="s">
        <v>36</v>
      </c>
      <c r="P482">
        <v>0.02</v>
      </c>
      <c r="Q482">
        <v>0</v>
      </c>
    </row>
    <row r="483" spans="1:17" x14ac:dyDescent="0.25">
      <c r="A483" t="s">
        <v>535</v>
      </c>
      <c r="B483" t="s">
        <v>536</v>
      </c>
      <c r="C483" t="s">
        <v>166</v>
      </c>
      <c r="D483" t="s">
        <v>465</v>
      </c>
      <c r="E483" t="s">
        <v>542</v>
      </c>
      <c r="F483" s="1">
        <v>45657</v>
      </c>
      <c r="G483" s="1">
        <v>45687</v>
      </c>
      <c r="H483">
        <v>30</v>
      </c>
      <c r="I483">
        <v>25811.93</v>
      </c>
      <c r="J483">
        <v>25811.93</v>
      </c>
      <c r="K483">
        <v>0</v>
      </c>
      <c r="L483" s="1">
        <v>45673</v>
      </c>
      <c r="M483">
        <v>152</v>
      </c>
      <c r="N483">
        <v>122</v>
      </c>
      <c r="O483" t="s">
        <v>25</v>
      </c>
      <c r="P483">
        <v>0</v>
      </c>
      <c r="Q483">
        <v>0</v>
      </c>
    </row>
    <row r="484" spans="1:17" x14ac:dyDescent="0.25">
      <c r="A484" t="s">
        <v>535</v>
      </c>
      <c r="B484" t="s">
        <v>536</v>
      </c>
      <c r="C484" t="s">
        <v>166</v>
      </c>
      <c r="D484" t="s">
        <v>465</v>
      </c>
      <c r="E484" t="s">
        <v>543</v>
      </c>
      <c r="F484" s="1">
        <v>45770</v>
      </c>
      <c r="G484" s="1">
        <v>45860</v>
      </c>
      <c r="H484">
        <v>90</v>
      </c>
      <c r="I484">
        <v>61550.42</v>
      </c>
      <c r="J484">
        <v>0</v>
      </c>
      <c r="K484">
        <v>61550.42</v>
      </c>
      <c r="M484">
        <v>39</v>
      </c>
      <c r="N484">
        <v>0</v>
      </c>
      <c r="O484" t="s">
        <v>22</v>
      </c>
      <c r="P484">
        <v>0.02</v>
      </c>
      <c r="Q484">
        <v>0</v>
      </c>
    </row>
    <row r="485" spans="1:17" x14ac:dyDescent="0.25">
      <c r="A485" t="s">
        <v>535</v>
      </c>
      <c r="B485" t="s">
        <v>536</v>
      </c>
      <c r="C485" t="s">
        <v>166</v>
      </c>
      <c r="D485" t="s">
        <v>465</v>
      </c>
      <c r="E485" t="s">
        <v>544</v>
      </c>
      <c r="F485" s="1">
        <v>45770</v>
      </c>
      <c r="G485" s="1">
        <v>45860</v>
      </c>
      <c r="H485">
        <v>90</v>
      </c>
      <c r="I485">
        <v>23614.12</v>
      </c>
      <c r="J485">
        <v>0</v>
      </c>
      <c r="K485">
        <v>23614.12</v>
      </c>
      <c r="M485">
        <v>39</v>
      </c>
      <c r="N485">
        <v>0</v>
      </c>
      <c r="O485" t="s">
        <v>22</v>
      </c>
      <c r="P485">
        <v>0.02</v>
      </c>
      <c r="Q485">
        <v>0</v>
      </c>
    </row>
    <row r="486" spans="1:17" x14ac:dyDescent="0.25">
      <c r="A486" t="s">
        <v>535</v>
      </c>
      <c r="B486" t="s">
        <v>536</v>
      </c>
      <c r="C486" t="s">
        <v>166</v>
      </c>
      <c r="D486" t="s">
        <v>465</v>
      </c>
      <c r="E486" t="s">
        <v>545</v>
      </c>
      <c r="F486" s="1">
        <v>45706</v>
      </c>
      <c r="G486" s="1">
        <v>45751</v>
      </c>
      <c r="H486">
        <v>45</v>
      </c>
      <c r="I486">
        <v>1724.93</v>
      </c>
      <c r="J486">
        <v>1330.31</v>
      </c>
      <c r="K486">
        <v>394.62</v>
      </c>
      <c r="L486" s="1">
        <v>45745</v>
      </c>
      <c r="M486">
        <v>103</v>
      </c>
      <c r="N486">
        <v>58</v>
      </c>
      <c r="O486" t="s">
        <v>29</v>
      </c>
      <c r="P486">
        <v>0.01</v>
      </c>
      <c r="Q486">
        <v>0</v>
      </c>
    </row>
    <row r="487" spans="1:17" x14ac:dyDescent="0.25">
      <c r="A487" t="s">
        <v>535</v>
      </c>
      <c r="B487" t="s">
        <v>536</v>
      </c>
      <c r="C487" t="s">
        <v>166</v>
      </c>
      <c r="D487" t="s">
        <v>465</v>
      </c>
      <c r="E487" t="s">
        <v>546</v>
      </c>
      <c r="F487" s="1">
        <v>45800</v>
      </c>
      <c r="G487" s="1">
        <v>45845</v>
      </c>
      <c r="H487">
        <v>45</v>
      </c>
      <c r="I487">
        <v>1690.26</v>
      </c>
      <c r="J487">
        <v>0</v>
      </c>
      <c r="K487">
        <v>1690.26</v>
      </c>
      <c r="M487">
        <v>9</v>
      </c>
      <c r="N487">
        <v>0</v>
      </c>
      <c r="O487" t="s">
        <v>22</v>
      </c>
      <c r="P487">
        <v>2.5000000000000001E-2</v>
      </c>
      <c r="Q487">
        <v>0</v>
      </c>
    </row>
    <row r="488" spans="1:17" x14ac:dyDescent="0.25">
      <c r="A488" t="s">
        <v>535</v>
      </c>
      <c r="B488" t="s">
        <v>536</v>
      </c>
      <c r="C488" t="s">
        <v>166</v>
      </c>
      <c r="D488" t="s">
        <v>465</v>
      </c>
      <c r="E488" t="s">
        <v>547</v>
      </c>
      <c r="F488" s="1">
        <v>45777</v>
      </c>
      <c r="G488" s="1">
        <v>45822</v>
      </c>
      <c r="H488">
        <v>45</v>
      </c>
      <c r="I488">
        <v>57643.73</v>
      </c>
      <c r="J488">
        <v>0</v>
      </c>
      <c r="K488">
        <v>57643.73</v>
      </c>
      <c r="M488">
        <v>32</v>
      </c>
      <c r="N488">
        <v>0</v>
      </c>
      <c r="O488" t="s">
        <v>22</v>
      </c>
      <c r="P488">
        <v>0.02</v>
      </c>
      <c r="Q488">
        <v>0</v>
      </c>
    </row>
    <row r="489" spans="1:17" x14ac:dyDescent="0.25">
      <c r="A489" t="s">
        <v>535</v>
      </c>
      <c r="B489" t="s">
        <v>536</v>
      </c>
      <c r="C489" t="s">
        <v>166</v>
      </c>
      <c r="D489" t="s">
        <v>465</v>
      </c>
      <c r="E489" t="s">
        <v>548</v>
      </c>
      <c r="F489" s="1">
        <v>45717</v>
      </c>
      <c r="G489" s="1">
        <v>45732</v>
      </c>
      <c r="H489">
        <v>15</v>
      </c>
      <c r="I489">
        <v>43194.28</v>
      </c>
      <c r="J489">
        <v>43194.28</v>
      </c>
      <c r="K489">
        <v>0</v>
      </c>
      <c r="L489" s="1">
        <v>45722</v>
      </c>
      <c r="M489">
        <v>92</v>
      </c>
      <c r="N489">
        <v>77</v>
      </c>
      <c r="O489" t="s">
        <v>25</v>
      </c>
      <c r="P489">
        <v>0</v>
      </c>
      <c r="Q489">
        <v>0</v>
      </c>
    </row>
    <row r="490" spans="1:17" x14ac:dyDescent="0.25">
      <c r="A490" t="s">
        <v>535</v>
      </c>
      <c r="B490" t="s">
        <v>536</v>
      </c>
      <c r="C490" t="s">
        <v>166</v>
      </c>
      <c r="D490" t="s">
        <v>465</v>
      </c>
      <c r="E490" t="s">
        <v>549</v>
      </c>
      <c r="F490" s="1">
        <v>45795</v>
      </c>
      <c r="G490" s="1">
        <v>45885</v>
      </c>
      <c r="H490">
        <v>90</v>
      </c>
      <c r="I490">
        <v>3689.99</v>
      </c>
      <c r="J490">
        <v>0</v>
      </c>
      <c r="K490">
        <v>3689.99</v>
      </c>
      <c r="M490">
        <v>14</v>
      </c>
      <c r="N490">
        <v>0</v>
      </c>
      <c r="O490" t="s">
        <v>22</v>
      </c>
      <c r="P490">
        <v>0.01</v>
      </c>
      <c r="Q490">
        <v>0</v>
      </c>
    </row>
    <row r="491" spans="1:17" x14ac:dyDescent="0.25">
      <c r="A491" t="s">
        <v>535</v>
      </c>
      <c r="B491" t="s">
        <v>536</v>
      </c>
      <c r="C491" t="s">
        <v>166</v>
      </c>
      <c r="D491" t="s">
        <v>465</v>
      </c>
      <c r="E491" t="s">
        <v>550</v>
      </c>
      <c r="F491" s="1">
        <v>45730</v>
      </c>
      <c r="G491" s="1">
        <v>45775</v>
      </c>
      <c r="H491">
        <v>45</v>
      </c>
      <c r="I491">
        <v>15961.54</v>
      </c>
      <c r="J491">
        <v>15961.54</v>
      </c>
      <c r="K491">
        <v>0</v>
      </c>
      <c r="L491" s="1">
        <v>45779</v>
      </c>
      <c r="M491">
        <v>79</v>
      </c>
      <c r="N491">
        <v>34</v>
      </c>
      <c r="O491" t="s">
        <v>25</v>
      </c>
      <c r="P491">
        <v>0.02</v>
      </c>
      <c r="Q491">
        <v>0</v>
      </c>
    </row>
    <row r="492" spans="1:17" x14ac:dyDescent="0.25">
      <c r="A492" t="s">
        <v>535</v>
      </c>
      <c r="B492" t="s">
        <v>536</v>
      </c>
      <c r="C492" t="s">
        <v>166</v>
      </c>
      <c r="D492" t="s">
        <v>465</v>
      </c>
      <c r="E492" t="s">
        <v>551</v>
      </c>
      <c r="F492" s="1">
        <v>45734</v>
      </c>
      <c r="G492" s="1">
        <v>45764</v>
      </c>
      <c r="H492">
        <v>30</v>
      </c>
      <c r="I492">
        <v>6858.65</v>
      </c>
      <c r="J492">
        <v>6858.65</v>
      </c>
      <c r="K492">
        <v>0</v>
      </c>
      <c r="L492" s="1">
        <v>45792</v>
      </c>
      <c r="M492">
        <v>75</v>
      </c>
      <c r="N492">
        <v>45</v>
      </c>
      <c r="O492" t="s">
        <v>25</v>
      </c>
      <c r="P492">
        <v>0.02</v>
      </c>
      <c r="Q492">
        <v>0</v>
      </c>
    </row>
    <row r="493" spans="1:17" x14ac:dyDescent="0.25">
      <c r="A493" t="s">
        <v>535</v>
      </c>
      <c r="B493" t="s">
        <v>536</v>
      </c>
      <c r="C493" t="s">
        <v>166</v>
      </c>
      <c r="D493" t="s">
        <v>465</v>
      </c>
      <c r="E493" t="s">
        <v>552</v>
      </c>
      <c r="F493" s="1">
        <v>45761</v>
      </c>
      <c r="G493" s="1">
        <v>45851</v>
      </c>
      <c r="H493">
        <v>90</v>
      </c>
      <c r="I493">
        <v>73166.259999999995</v>
      </c>
      <c r="J493">
        <v>0</v>
      </c>
      <c r="K493">
        <v>73166.259999999995</v>
      </c>
      <c r="M493">
        <v>48</v>
      </c>
      <c r="N493">
        <v>0</v>
      </c>
      <c r="O493" t="s">
        <v>22</v>
      </c>
      <c r="P493">
        <v>2.5000000000000001E-2</v>
      </c>
      <c r="Q493">
        <v>0</v>
      </c>
    </row>
    <row r="494" spans="1:17" x14ac:dyDescent="0.25">
      <c r="A494" t="s">
        <v>535</v>
      </c>
      <c r="B494" t="s">
        <v>536</v>
      </c>
      <c r="C494" t="s">
        <v>166</v>
      </c>
      <c r="D494" t="s">
        <v>465</v>
      </c>
      <c r="E494" t="s">
        <v>553</v>
      </c>
      <c r="F494" s="1">
        <v>45777</v>
      </c>
      <c r="G494" s="1">
        <v>45867</v>
      </c>
      <c r="H494">
        <v>90</v>
      </c>
      <c r="I494">
        <v>42474.16</v>
      </c>
      <c r="J494">
        <v>0</v>
      </c>
      <c r="K494">
        <v>42474.16</v>
      </c>
      <c r="M494">
        <v>32</v>
      </c>
      <c r="N494">
        <v>0</v>
      </c>
      <c r="O494" t="s">
        <v>22</v>
      </c>
      <c r="P494">
        <v>0.02</v>
      </c>
      <c r="Q494">
        <v>0</v>
      </c>
    </row>
    <row r="495" spans="1:17" x14ac:dyDescent="0.25">
      <c r="A495" t="s">
        <v>535</v>
      </c>
      <c r="B495" t="s">
        <v>536</v>
      </c>
      <c r="C495" t="s">
        <v>166</v>
      </c>
      <c r="D495" t="s">
        <v>465</v>
      </c>
      <c r="E495" t="s">
        <v>554</v>
      </c>
      <c r="F495" s="1">
        <v>45761</v>
      </c>
      <c r="G495" s="1">
        <v>45851</v>
      </c>
      <c r="H495">
        <v>90</v>
      </c>
      <c r="I495">
        <v>57588.18</v>
      </c>
      <c r="J495">
        <v>0</v>
      </c>
      <c r="K495">
        <v>57588.18</v>
      </c>
      <c r="M495">
        <v>48</v>
      </c>
      <c r="N495">
        <v>0</v>
      </c>
      <c r="O495" t="s">
        <v>22</v>
      </c>
      <c r="P495">
        <v>2.5000000000000001E-2</v>
      </c>
      <c r="Q495">
        <v>0</v>
      </c>
    </row>
    <row r="496" spans="1:17" x14ac:dyDescent="0.25">
      <c r="A496" t="s">
        <v>535</v>
      </c>
      <c r="B496" t="s">
        <v>536</v>
      </c>
      <c r="C496" t="s">
        <v>166</v>
      </c>
      <c r="D496" t="s">
        <v>465</v>
      </c>
      <c r="E496" t="s">
        <v>555</v>
      </c>
      <c r="F496" s="1">
        <v>45720</v>
      </c>
      <c r="G496" s="1">
        <v>45780</v>
      </c>
      <c r="H496">
        <v>60</v>
      </c>
      <c r="I496">
        <v>44196.99</v>
      </c>
      <c r="J496">
        <v>44196.99</v>
      </c>
      <c r="K496">
        <v>0</v>
      </c>
      <c r="L496" s="1">
        <v>45783</v>
      </c>
      <c r="M496">
        <v>89</v>
      </c>
      <c r="N496">
        <v>29</v>
      </c>
      <c r="O496" t="s">
        <v>25</v>
      </c>
      <c r="P496">
        <v>0.01</v>
      </c>
      <c r="Q496">
        <v>0</v>
      </c>
    </row>
    <row r="497" spans="1:17" x14ac:dyDescent="0.25">
      <c r="A497" t="s">
        <v>535</v>
      </c>
      <c r="B497" t="s">
        <v>536</v>
      </c>
      <c r="C497" t="s">
        <v>166</v>
      </c>
      <c r="D497" t="s">
        <v>465</v>
      </c>
      <c r="E497" t="s">
        <v>556</v>
      </c>
      <c r="F497" s="1">
        <v>45640</v>
      </c>
      <c r="G497" s="1">
        <v>45730</v>
      </c>
      <c r="H497">
        <v>90</v>
      </c>
      <c r="I497">
        <v>29956.560000000001</v>
      </c>
      <c r="J497">
        <v>29956.560000000001</v>
      </c>
      <c r="K497">
        <v>0</v>
      </c>
      <c r="L497" s="1">
        <v>45693</v>
      </c>
      <c r="M497">
        <v>169</v>
      </c>
      <c r="N497">
        <v>79</v>
      </c>
      <c r="O497" t="s">
        <v>25</v>
      </c>
      <c r="P497">
        <v>0</v>
      </c>
      <c r="Q497">
        <v>0</v>
      </c>
    </row>
    <row r="498" spans="1:17" x14ac:dyDescent="0.25">
      <c r="A498" t="s">
        <v>535</v>
      </c>
      <c r="B498" t="s">
        <v>536</v>
      </c>
      <c r="C498" t="s">
        <v>166</v>
      </c>
      <c r="D498" t="s">
        <v>465</v>
      </c>
      <c r="E498" t="s">
        <v>557</v>
      </c>
      <c r="F498" s="1">
        <v>45673</v>
      </c>
      <c r="G498" s="1">
        <v>45703</v>
      </c>
      <c r="H498">
        <v>30</v>
      </c>
      <c r="I498">
        <v>47490.39</v>
      </c>
      <c r="J498">
        <v>47490.39</v>
      </c>
      <c r="K498">
        <v>0</v>
      </c>
      <c r="L498" s="1">
        <v>45681</v>
      </c>
      <c r="M498">
        <v>136</v>
      </c>
      <c r="N498">
        <v>106</v>
      </c>
      <c r="O498" t="s">
        <v>25</v>
      </c>
      <c r="P498">
        <v>0.02</v>
      </c>
      <c r="Q498">
        <v>949.81</v>
      </c>
    </row>
    <row r="499" spans="1:17" x14ac:dyDescent="0.25">
      <c r="A499" t="s">
        <v>535</v>
      </c>
      <c r="B499" t="s">
        <v>536</v>
      </c>
      <c r="C499" t="s">
        <v>166</v>
      </c>
      <c r="D499" t="s">
        <v>465</v>
      </c>
      <c r="E499" t="s">
        <v>558</v>
      </c>
      <c r="F499" s="1">
        <v>45796</v>
      </c>
      <c r="G499" s="1">
        <v>45856</v>
      </c>
      <c r="H499">
        <v>60</v>
      </c>
      <c r="I499">
        <v>66279.360000000001</v>
      </c>
      <c r="J499">
        <v>0</v>
      </c>
      <c r="K499">
        <v>66279.360000000001</v>
      </c>
      <c r="M499">
        <v>13</v>
      </c>
      <c r="N499">
        <v>0</v>
      </c>
      <c r="O499" t="s">
        <v>22</v>
      </c>
      <c r="P499">
        <v>2.5000000000000001E-2</v>
      </c>
      <c r="Q499">
        <v>0</v>
      </c>
    </row>
    <row r="500" spans="1:17" x14ac:dyDescent="0.25">
      <c r="A500" t="s">
        <v>535</v>
      </c>
      <c r="B500" t="s">
        <v>536</v>
      </c>
      <c r="C500" t="s">
        <v>166</v>
      </c>
      <c r="D500" t="s">
        <v>465</v>
      </c>
      <c r="E500" t="s">
        <v>559</v>
      </c>
      <c r="F500" s="1">
        <v>45674</v>
      </c>
      <c r="G500" s="1">
        <v>45719</v>
      </c>
      <c r="H500">
        <v>45</v>
      </c>
      <c r="I500">
        <v>33610.93</v>
      </c>
      <c r="J500">
        <v>12019.08</v>
      </c>
      <c r="K500">
        <v>21591.85</v>
      </c>
      <c r="L500" s="1">
        <v>45781</v>
      </c>
      <c r="M500">
        <v>135</v>
      </c>
      <c r="N500">
        <v>90</v>
      </c>
      <c r="O500" t="s">
        <v>29</v>
      </c>
      <c r="P500">
        <v>2.5000000000000001E-2</v>
      </c>
      <c r="Q500">
        <v>0</v>
      </c>
    </row>
    <row r="501" spans="1:17" x14ac:dyDescent="0.25">
      <c r="A501" t="s">
        <v>535</v>
      </c>
      <c r="B501" t="s">
        <v>536</v>
      </c>
      <c r="C501" t="s">
        <v>166</v>
      </c>
      <c r="D501" t="s">
        <v>465</v>
      </c>
      <c r="E501" t="s">
        <v>560</v>
      </c>
      <c r="F501" s="1">
        <v>45766</v>
      </c>
      <c r="G501" s="1">
        <v>45826</v>
      </c>
      <c r="H501">
        <v>60</v>
      </c>
      <c r="I501">
        <v>9872.34</v>
      </c>
      <c r="J501">
        <v>0</v>
      </c>
      <c r="K501">
        <v>9872.34</v>
      </c>
      <c r="M501">
        <v>43</v>
      </c>
      <c r="N501">
        <v>0</v>
      </c>
      <c r="O501" t="s">
        <v>22</v>
      </c>
      <c r="P501">
        <v>0</v>
      </c>
      <c r="Q501">
        <v>0</v>
      </c>
    </row>
    <row r="502" spans="1:17" x14ac:dyDescent="0.25">
      <c r="A502" t="s">
        <v>535</v>
      </c>
      <c r="B502" t="s">
        <v>536</v>
      </c>
      <c r="C502" t="s">
        <v>166</v>
      </c>
      <c r="D502" t="s">
        <v>465</v>
      </c>
      <c r="E502" t="s">
        <v>561</v>
      </c>
      <c r="F502" s="1">
        <v>45692</v>
      </c>
      <c r="G502" s="1">
        <v>45752</v>
      </c>
      <c r="H502">
        <v>60</v>
      </c>
      <c r="I502">
        <v>12187.61</v>
      </c>
      <c r="J502">
        <v>0</v>
      </c>
      <c r="K502">
        <v>12187.61</v>
      </c>
      <c r="M502">
        <v>117</v>
      </c>
      <c r="N502">
        <v>57</v>
      </c>
      <c r="O502" t="s">
        <v>36</v>
      </c>
      <c r="P502">
        <v>0.02</v>
      </c>
      <c r="Q502">
        <v>0</v>
      </c>
    </row>
    <row r="503" spans="1:17" x14ac:dyDescent="0.25">
      <c r="A503" t="s">
        <v>535</v>
      </c>
      <c r="B503" t="s">
        <v>536</v>
      </c>
      <c r="C503" t="s">
        <v>166</v>
      </c>
      <c r="D503" t="s">
        <v>465</v>
      </c>
      <c r="E503" t="s">
        <v>562</v>
      </c>
      <c r="F503" s="1">
        <v>45786</v>
      </c>
      <c r="G503" s="1">
        <v>45816</v>
      </c>
      <c r="H503">
        <v>30</v>
      </c>
      <c r="I503">
        <v>56637.05</v>
      </c>
      <c r="J503">
        <v>0</v>
      </c>
      <c r="K503">
        <v>56637.05</v>
      </c>
      <c r="M503">
        <v>23</v>
      </c>
      <c r="N503">
        <v>0</v>
      </c>
      <c r="O503" t="s">
        <v>22</v>
      </c>
      <c r="P503">
        <v>0.01</v>
      </c>
      <c r="Q503">
        <v>0</v>
      </c>
    </row>
    <row r="504" spans="1:17" x14ac:dyDescent="0.25">
      <c r="A504" t="s">
        <v>535</v>
      </c>
      <c r="B504" t="s">
        <v>536</v>
      </c>
      <c r="C504" t="s">
        <v>166</v>
      </c>
      <c r="D504" t="s">
        <v>465</v>
      </c>
      <c r="E504" t="s">
        <v>563</v>
      </c>
      <c r="F504" s="1">
        <v>45676</v>
      </c>
      <c r="G504" s="1">
        <v>45721</v>
      </c>
      <c r="H504">
        <v>45</v>
      </c>
      <c r="I504">
        <v>35746.589999999997</v>
      </c>
      <c r="J504">
        <v>35746.589999999997</v>
      </c>
      <c r="K504">
        <v>0</v>
      </c>
      <c r="L504" s="1">
        <v>45731</v>
      </c>
      <c r="M504">
        <v>133</v>
      </c>
      <c r="N504">
        <v>88</v>
      </c>
      <c r="O504" t="s">
        <v>25</v>
      </c>
      <c r="P504">
        <v>2.5000000000000001E-2</v>
      </c>
      <c r="Q504">
        <v>0</v>
      </c>
    </row>
    <row r="505" spans="1:17" x14ac:dyDescent="0.25">
      <c r="A505" t="s">
        <v>535</v>
      </c>
      <c r="B505" t="s">
        <v>536</v>
      </c>
      <c r="C505" t="s">
        <v>166</v>
      </c>
      <c r="D505" t="s">
        <v>465</v>
      </c>
      <c r="E505" t="s">
        <v>564</v>
      </c>
      <c r="F505" s="1">
        <v>45657</v>
      </c>
      <c r="G505" s="1">
        <v>45717</v>
      </c>
      <c r="H505">
        <v>60</v>
      </c>
      <c r="I505">
        <v>60118.22</v>
      </c>
      <c r="J505">
        <v>39724.07</v>
      </c>
      <c r="K505">
        <v>20394.150000000001</v>
      </c>
      <c r="L505" s="1">
        <v>45714</v>
      </c>
      <c r="M505">
        <v>152</v>
      </c>
      <c r="N505">
        <v>92</v>
      </c>
      <c r="O505" t="s">
        <v>29</v>
      </c>
      <c r="P505">
        <v>0.02</v>
      </c>
      <c r="Q505">
        <v>0</v>
      </c>
    </row>
    <row r="506" spans="1:17" x14ac:dyDescent="0.25">
      <c r="A506" t="s">
        <v>535</v>
      </c>
      <c r="B506" t="s">
        <v>536</v>
      </c>
      <c r="C506" t="s">
        <v>166</v>
      </c>
      <c r="D506" t="s">
        <v>465</v>
      </c>
      <c r="E506" t="s">
        <v>565</v>
      </c>
      <c r="F506" s="1">
        <v>45668</v>
      </c>
      <c r="G506" s="1">
        <v>45728</v>
      </c>
      <c r="H506">
        <v>60</v>
      </c>
      <c r="I506">
        <v>18944.43</v>
      </c>
      <c r="J506">
        <v>18944.43</v>
      </c>
      <c r="K506">
        <v>0</v>
      </c>
      <c r="L506" s="1">
        <v>45732</v>
      </c>
      <c r="M506">
        <v>141</v>
      </c>
      <c r="N506">
        <v>81</v>
      </c>
      <c r="O506" t="s">
        <v>25</v>
      </c>
      <c r="P506">
        <v>2.5000000000000001E-2</v>
      </c>
      <c r="Q506">
        <v>0</v>
      </c>
    </row>
    <row r="507" spans="1:17" x14ac:dyDescent="0.25">
      <c r="A507" t="s">
        <v>535</v>
      </c>
      <c r="B507" t="s">
        <v>536</v>
      </c>
      <c r="C507" t="s">
        <v>166</v>
      </c>
      <c r="D507" t="s">
        <v>465</v>
      </c>
      <c r="E507" t="s">
        <v>566</v>
      </c>
      <c r="F507" s="1">
        <v>45763</v>
      </c>
      <c r="G507" s="1">
        <v>45823</v>
      </c>
      <c r="H507">
        <v>60</v>
      </c>
      <c r="I507">
        <v>35170.78</v>
      </c>
      <c r="J507">
        <v>0</v>
      </c>
      <c r="K507">
        <v>35170.78</v>
      </c>
      <c r="M507">
        <v>46</v>
      </c>
      <c r="N507">
        <v>0</v>
      </c>
      <c r="O507" t="s">
        <v>22</v>
      </c>
      <c r="P507">
        <v>0.02</v>
      </c>
      <c r="Q507">
        <v>0</v>
      </c>
    </row>
    <row r="508" spans="1:17" x14ac:dyDescent="0.25">
      <c r="A508" t="s">
        <v>535</v>
      </c>
      <c r="B508" t="s">
        <v>536</v>
      </c>
      <c r="C508" t="s">
        <v>166</v>
      </c>
      <c r="D508" t="s">
        <v>465</v>
      </c>
      <c r="E508" t="s">
        <v>567</v>
      </c>
      <c r="F508" s="1">
        <v>45751</v>
      </c>
      <c r="G508" s="1">
        <v>45796</v>
      </c>
      <c r="H508">
        <v>45</v>
      </c>
      <c r="I508">
        <v>58316.86</v>
      </c>
      <c r="J508">
        <v>58316.86</v>
      </c>
      <c r="K508">
        <v>0</v>
      </c>
      <c r="L508" s="1">
        <v>45814</v>
      </c>
      <c r="M508">
        <v>58</v>
      </c>
      <c r="N508">
        <v>13</v>
      </c>
      <c r="O508" t="s">
        <v>25</v>
      </c>
      <c r="P508">
        <v>0.01</v>
      </c>
      <c r="Q508">
        <v>0</v>
      </c>
    </row>
    <row r="509" spans="1:17" x14ac:dyDescent="0.25">
      <c r="A509" t="s">
        <v>535</v>
      </c>
      <c r="B509" t="s">
        <v>536</v>
      </c>
      <c r="C509" t="s">
        <v>166</v>
      </c>
      <c r="D509" t="s">
        <v>465</v>
      </c>
      <c r="E509" t="s">
        <v>568</v>
      </c>
      <c r="F509" s="1">
        <v>45700</v>
      </c>
      <c r="G509" s="1">
        <v>45715</v>
      </c>
      <c r="H509">
        <v>15</v>
      </c>
      <c r="I509">
        <v>18272.82</v>
      </c>
      <c r="J509">
        <v>18272.82</v>
      </c>
      <c r="K509">
        <v>0</v>
      </c>
      <c r="L509" s="1">
        <v>45706</v>
      </c>
      <c r="M509">
        <v>109</v>
      </c>
      <c r="N509">
        <v>94</v>
      </c>
      <c r="O509" t="s">
        <v>25</v>
      </c>
      <c r="P509">
        <v>0</v>
      </c>
      <c r="Q509">
        <v>0</v>
      </c>
    </row>
    <row r="510" spans="1:17" x14ac:dyDescent="0.25">
      <c r="A510" t="s">
        <v>535</v>
      </c>
      <c r="B510" t="s">
        <v>536</v>
      </c>
      <c r="C510" t="s">
        <v>166</v>
      </c>
      <c r="D510" t="s">
        <v>465</v>
      </c>
      <c r="E510" t="s">
        <v>569</v>
      </c>
      <c r="F510" s="1">
        <v>45642</v>
      </c>
      <c r="G510" s="1">
        <v>45672</v>
      </c>
      <c r="H510">
        <v>30</v>
      </c>
      <c r="I510">
        <v>35184.6</v>
      </c>
      <c r="J510">
        <v>11827.4</v>
      </c>
      <c r="K510">
        <v>23357.200000000001</v>
      </c>
      <c r="L510" s="1">
        <v>45708</v>
      </c>
      <c r="M510">
        <v>167</v>
      </c>
      <c r="N510">
        <v>137</v>
      </c>
      <c r="O510" t="s">
        <v>29</v>
      </c>
      <c r="P510">
        <v>2.5000000000000001E-2</v>
      </c>
      <c r="Q510">
        <v>0</v>
      </c>
    </row>
    <row r="511" spans="1:17" x14ac:dyDescent="0.25">
      <c r="A511" t="s">
        <v>535</v>
      </c>
      <c r="B511" t="s">
        <v>536</v>
      </c>
      <c r="C511" t="s">
        <v>166</v>
      </c>
      <c r="D511" t="s">
        <v>465</v>
      </c>
      <c r="E511" t="s">
        <v>570</v>
      </c>
      <c r="F511" s="1">
        <v>45680</v>
      </c>
      <c r="G511" s="1">
        <v>45695</v>
      </c>
      <c r="H511">
        <v>15</v>
      </c>
      <c r="I511">
        <v>32296.9</v>
      </c>
      <c r="J511">
        <v>23079.01</v>
      </c>
      <c r="K511">
        <v>9217.89</v>
      </c>
      <c r="L511" s="1">
        <v>45805</v>
      </c>
      <c r="M511">
        <v>129</v>
      </c>
      <c r="N511">
        <v>114</v>
      </c>
      <c r="O511" t="s">
        <v>29</v>
      </c>
      <c r="P511">
        <v>0</v>
      </c>
      <c r="Q511">
        <v>0</v>
      </c>
    </row>
    <row r="512" spans="1:17" x14ac:dyDescent="0.25">
      <c r="A512" t="s">
        <v>535</v>
      </c>
      <c r="B512" t="s">
        <v>536</v>
      </c>
      <c r="C512" t="s">
        <v>166</v>
      </c>
      <c r="D512" t="s">
        <v>465</v>
      </c>
      <c r="E512" t="s">
        <v>571</v>
      </c>
      <c r="F512" s="1">
        <v>45797</v>
      </c>
      <c r="G512" s="1">
        <v>45827</v>
      </c>
      <c r="H512">
        <v>30</v>
      </c>
      <c r="I512">
        <v>42513.62</v>
      </c>
      <c r="J512">
        <v>0</v>
      </c>
      <c r="K512">
        <v>42513.62</v>
      </c>
      <c r="M512">
        <v>12</v>
      </c>
      <c r="N512">
        <v>0</v>
      </c>
      <c r="O512" t="s">
        <v>22</v>
      </c>
      <c r="P512">
        <v>0.02</v>
      </c>
      <c r="Q512">
        <v>0</v>
      </c>
    </row>
    <row r="513" spans="1:17" x14ac:dyDescent="0.25">
      <c r="A513" t="s">
        <v>535</v>
      </c>
      <c r="B513" t="s">
        <v>536</v>
      </c>
      <c r="C513" t="s">
        <v>166</v>
      </c>
      <c r="D513" t="s">
        <v>465</v>
      </c>
      <c r="E513" t="s">
        <v>572</v>
      </c>
      <c r="F513" s="1">
        <v>45721</v>
      </c>
      <c r="G513" s="1">
        <v>45811</v>
      </c>
      <c r="H513">
        <v>90</v>
      </c>
      <c r="I513">
        <v>71387.8</v>
      </c>
      <c r="J513">
        <v>0</v>
      </c>
      <c r="K513">
        <v>71387.8</v>
      </c>
      <c r="M513">
        <v>88</v>
      </c>
      <c r="N513">
        <v>0</v>
      </c>
      <c r="O513" t="s">
        <v>22</v>
      </c>
      <c r="P513">
        <v>0</v>
      </c>
      <c r="Q513">
        <v>0</v>
      </c>
    </row>
    <row r="514" spans="1:17" x14ac:dyDescent="0.25">
      <c r="A514" t="s">
        <v>535</v>
      </c>
      <c r="B514" t="s">
        <v>536</v>
      </c>
      <c r="C514" t="s">
        <v>166</v>
      </c>
      <c r="D514" t="s">
        <v>465</v>
      </c>
      <c r="E514" t="s">
        <v>573</v>
      </c>
      <c r="F514" s="1">
        <v>45703</v>
      </c>
      <c r="G514" s="1">
        <v>45733</v>
      </c>
      <c r="H514">
        <v>30</v>
      </c>
      <c r="I514">
        <v>17911.03</v>
      </c>
      <c r="J514">
        <v>17911.03</v>
      </c>
      <c r="K514">
        <v>0</v>
      </c>
      <c r="L514" s="1">
        <v>45735</v>
      </c>
      <c r="M514">
        <v>106</v>
      </c>
      <c r="N514">
        <v>76</v>
      </c>
      <c r="O514" t="s">
        <v>25</v>
      </c>
      <c r="P514">
        <v>0.02</v>
      </c>
      <c r="Q514">
        <v>0</v>
      </c>
    </row>
    <row r="515" spans="1:17" x14ac:dyDescent="0.25">
      <c r="A515" t="s">
        <v>535</v>
      </c>
      <c r="B515" t="s">
        <v>536</v>
      </c>
      <c r="C515" t="s">
        <v>166</v>
      </c>
      <c r="D515" t="s">
        <v>465</v>
      </c>
      <c r="E515" t="s">
        <v>574</v>
      </c>
      <c r="F515" s="1">
        <v>45728</v>
      </c>
      <c r="G515" s="1">
        <v>45758</v>
      </c>
      <c r="H515">
        <v>30</v>
      </c>
      <c r="I515">
        <v>79828.72</v>
      </c>
      <c r="J515">
        <v>79828.72</v>
      </c>
      <c r="K515">
        <v>0</v>
      </c>
      <c r="L515" s="1">
        <v>45739</v>
      </c>
      <c r="M515">
        <v>81</v>
      </c>
      <c r="N515">
        <v>51</v>
      </c>
      <c r="O515" t="s">
        <v>25</v>
      </c>
      <c r="P515">
        <v>0</v>
      </c>
      <c r="Q515">
        <v>0</v>
      </c>
    </row>
    <row r="516" spans="1:17" x14ac:dyDescent="0.25">
      <c r="A516" t="s">
        <v>575</v>
      </c>
      <c r="B516" t="s">
        <v>576</v>
      </c>
      <c r="C516" t="s">
        <v>19</v>
      </c>
      <c r="D516" t="s">
        <v>106</v>
      </c>
      <c r="E516" t="s">
        <v>577</v>
      </c>
      <c r="F516" s="1">
        <v>45653</v>
      </c>
      <c r="G516" s="1">
        <v>45743</v>
      </c>
      <c r="H516">
        <v>90</v>
      </c>
      <c r="I516">
        <v>10660.83</v>
      </c>
      <c r="J516">
        <v>8219.9500000000007</v>
      </c>
      <c r="K516">
        <v>2440.88</v>
      </c>
      <c r="L516" s="1">
        <v>45684</v>
      </c>
      <c r="M516">
        <v>156</v>
      </c>
      <c r="N516">
        <v>66</v>
      </c>
      <c r="O516" t="s">
        <v>29</v>
      </c>
      <c r="P516">
        <v>0</v>
      </c>
      <c r="Q516">
        <v>0</v>
      </c>
    </row>
    <row r="517" spans="1:17" x14ac:dyDescent="0.25">
      <c r="A517" t="s">
        <v>575</v>
      </c>
      <c r="B517" t="s">
        <v>576</v>
      </c>
      <c r="C517" t="s">
        <v>19</v>
      </c>
      <c r="D517" t="s">
        <v>106</v>
      </c>
      <c r="E517" t="s">
        <v>578</v>
      </c>
      <c r="F517" s="1">
        <v>45775</v>
      </c>
      <c r="G517" s="1">
        <v>45790</v>
      </c>
      <c r="H517">
        <v>15</v>
      </c>
      <c r="I517">
        <v>60297.89</v>
      </c>
      <c r="J517">
        <v>0</v>
      </c>
      <c r="K517">
        <v>60297.89</v>
      </c>
      <c r="M517">
        <v>34</v>
      </c>
      <c r="N517">
        <v>19</v>
      </c>
      <c r="O517" t="s">
        <v>36</v>
      </c>
      <c r="P517">
        <v>0</v>
      </c>
      <c r="Q517">
        <v>0</v>
      </c>
    </row>
    <row r="518" spans="1:17" x14ac:dyDescent="0.25">
      <c r="A518" t="s">
        <v>575</v>
      </c>
      <c r="B518" t="s">
        <v>576</v>
      </c>
      <c r="C518" t="s">
        <v>19</v>
      </c>
      <c r="D518" t="s">
        <v>106</v>
      </c>
      <c r="E518" t="s">
        <v>579</v>
      </c>
      <c r="F518" s="1">
        <v>45725</v>
      </c>
      <c r="G518" s="1">
        <v>45785</v>
      </c>
      <c r="H518">
        <v>60</v>
      </c>
      <c r="I518">
        <v>41191.980000000003</v>
      </c>
      <c r="J518">
        <v>41191.980000000003</v>
      </c>
      <c r="K518">
        <v>0</v>
      </c>
      <c r="L518" s="1">
        <v>45729</v>
      </c>
      <c r="M518">
        <v>84</v>
      </c>
      <c r="N518">
        <v>24</v>
      </c>
      <c r="O518" t="s">
        <v>25</v>
      </c>
      <c r="P518">
        <v>0.01</v>
      </c>
      <c r="Q518">
        <v>411.92</v>
      </c>
    </row>
    <row r="519" spans="1:17" x14ac:dyDescent="0.25">
      <c r="A519" t="s">
        <v>575</v>
      </c>
      <c r="B519" t="s">
        <v>576</v>
      </c>
      <c r="C519" t="s">
        <v>19</v>
      </c>
      <c r="D519" t="s">
        <v>106</v>
      </c>
      <c r="E519" t="s">
        <v>580</v>
      </c>
      <c r="F519" s="1">
        <v>45683</v>
      </c>
      <c r="G519" s="1">
        <v>45773</v>
      </c>
      <c r="H519">
        <v>90</v>
      </c>
      <c r="I519">
        <v>37009.879999999997</v>
      </c>
      <c r="J519">
        <v>37009.879999999997</v>
      </c>
      <c r="K519">
        <v>0</v>
      </c>
      <c r="L519" s="1">
        <v>45690</v>
      </c>
      <c r="M519">
        <v>126</v>
      </c>
      <c r="N519">
        <v>36</v>
      </c>
      <c r="O519" t="s">
        <v>25</v>
      </c>
      <c r="P519">
        <v>0</v>
      </c>
      <c r="Q519">
        <v>0</v>
      </c>
    </row>
    <row r="520" spans="1:17" x14ac:dyDescent="0.25">
      <c r="A520" t="s">
        <v>575</v>
      </c>
      <c r="B520" t="s">
        <v>576</v>
      </c>
      <c r="C520" t="s">
        <v>19</v>
      </c>
      <c r="D520" t="s">
        <v>106</v>
      </c>
      <c r="E520" t="s">
        <v>581</v>
      </c>
      <c r="F520" s="1">
        <v>45734</v>
      </c>
      <c r="G520" s="1">
        <v>45764</v>
      </c>
      <c r="H520">
        <v>30</v>
      </c>
      <c r="I520">
        <v>21670.799999999999</v>
      </c>
      <c r="J520">
        <v>10949.92</v>
      </c>
      <c r="K520">
        <v>10720.88</v>
      </c>
      <c r="L520" s="1">
        <v>45806</v>
      </c>
      <c r="M520">
        <v>75</v>
      </c>
      <c r="N520">
        <v>45</v>
      </c>
      <c r="O520" t="s">
        <v>29</v>
      </c>
      <c r="P520">
        <v>0</v>
      </c>
      <c r="Q520">
        <v>0</v>
      </c>
    </row>
    <row r="521" spans="1:17" x14ac:dyDescent="0.25">
      <c r="A521" t="s">
        <v>575</v>
      </c>
      <c r="B521" t="s">
        <v>576</v>
      </c>
      <c r="C521" t="s">
        <v>19</v>
      </c>
      <c r="D521" t="s">
        <v>106</v>
      </c>
      <c r="E521" t="s">
        <v>582</v>
      </c>
      <c r="F521" s="1">
        <v>45651</v>
      </c>
      <c r="G521" s="1">
        <v>45666</v>
      </c>
      <c r="H521">
        <v>15</v>
      </c>
      <c r="I521">
        <v>26883.39</v>
      </c>
      <c r="J521">
        <v>26883.39</v>
      </c>
      <c r="K521">
        <v>0</v>
      </c>
      <c r="L521" s="1">
        <v>45652</v>
      </c>
      <c r="M521">
        <v>158</v>
      </c>
      <c r="N521">
        <v>143</v>
      </c>
      <c r="O521" t="s">
        <v>25</v>
      </c>
      <c r="P521">
        <v>2.5000000000000001E-2</v>
      </c>
      <c r="Q521">
        <v>672.08</v>
      </c>
    </row>
    <row r="522" spans="1:17" x14ac:dyDescent="0.25">
      <c r="A522" t="s">
        <v>575</v>
      </c>
      <c r="B522" t="s">
        <v>576</v>
      </c>
      <c r="C522" t="s">
        <v>19</v>
      </c>
      <c r="D522" t="s">
        <v>106</v>
      </c>
      <c r="E522" t="s">
        <v>583</v>
      </c>
      <c r="F522" s="1">
        <v>45683</v>
      </c>
      <c r="G522" s="1">
        <v>45743</v>
      </c>
      <c r="H522">
        <v>60</v>
      </c>
      <c r="I522">
        <v>51284.06</v>
      </c>
      <c r="J522">
        <v>51284.06</v>
      </c>
      <c r="K522">
        <v>0</v>
      </c>
      <c r="L522" s="1">
        <v>45720</v>
      </c>
      <c r="M522">
        <v>126</v>
      </c>
      <c r="N522">
        <v>66</v>
      </c>
      <c r="O522" t="s">
        <v>25</v>
      </c>
      <c r="P522">
        <v>0.02</v>
      </c>
      <c r="Q522">
        <v>1025.68</v>
      </c>
    </row>
    <row r="523" spans="1:17" x14ac:dyDescent="0.25">
      <c r="A523" t="s">
        <v>575</v>
      </c>
      <c r="B523" t="s">
        <v>576</v>
      </c>
      <c r="C523" t="s">
        <v>19</v>
      </c>
      <c r="D523" t="s">
        <v>106</v>
      </c>
      <c r="E523" t="s">
        <v>584</v>
      </c>
      <c r="F523" s="1">
        <v>45738</v>
      </c>
      <c r="G523" s="1">
        <v>45753</v>
      </c>
      <c r="H523">
        <v>15</v>
      </c>
      <c r="I523">
        <v>13253.32</v>
      </c>
      <c r="J523">
        <v>3925.8</v>
      </c>
      <c r="K523">
        <v>9327.52</v>
      </c>
      <c r="L523" s="1">
        <v>45802</v>
      </c>
      <c r="M523">
        <v>71</v>
      </c>
      <c r="N523">
        <v>56</v>
      </c>
      <c r="O523" t="s">
        <v>29</v>
      </c>
      <c r="P523">
        <v>0.02</v>
      </c>
      <c r="Q523">
        <v>0</v>
      </c>
    </row>
    <row r="524" spans="1:17" x14ac:dyDescent="0.25">
      <c r="A524" t="s">
        <v>575</v>
      </c>
      <c r="B524" t="s">
        <v>576</v>
      </c>
      <c r="C524" t="s">
        <v>19</v>
      </c>
      <c r="D524" t="s">
        <v>106</v>
      </c>
      <c r="E524" t="s">
        <v>585</v>
      </c>
      <c r="F524" s="1">
        <v>45788</v>
      </c>
      <c r="G524" s="1">
        <v>45803</v>
      </c>
      <c r="H524">
        <v>15</v>
      </c>
      <c r="I524">
        <v>36172.68</v>
      </c>
      <c r="J524">
        <v>36172.68</v>
      </c>
      <c r="K524">
        <v>0</v>
      </c>
      <c r="L524" s="1">
        <v>45818</v>
      </c>
      <c r="M524">
        <v>21</v>
      </c>
      <c r="N524">
        <v>6</v>
      </c>
      <c r="O524" t="s">
        <v>25</v>
      </c>
      <c r="P524">
        <v>0.01</v>
      </c>
      <c r="Q524">
        <v>0</v>
      </c>
    </row>
    <row r="525" spans="1:17" x14ac:dyDescent="0.25">
      <c r="A525" t="s">
        <v>575</v>
      </c>
      <c r="B525" t="s">
        <v>576</v>
      </c>
      <c r="C525" t="s">
        <v>19</v>
      </c>
      <c r="D525" t="s">
        <v>106</v>
      </c>
      <c r="E525" t="s">
        <v>586</v>
      </c>
      <c r="F525" s="1">
        <v>45634</v>
      </c>
      <c r="G525" s="1">
        <v>45664</v>
      </c>
      <c r="H525">
        <v>30</v>
      </c>
      <c r="I525">
        <v>55070.52</v>
      </c>
      <c r="J525">
        <v>55070.52</v>
      </c>
      <c r="K525">
        <v>0</v>
      </c>
      <c r="L525" s="1">
        <v>45668</v>
      </c>
      <c r="M525">
        <v>175</v>
      </c>
      <c r="N525">
        <v>145</v>
      </c>
      <c r="O525" t="s">
        <v>25</v>
      </c>
      <c r="P525">
        <v>0.02</v>
      </c>
      <c r="Q525">
        <v>0</v>
      </c>
    </row>
    <row r="526" spans="1:17" x14ac:dyDescent="0.25">
      <c r="A526" t="s">
        <v>575</v>
      </c>
      <c r="B526" t="s">
        <v>576</v>
      </c>
      <c r="C526" t="s">
        <v>19</v>
      </c>
      <c r="D526" t="s">
        <v>106</v>
      </c>
      <c r="E526" t="s">
        <v>587</v>
      </c>
      <c r="F526" s="1">
        <v>45766</v>
      </c>
      <c r="G526" s="1">
        <v>45856</v>
      </c>
      <c r="H526">
        <v>90</v>
      </c>
      <c r="I526">
        <v>20019.28</v>
      </c>
      <c r="J526">
        <v>0</v>
      </c>
      <c r="K526">
        <v>20019.28</v>
      </c>
      <c r="M526">
        <v>43</v>
      </c>
      <c r="N526">
        <v>0</v>
      </c>
      <c r="O526" t="s">
        <v>22</v>
      </c>
      <c r="P526">
        <v>0</v>
      </c>
      <c r="Q526">
        <v>0</v>
      </c>
    </row>
    <row r="527" spans="1:17" x14ac:dyDescent="0.25">
      <c r="A527" t="s">
        <v>575</v>
      </c>
      <c r="B527" t="s">
        <v>576</v>
      </c>
      <c r="C527" t="s">
        <v>19</v>
      </c>
      <c r="D527" t="s">
        <v>106</v>
      </c>
      <c r="E527" t="s">
        <v>588</v>
      </c>
      <c r="F527" s="1">
        <v>45698</v>
      </c>
      <c r="G527" s="1">
        <v>45788</v>
      </c>
      <c r="H527">
        <v>90</v>
      </c>
      <c r="I527">
        <v>60544.74</v>
      </c>
      <c r="J527">
        <v>60544.74</v>
      </c>
      <c r="K527">
        <v>0</v>
      </c>
      <c r="L527" s="1">
        <v>45705</v>
      </c>
      <c r="M527">
        <v>111</v>
      </c>
      <c r="N527">
        <v>21</v>
      </c>
      <c r="O527" t="s">
        <v>25</v>
      </c>
      <c r="P527">
        <v>2.5000000000000001E-2</v>
      </c>
      <c r="Q527">
        <v>1513.62</v>
      </c>
    </row>
    <row r="528" spans="1:17" x14ac:dyDescent="0.25">
      <c r="A528" t="s">
        <v>575</v>
      </c>
      <c r="B528" t="s">
        <v>576</v>
      </c>
      <c r="C528" t="s">
        <v>19</v>
      </c>
      <c r="D528" t="s">
        <v>106</v>
      </c>
      <c r="E528" t="s">
        <v>589</v>
      </c>
      <c r="F528" s="1">
        <v>45673</v>
      </c>
      <c r="G528" s="1">
        <v>45733</v>
      </c>
      <c r="H528">
        <v>60</v>
      </c>
      <c r="I528">
        <v>57875.57</v>
      </c>
      <c r="J528">
        <v>57875.57</v>
      </c>
      <c r="K528">
        <v>0</v>
      </c>
      <c r="L528" s="1">
        <v>45720</v>
      </c>
      <c r="M528">
        <v>136</v>
      </c>
      <c r="N528">
        <v>76</v>
      </c>
      <c r="O528" t="s">
        <v>25</v>
      </c>
      <c r="P528">
        <v>2.5000000000000001E-2</v>
      </c>
      <c r="Q528">
        <v>1446.89</v>
      </c>
    </row>
    <row r="529" spans="1:17" x14ac:dyDescent="0.25">
      <c r="A529" t="s">
        <v>575</v>
      </c>
      <c r="B529" t="s">
        <v>576</v>
      </c>
      <c r="C529" t="s">
        <v>19</v>
      </c>
      <c r="D529" t="s">
        <v>106</v>
      </c>
      <c r="E529" t="s">
        <v>590</v>
      </c>
      <c r="F529" s="1">
        <v>45753</v>
      </c>
      <c r="G529" s="1">
        <v>45843</v>
      </c>
      <c r="H529">
        <v>90</v>
      </c>
      <c r="I529">
        <v>12044.05</v>
      </c>
      <c r="J529">
        <v>0</v>
      </c>
      <c r="K529">
        <v>12044.05</v>
      </c>
      <c r="M529">
        <v>56</v>
      </c>
      <c r="N529">
        <v>0</v>
      </c>
      <c r="O529" t="s">
        <v>22</v>
      </c>
      <c r="P529">
        <v>2.5000000000000001E-2</v>
      </c>
      <c r="Q529">
        <v>0</v>
      </c>
    </row>
    <row r="530" spans="1:17" x14ac:dyDescent="0.25">
      <c r="A530" t="s">
        <v>575</v>
      </c>
      <c r="B530" t="s">
        <v>576</v>
      </c>
      <c r="C530" t="s">
        <v>19</v>
      </c>
      <c r="D530" t="s">
        <v>106</v>
      </c>
      <c r="E530" t="s">
        <v>591</v>
      </c>
      <c r="F530" s="1">
        <v>45737</v>
      </c>
      <c r="G530" s="1">
        <v>45767</v>
      </c>
      <c r="H530">
        <v>30</v>
      </c>
      <c r="I530">
        <v>40284.65</v>
      </c>
      <c r="J530">
        <v>40284.65</v>
      </c>
      <c r="K530">
        <v>0</v>
      </c>
      <c r="L530" s="1">
        <v>45766</v>
      </c>
      <c r="M530">
        <v>72</v>
      </c>
      <c r="N530">
        <v>42</v>
      </c>
      <c r="O530" t="s">
        <v>25</v>
      </c>
      <c r="P530">
        <v>0</v>
      </c>
      <c r="Q530">
        <v>0</v>
      </c>
    </row>
    <row r="531" spans="1:17" x14ac:dyDescent="0.25">
      <c r="A531" t="s">
        <v>575</v>
      </c>
      <c r="B531" t="s">
        <v>576</v>
      </c>
      <c r="C531" t="s">
        <v>19</v>
      </c>
      <c r="D531" t="s">
        <v>106</v>
      </c>
      <c r="E531" t="s">
        <v>592</v>
      </c>
      <c r="F531" s="1">
        <v>45642</v>
      </c>
      <c r="G531" s="1">
        <v>45732</v>
      </c>
      <c r="H531">
        <v>90</v>
      </c>
      <c r="I531">
        <v>45393.11</v>
      </c>
      <c r="J531">
        <v>0</v>
      </c>
      <c r="K531">
        <v>45393.11</v>
      </c>
      <c r="M531">
        <v>167</v>
      </c>
      <c r="N531">
        <v>77</v>
      </c>
      <c r="O531" t="s">
        <v>36</v>
      </c>
      <c r="P531">
        <v>0</v>
      </c>
      <c r="Q531">
        <v>0</v>
      </c>
    </row>
    <row r="532" spans="1:17" x14ac:dyDescent="0.25">
      <c r="A532" t="s">
        <v>575</v>
      </c>
      <c r="B532" t="s">
        <v>576</v>
      </c>
      <c r="C532" t="s">
        <v>19</v>
      </c>
      <c r="D532" t="s">
        <v>106</v>
      </c>
      <c r="E532" t="s">
        <v>593</v>
      </c>
      <c r="F532" s="1">
        <v>45745</v>
      </c>
      <c r="G532" s="1">
        <v>45790</v>
      </c>
      <c r="H532">
        <v>45</v>
      </c>
      <c r="I532">
        <v>32522.61</v>
      </c>
      <c r="J532">
        <v>32522.61</v>
      </c>
      <c r="K532">
        <v>0</v>
      </c>
      <c r="L532" s="1">
        <v>45748</v>
      </c>
      <c r="M532">
        <v>64</v>
      </c>
      <c r="N532">
        <v>19</v>
      </c>
      <c r="O532" t="s">
        <v>25</v>
      </c>
      <c r="P532">
        <v>0.01</v>
      </c>
      <c r="Q532">
        <v>325.23</v>
      </c>
    </row>
    <row r="533" spans="1:17" x14ac:dyDescent="0.25">
      <c r="A533" t="s">
        <v>575</v>
      </c>
      <c r="B533" t="s">
        <v>576</v>
      </c>
      <c r="C533" t="s">
        <v>19</v>
      </c>
      <c r="D533" t="s">
        <v>106</v>
      </c>
      <c r="E533" t="s">
        <v>594</v>
      </c>
      <c r="F533" s="1">
        <v>45711</v>
      </c>
      <c r="G533" s="1">
        <v>45741</v>
      </c>
      <c r="H533">
        <v>30</v>
      </c>
      <c r="I533">
        <v>25726.13</v>
      </c>
      <c r="J533">
        <v>25726.13</v>
      </c>
      <c r="K533">
        <v>0</v>
      </c>
      <c r="L533" s="1">
        <v>45716</v>
      </c>
      <c r="M533">
        <v>98</v>
      </c>
      <c r="N533">
        <v>68</v>
      </c>
      <c r="O533" t="s">
        <v>25</v>
      </c>
      <c r="P533">
        <v>0.02</v>
      </c>
      <c r="Q533">
        <v>514.52</v>
      </c>
    </row>
    <row r="534" spans="1:17" x14ac:dyDescent="0.25">
      <c r="A534" t="s">
        <v>575</v>
      </c>
      <c r="B534" t="s">
        <v>576</v>
      </c>
      <c r="C534" t="s">
        <v>19</v>
      </c>
      <c r="D534" t="s">
        <v>106</v>
      </c>
      <c r="E534" t="s">
        <v>595</v>
      </c>
      <c r="F534" s="1">
        <v>45646</v>
      </c>
      <c r="G534" s="1">
        <v>45706</v>
      </c>
      <c r="H534">
        <v>60</v>
      </c>
      <c r="I534">
        <v>79751.11</v>
      </c>
      <c r="J534">
        <v>79751.11</v>
      </c>
      <c r="K534">
        <v>0</v>
      </c>
      <c r="L534" s="1">
        <v>45734</v>
      </c>
      <c r="M534">
        <v>163</v>
      </c>
      <c r="N534">
        <v>103</v>
      </c>
      <c r="O534" t="s">
        <v>25</v>
      </c>
      <c r="P534">
        <v>0.02</v>
      </c>
      <c r="Q534">
        <v>0</v>
      </c>
    </row>
    <row r="535" spans="1:17" x14ac:dyDescent="0.25">
      <c r="A535" t="s">
        <v>575</v>
      </c>
      <c r="B535" t="s">
        <v>576</v>
      </c>
      <c r="C535" t="s">
        <v>19</v>
      </c>
      <c r="D535" t="s">
        <v>106</v>
      </c>
      <c r="E535" t="s">
        <v>596</v>
      </c>
      <c r="F535" s="1">
        <v>45720</v>
      </c>
      <c r="G535" s="1">
        <v>45810</v>
      </c>
      <c r="H535">
        <v>90</v>
      </c>
      <c r="I535">
        <v>17743.97</v>
      </c>
      <c r="J535">
        <v>0</v>
      </c>
      <c r="K535">
        <v>17743.97</v>
      </c>
      <c r="M535">
        <v>89</v>
      </c>
      <c r="N535">
        <v>0</v>
      </c>
      <c r="O535" t="s">
        <v>22</v>
      </c>
      <c r="P535">
        <v>2.5000000000000001E-2</v>
      </c>
      <c r="Q535">
        <v>0</v>
      </c>
    </row>
    <row r="536" spans="1:17" x14ac:dyDescent="0.25">
      <c r="A536" t="s">
        <v>575</v>
      </c>
      <c r="B536" t="s">
        <v>576</v>
      </c>
      <c r="C536" t="s">
        <v>19</v>
      </c>
      <c r="D536" t="s">
        <v>106</v>
      </c>
      <c r="E536" t="s">
        <v>597</v>
      </c>
      <c r="F536" s="1">
        <v>45781</v>
      </c>
      <c r="G536" s="1">
        <v>45871</v>
      </c>
      <c r="H536">
        <v>90</v>
      </c>
      <c r="I536">
        <v>78068.13</v>
      </c>
      <c r="J536">
        <v>0</v>
      </c>
      <c r="K536">
        <v>78068.13</v>
      </c>
      <c r="M536">
        <v>28</v>
      </c>
      <c r="N536">
        <v>0</v>
      </c>
      <c r="O536" t="s">
        <v>22</v>
      </c>
      <c r="P536">
        <v>0.01</v>
      </c>
      <c r="Q536">
        <v>0</v>
      </c>
    </row>
    <row r="537" spans="1:17" x14ac:dyDescent="0.25">
      <c r="A537" t="s">
        <v>575</v>
      </c>
      <c r="B537" t="s">
        <v>576</v>
      </c>
      <c r="C537" t="s">
        <v>19</v>
      </c>
      <c r="D537" t="s">
        <v>106</v>
      </c>
      <c r="E537" t="s">
        <v>598</v>
      </c>
      <c r="F537" s="1">
        <v>45705</v>
      </c>
      <c r="G537" s="1">
        <v>45720</v>
      </c>
      <c r="H537">
        <v>15</v>
      </c>
      <c r="I537">
        <v>26042.47</v>
      </c>
      <c r="J537">
        <v>15952.05</v>
      </c>
      <c r="K537">
        <v>10090.42</v>
      </c>
      <c r="L537" s="1">
        <v>45745</v>
      </c>
      <c r="M537">
        <v>104</v>
      </c>
      <c r="N537">
        <v>89</v>
      </c>
      <c r="O537" t="s">
        <v>29</v>
      </c>
      <c r="P537">
        <v>0.02</v>
      </c>
      <c r="Q537">
        <v>0</v>
      </c>
    </row>
    <row r="538" spans="1:17" x14ac:dyDescent="0.25">
      <c r="A538" t="s">
        <v>575</v>
      </c>
      <c r="B538" t="s">
        <v>576</v>
      </c>
      <c r="C538" t="s">
        <v>19</v>
      </c>
      <c r="D538" t="s">
        <v>106</v>
      </c>
      <c r="E538" t="s">
        <v>599</v>
      </c>
      <c r="F538" s="1">
        <v>45740</v>
      </c>
      <c r="G538" s="1">
        <v>45800</v>
      </c>
      <c r="H538">
        <v>60</v>
      </c>
      <c r="I538">
        <v>74434.77</v>
      </c>
      <c r="J538">
        <v>74434.77</v>
      </c>
      <c r="K538">
        <v>0</v>
      </c>
      <c r="L538" s="1">
        <v>45746</v>
      </c>
      <c r="M538">
        <v>69</v>
      </c>
      <c r="N538">
        <v>9</v>
      </c>
      <c r="O538" t="s">
        <v>25</v>
      </c>
      <c r="P538">
        <v>0.02</v>
      </c>
      <c r="Q538">
        <v>1488.7</v>
      </c>
    </row>
    <row r="539" spans="1:17" x14ac:dyDescent="0.25">
      <c r="A539" t="s">
        <v>575</v>
      </c>
      <c r="B539" t="s">
        <v>576</v>
      </c>
      <c r="C539" t="s">
        <v>19</v>
      </c>
      <c r="D539" t="s">
        <v>106</v>
      </c>
      <c r="E539" t="s">
        <v>600</v>
      </c>
      <c r="F539" s="1">
        <v>45760</v>
      </c>
      <c r="G539" s="1">
        <v>45805</v>
      </c>
      <c r="H539">
        <v>45</v>
      </c>
      <c r="I539">
        <v>21884.11</v>
      </c>
      <c r="J539">
        <v>21884.11</v>
      </c>
      <c r="K539">
        <v>0</v>
      </c>
      <c r="L539" s="1">
        <v>45821</v>
      </c>
      <c r="M539">
        <v>49</v>
      </c>
      <c r="N539">
        <v>4</v>
      </c>
      <c r="O539" t="s">
        <v>25</v>
      </c>
      <c r="P539">
        <v>0.02</v>
      </c>
      <c r="Q539">
        <v>0</v>
      </c>
    </row>
    <row r="540" spans="1:17" x14ac:dyDescent="0.25">
      <c r="A540" t="s">
        <v>575</v>
      </c>
      <c r="B540" t="s">
        <v>576</v>
      </c>
      <c r="C540" t="s">
        <v>19</v>
      </c>
      <c r="D540" t="s">
        <v>106</v>
      </c>
      <c r="E540" t="s">
        <v>601</v>
      </c>
      <c r="F540" s="1">
        <v>45745</v>
      </c>
      <c r="G540" s="1">
        <v>45790</v>
      </c>
      <c r="H540">
        <v>45</v>
      </c>
      <c r="I540">
        <v>62057.98</v>
      </c>
      <c r="J540">
        <v>62057.98</v>
      </c>
      <c r="K540">
        <v>0</v>
      </c>
      <c r="L540" s="1">
        <v>45768</v>
      </c>
      <c r="M540">
        <v>64</v>
      </c>
      <c r="N540">
        <v>19</v>
      </c>
      <c r="O540" t="s">
        <v>25</v>
      </c>
      <c r="P540">
        <v>0.02</v>
      </c>
      <c r="Q540">
        <v>1241.1600000000001</v>
      </c>
    </row>
    <row r="541" spans="1:17" x14ac:dyDescent="0.25">
      <c r="A541" t="s">
        <v>575</v>
      </c>
      <c r="B541" t="s">
        <v>576</v>
      </c>
      <c r="C541" t="s">
        <v>19</v>
      </c>
      <c r="D541" t="s">
        <v>106</v>
      </c>
      <c r="E541" t="s">
        <v>602</v>
      </c>
      <c r="F541" s="1">
        <v>45680</v>
      </c>
      <c r="G541" s="1">
        <v>45710</v>
      </c>
      <c r="H541">
        <v>30</v>
      </c>
      <c r="I541">
        <v>50405.91</v>
      </c>
      <c r="J541">
        <v>50405.91</v>
      </c>
      <c r="K541">
        <v>0</v>
      </c>
      <c r="L541" s="1">
        <v>45706</v>
      </c>
      <c r="M541">
        <v>129</v>
      </c>
      <c r="N541">
        <v>99</v>
      </c>
      <c r="O541" t="s">
        <v>25</v>
      </c>
      <c r="P541">
        <v>2.5000000000000001E-2</v>
      </c>
      <c r="Q541">
        <v>0</v>
      </c>
    </row>
    <row r="542" spans="1:17" x14ac:dyDescent="0.25">
      <c r="A542" t="s">
        <v>575</v>
      </c>
      <c r="B542" t="s">
        <v>576</v>
      </c>
      <c r="C542" t="s">
        <v>19</v>
      </c>
      <c r="D542" t="s">
        <v>106</v>
      </c>
      <c r="E542" t="s">
        <v>603</v>
      </c>
      <c r="F542" s="1">
        <v>45730</v>
      </c>
      <c r="G542" s="1">
        <v>45775</v>
      </c>
      <c r="H542">
        <v>45</v>
      </c>
      <c r="I542">
        <v>7504.65</v>
      </c>
      <c r="J542">
        <v>7504.65</v>
      </c>
      <c r="K542">
        <v>0</v>
      </c>
      <c r="L542" s="1">
        <v>45732</v>
      </c>
      <c r="M542">
        <v>79</v>
      </c>
      <c r="N542">
        <v>34</v>
      </c>
      <c r="O542" t="s">
        <v>25</v>
      </c>
      <c r="P542">
        <v>2.5000000000000001E-2</v>
      </c>
      <c r="Q542">
        <v>187.62</v>
      </c>
    </row>
    <row r="543" spans="1:17" x14ac:dyDescent="0.25">
      <c r="A543" t="s">
        <v>575</v>
      </c>
      <c r="B543" t="s">
        <v>576</v>
      </c>
      <c r="C543" t="s">
        <v>19</v>
      </c>
      <c r="D543" t="s">
        <v>106</v>
      </c>
      <c r="E543" t="s">
        <v>604</v>
      </c>
      <c r="F543" s="1">
        <v>45683</v>
      </c>
      <c r="G543" s="1">
        <v>45728</v>
      </c>
      <c r="H543">
        <v>45</v>
      </c>
      <c r="I543">
        <v>45493.06</v>
      </c>
      <c r="J543">
        <v>14041.58</v>
      </c>
      <c r="K543">
        <v>31451.48</v>
      </c>
      <c r="L543" s="1">
        <v>45745</v>
      </c>
      <c r="M543">
        <v>126</v>
      </c>
      <c r="N543">
        <v>81</v>
      </c>
      <c r="O543" t="s">
        <v>29</v>
      </c>
      <c r="P543">
        <v>0.01</v>
      </c>
      <c r="Q543">
        <v>0</v>
      </c>
    </row>
    <row r="544" spans="1:17" x14ac:dyDescent="0.25">
      <c r="A544" t="s">
        <v>575</v>
      </c>
      <c r="B544" t="s">
        <v>576</v>
      </c>
      <c r="C544" t="s">
        <v>19</v>
      </c>
      <c r="D544" t="s">
        <v>106</v>
      </c>
      <c r="E544" t="s">
        <v>605</v>
      </c>
      <c r="F544" s="1">
        <v>45796</v>
      </c>
      <c r="G544" s="1">
        <v>45886</v>
      </c>
      <c r="H544">
        <v>90</v>
      </c>
      <c r="I544">
        <v>16456.98</v>
      </c>
      <c r="J544">
        <v>0</v>
      </c>
      <c r="K544">
        <v>16456.98</v>
      </c>
      <c r="M544">
        <v>13</v>
      </c>
      <c r="N544">
        <v>0</v>
      </c>
      <c r="O544" t="s">
        <v>22</v>
      </c>
      <c r="P544">
        <v>2.5000000000000001E-2</v>
      </c>
      <c r="Q544">
        <v>0</v>
      </c>
    </row>
    <row r="545" spans="1:17" x14ac:dyDescent="0.25">
      <c r="A545" t="s">
        <v>575</v>
      </c>
      <c r="B545" t="s">
        <v>576</v>
      </c>
      <c r="C545" t="s">
        <v>19</v>
      </c>
      <c r="D545" t="s">
        <v>106</v>
      </c>
      <c r="E545" t="s">
        <v>606</v>
      </c>
      <c r="F545" s="1">
        <v>45802</v>
      </c>
      <c r="G545" s="1">
        <v>45892</v>
      </c>
      <c r="H545">
        <v>90</v>
      </c>
      <c r="I545">
        <v>35058.449999999997</v>
      </c>
      <c r="J545">
        <v>0</v>
      </c>
      <c r="K545">
        <v>35058.449999999997</v>
      </c>
      <c r="M545">
        <v>7</v>
      </c>
      <c r="N545">
        <v>0</v>
      </c>
      <c r="O545" t="s">
        <v>22</v>
      </c>
      <c r="P545">
        <v>0</v>
      </c>
      <c r="Q545">
        <v>0</v>
      </c>
    </row>
    <row r="546" spans="1:17" x14ac:dyDescent="0.25">
      <c r="A546" t="s">
        <v>575</v>
      </c>
      <c r="B546" t="s">
        <v>576</v>
      </c>
      <c r="C546" t="s">
        <v>19</v>
      </c>
      <c r="D546" t="s">
        <v>106</v>
      </c>
      <c r="E546" t="s">
        <v>607</v>
      </c>
      <c r="F546" s="1">
        <v>45646</v>
      </c>
      <c r="G546" s="1">
        <v>45676</v>
      </c>
      <c r="H546">
        <v>30</v>
      </c>
      <c r="I546">
        <v>30099.63</v>
      </c>
      <c r="J546">
        <v>30099.63</v>
      </c>
      <c r="K546">
        <v>0</v>
      </c>
      <c r="L546" s="1">
        <v>45681</v>
      </c>
      <c r="M546">
        <v>163</v>
      </c>
      <c r="N546">
        <v>133</v>
      </c>
      <c r="O546" t="s">
        <v>25</v>
      </c>
      <c r="P546">
        <v>0.02</v>
      </c>
      <c r="Q546">
        <v>0</v>
      </c>
    </row>
    <row r="547" spans="1:17" x14ac:dyDescent="0.25">
      <c r="A547" t="s">
        <v>575</v>
      </c>
      <c r="B547" t="s">
        <v>576</v>
      </c>
      <c r="C547" t="s">
        <v>19</v>
      </c>
      <c r="D547" t="s">
        <v>106</v>
      </c>
      <c r="E547" t="s">
        <v>608</v>
      </c>
      <c r="F547" s="1">
        <v>45770</v>
      </c>
      <c r="G547" s="1">
        <v>45830</v>
      </c>
      <c r="H547">
        <v>60</v>
      </c>
      <c r="I547">
        <v>14262.38</v>
      </c>
      <c r="J547">
        <v>0</v>
      </c>
      <c r="K547">
        <v>14262.38</v>
      </c>
      <c r="M547">
        <v>39</v>
      </c>
      <c r="N547">
        <v>0</v>
      </c>
      <c r="O547" t="s">
        <v>22</v>
      </c>
      <c r="P547">
        <v>0</v>
      </c>
      <c r="Q547">
        <v>0</v>
      </c>
    </row>
    <row r="548" spans="1:17" x14ac:dyDescent="0.25">
      <c r="A548" t="s">
        <v>575</v>
      </c>
      <c r="B548" t="s">
        <v>576</v>
      </c>
      <c r="C548" t="s">
        <v>19</v>
      </c>
      <c r="D548" t="s">
        <v>106</v>
      </c>
      <c r="E548" t="s">
        <v>609</v>
      </c>
      <c r="F548" s="1">
        <v>45802</v>
      </c>
      <c r="G548" s="1">
        <v>45862</v>
      </c>
      <c r="H548">
        <v>60</v>
      </c>
      <c r="I548">
        <v>73290.16</v>
      </c>
      <c r="J548">
        <v>0</v>
      </c>
      <c r="K548">
        <v>73290.16</v>
      </c>
      <c r="M548">
        <v>7</v>
      </c>
      <c r="N548">
        <v>0</v>
      </c>
      <c r="O548" t="s">
        <v>22</v>
      </c>
      <c r="P548">
        <v>0</v>
      </c>
      <c r="Q548">
        <v>0</v>
      </c>
    </row>
    <row r="549" spans="1:17" x14ac:dyDescent="0.25">
      <c r="A549" t="s">
        <v>575</v>
      </c>
      <c r="B549" t="s">
        <v>576</v>
      </c>
      <c r="C549" t="s">
        <v>19</v>
      </c>
      <c r="D549" t="s">
        <v>106</v>
      </c>
      <c r="E549" t="s">
        <v>610</v>
      </c>
      <c r="F549" s="1">
        <v>45715</v>
      </c>
      <c r="G549" s="1">
        <v>45775</v>
      </c>
      <c r="H549">
        <v>60</v>
      </c>
      <c r="I549">
        <v>42145.72</v>
      </c>
      <c r="J549">
        <v>17158.62</v>
      </c>
      <c r="K549">
        <v>24987.1</v>
      </c>
      <c r="L549" s="1">
        <v>45743</v>
      </c>
      <c r="M549">
        <v>94</v>
      </c>
      <c r="N549">
        <v>34</v>
      </c>
      <c r="O549" t="s">
        <v>29</v>
      </c>
      <c r="P549">
        <v>2.5000000000000001E-2</v>
      </c>
      <c r="Q549">
        <v>0</v>
      </c>
    </row>
    <row r="550" spans="1:17" x14ac:dyDescent="0.25">
      <c r="A550" t="s">
        <v>575</v>
      </c>
      <c r="B550" t="s">
        <v>576</v>
      </c>
      <c r="C550" t="s">
        <v>19</v>
      </c>
      <c r="D550" t="s">
        <v>106</v>
      </c>
      <c r="E550" t="s">
        <v>611</v>
      </c>
      <c r="F550" s="1">
        <v>45642</v>
      </c>
      <c r="G550" s="1">
        <v>45702</v>
      </c>
      <c r="H550">
        <v>60</v>
      </c>
      <c r="I550">
        <v>49179.26</v>
      </c>
      <c r="J550">
        <v>5368.67</v>
      </c>
      <c r="K550">
        <v>43810.59</v>
      </c>
      <c r="L550" s="1">
        <v>45671</v>
      </c>
      <c r="M550">
        <v>167</v>
      </c>
      <c r="N550">
        <v>107</v>
      </c>
      <c r="O550" t="s">
        <v>29</v>
      </c>
      <c r="P550">
        <v>0</v>
      </c>
      <c r="Q550">
        <v>0</v>
      </c>
    </row>
    <row r="551" spans="1:17" x14ac:dyDescent="0.25">
      <c r="A551" t="s">
        <v>575</v>
      </c>
      <c r="B551" t="s">
        <v>576</v>
      </c>
      <c r="C551" t="s">
        <v>19</v>
      </c>
      <c r="D551" t="s">
        <v>106</v>
      </c>
      <c r="E551" t="s">
        <v>612</v>
      </c>
      <c r="F551" s="1">
        <v>45706</v>
      </c>
      <c r="G551" s="1">
        <v>45751</v>
      </c>
      <c r="H551">
        <v>45</v>
      </c>
      <c r="I551">
        <v>59754.15</v>
      </c>
      <c r="J551">
        <v>0</v>
      </c>
      <c r="K551">
        <v>59754.15</v>
      </c>
      <c r="M551">
        <v>103</v>
      </c>
      <c r="N551">
        <v>58</v>
      </c>
      <c r="O551" t="s">
        <v>36</v>
      </c>
      <c r="P551">
        <v>2.5000000000000001E-2</v>
      </c>
      <c r="Q551">
        <v>0</v>
      </c>
    </row>
    <row r="552" spans="1:17" x14ac:dyDescent="0.25">
      <c r="A552" t="s">
        <v>575</v>
      </c>
      <c r="B552" t="s">
        <v>576</v>
      </c>
      <c r="C552" t="s">
        <v>19</v>
      </c>
      <c r="D552" t="s">
        <v>106</v>
      </c>
      <c r="E552" t="s">
        <v>613</v>
      </c>
      <c r="F552" s="1">
        <v>45757</v>
      </c>
      <c r="G552" s="1">
        <v>45817</v>
      </c>
      <c r="H552">
        <v>60</v>
      </c>
      <c r="I552">
        <v>2104.3000000000002</v>
      </c>
      <c r="J552">
        <v>0</v>
      </c>
      <c r="K552">
        <v>2104.3000000000002</v>
      </c>
      <c r="M552">
        <v>52</v>
      </c>
      <c r="N552">
        <v>0</v>
      </c>
      <c r="O552" t="s">
        <v>22</v>
      </c>
      <c r="P552">
        <v>2.5000000000000001E-2</v>
      </c>
      <c r="Q552">
        <v>0</v>
      </c>
    </row>
    <row r="553" spans="1:17" x14ac:dyDescent="0.25">
      <c r="A553" t="s">
        <v>575</v>
      </c>
      <c r="B553" t="s">
        <v>576</v>
      </c>
      <c r="C553" t="s">
        <v>19</v>
      </c>
      <c r="D553" t="s">
        <v>106</v>
      </c>
      <c r="E553" t="s">
        <v>614</v>
      </c>
      <c r="F553" s="1">
        <v>45750</v>
      </c>
      <c r="G553" s="1">
        <v>45765</v>
      </c>
      <c r="H553">
        <v>15</v>
      </c>
      <c r="I553">
        <v>21019.43</v>
      </c>
      <c r="J553">
        <v>21019.43</v>
      </c>
      <c r="K553">
        <v>0</v>
      </c>
      <c r="L553" s="1">
        <v>45763</v>
      </c>
      <c r="M553">
        <v>59</v>
      </c>
      <c r="N553">
        <v>44</v>
      </c>
      <c r="O553" t="s">
        <v>25</v>
      </c>
      <c r="P553">
        <v>0.01</v>
      </c>
      <c r="Q553">
        <v>0</v>
      </c>
    </row>
    <row r="554" spans="1:17" x14ac:dyDescent="0.25">
      <c r="A554" t="s">
        <v>575</v>
      </c>
      <c r="B554" t="s">
        <v>576</v>
      </c>
      <c r="C554" t="s">
        <v>19</v>
      </c>
      <c r="D554" t="s">
        <v>106</v>
      </c>
      <c r="E554" t="s">
        <v>615</v>
      </c>
      <c r="F554" s="1">
        <v>45746</v>
      </c>
      <c r="G554" s="1">
        <v>45836</v>
      </c>
      <c r="H554">
        <v>90</v>
      </c>
      <c r="I554">
        <v>45468.34</v>
      </c>
      <c r="J554">
        <v>0</v>
      </c>
      <c r="K554">
        <v>45468.34</v>
      </c>
      <c r="M554">
        <v>63</v>
      </c>
      <c r="N554">
        <v>0</v>
      </c>
      <c r="O554" t="s">
        <v>22</v>
      </c>
      <c r="P554">
        <v>0</v>
      </c>
      <c r="Q554">
        <v>0</v>
      </c>
    </row>
    <row r="555" spans="1:17" x14ac:dyDescent="0.25">
      <c r="A555" t="s">
        <v>575</v>
      </c>
      <c r="B555" t="s">
        <v>576</v>
      </c>
      <c r="C555" t="s">
        <v>19</v>
      </c>
      <c r="D555" t="s">
        <v>106</v>
      </c>
      <c r="E555" t="s">
        <v>616</v>
      </c>
      <c r="F555" s="1">
        <v>45639</v>
      </c>
      <c r="G555" s="1">
        <v>45654</v>
      </c>
      <c r="H555">
        <v>15</v>
      </c>
      <c r="I555">
        <v>71987.87</v>
      </c>
      <c r="J555">
        <v>71987.87</v>
      </c>
      <c r="K555">
        <v>0</v>
      </c>
      <c r="L555" s="1">
        <v>45648</v>
      </c>
      <c r="M555">
        <v>170</v>
      </c>
      <c r="N555">
        <v>155</v>
      </c>
      <c r="O555" t="s">
        <v>25</v>
      </c>
      <c r="P555">
        <v>0.01</v>
      </c>
      <c r="Q555">
        <v>719.88</v>
      </c>
    </row>
    <row r="556" spans="1:17" x14ac:dyDescent="0.25">
      <c r="A556" t="s">
        <v>575</v>
      </c>
      <c r="B556" t="s">
        <v>576</v>
      </c>
      <c r="C556" t="s">
        <v>19</v>
      </c>
      <c r="D556" t="s">
        <v>106</v>
      </c>
      <c r="E556" t="s">
        <v>617</v>
      </c>
      <c r="F556" s="1">
        <v>45636</v>
      </c>
      <c r="G556" s="1">
        <v>45681</v>
      </c>
      <c r="H556">
        <v>45</v>
      </c>
      <c r="I556">
        <v>69254.25</v>
      </c>
      <c r="J556">
        <v>69254.25</v>
      </c>
      <c r="K556">
        <v>0</v>
      </c>
      <c r="L556" s="1">
        <v>45687</v>
      </c>
      <c r="M556">
        <v>173</v>
      </c>
      <c r="N556">
        <v>128</v>
      </c>
      <c r="O556" t="s">
        <v>25</v>
      </c>
      <c r="P556">
        <v>0.01</v>
      </c>
      <c r="Q556">
        <v>0</v>
      </c>
    </row>
    <row r="557" spans="1:17" x14ac:dyDescent="0.25">
      <c r="A557" t="s">
        <v>575</v>
      </c>
      <c r="B557" t="s">
        <v>576</v>
      </c>
      <c r="C557" t="s">
        <v>19</v>
      </c>
      <c r="D557" t="s">
        <v>106</v>
      </c>
      <c r="E557" t="s">
        <v>618</v>
      </c>
      <c r="F557" s="1">
        <v>45717</v>
      </c>
      <c r="G557" s="1">
        <v>45747</v>
      </c>
      <c r="H557">
        <v>30</v>
      </c>
      <c r="I557">
        <v>59409.77</v>
      </c>
      <c r="J557">
        <v>59409.77</v>
      </c>
      <c r="K557">
        <v>0</v>
      </c>
      <c r="L557" s="1">
        <v>45733</v>
      </c>
      <c r="M557">
        <v>92</v>
      </c>
      <c r="N557">
        <v>62</v>
      </c>
      <c r="O557" t="s">
        <v>25</v>
      </c>
      <c r="P557">
        <v>0</v>
      </c>
      <c r="Q557">
        <v>0</v>
      </c>
    </row>
    <row r="558" spans="1:17" x14ac:dyDescent="0.25">
      <c r="A558" t="s">
        <v>575</v>
      </c>
      <c r="B558" t="s">
        <v>576</v>
      </c>
      <c r="C558" t="s">
        <v>19</v>
      </c>
      <c r="D558" t="s">
        <v>106</v>
      </c>
      <c r="E558" t="s">
        <v>619</v>
      </c>
      <c r="F558" s="1">
        <v>45665</v>
      </c>
      <c r="G558" s="1">
        <v>45710</v>
      </c>
      <c r="H558">
        <v>45</v>
      </c>
      <c r="I558">
        <v>34149.25</v>
      </c>
      <c r="J558">
        <v>34149.25</v>
      </c>
      <c r="K558">
        <v>0</v>
      </c>
      <c r="L558" s="1">
        <v>45712</v>
      </c>
      <c r="M558">
        <v>144</v>
      </c>
      <c r="N558">
        <v>99</v>
      </c>
      <c r="O558" t="s">
        <v>25</v>
      </c>
      <c r="P558">
        <v>0.02</v>
      </c>
      <c r="Q558">
        <v>0</v>
      </c>
    </row>
    <row r="559" spans="1:17" x14ac:dyDescent="0.25">
      <c r="A559" t="s">
        <v>620</v>
      </c>
      <c r="B559" t="s">
        <v>621</v>
      </c>
      <c r="C559" t="s">
        <v>59</v>
      </c>
      <c r="D559" t="s">
        <v>465</v>
      </c>
      <c r="E559" t="s">
        <v>622</v>
      </c>
      <c r="F559" s="1">
        <v>45655</v>
      </c>
      <c r="G559" s="1">
        <v>45685</v>
      </c>
      <c r="H559">
        <v>30</v>
      </c>
      <c r="I559">
        <v>31864.44</v>
      </c>
      <c r="J559">
        <v>31864.44</v>
      </c>
      <c r="K559">
        <v>0</v>
      </c>
      <c r="L559" s="1">
        <v>45678</v>
      </c>
      <c r="M559">
        <v>154</v>
      </c>
      <c r="N559">
        <v>124</v>
      </c>
      <c r="O559" t="s">
        <v>25</v>
      </c>
      <c r="P559">
        <v>0</v>
      </c>
      <c r="Q559">
        <v>0</v>
      </c>
    </row>
    <row r="560" spans="1:17" x14ac:dyDescent="0.25">
      <c r="A560" t="s">
        <v>620</v>
      </c>
      <c r="B560" t="s">
        <v>621</v>
      </c>
      <c r="C560" t="s">
        <v>59</v>
      </c>
      <c r="D560" t="s">
        <v>465</v>
      </c>
      <c r="E560" t="s">
        <v>623</v>
      </c>
      <c r="F560" s="1">
        <v>45635</v>
      </c>
      <c r="G560" s="1">
        <v>45725</v>
      </c>
      <c r="H560">
        <v>90</v>
      </c>
      <c r="I560">
        <v>71864.03</v>
      </c>
      <c r="J560">
        <v>40604.99</v>
      </c>
      <c r="K560">
        <v>31259.040000000001</v>
      </c>
      <c r="L560" s="1">
        <v>45672</v>
      </c>
      <c r="M560">
        <v>174</v>
      </c>
      <c r="N560">
        <v>84</v>
      </c>
      <c r="O560" t="s">
        <v>29</v>
      </c>
      <c r="P560">
        <v>0.01</v>
      </c>
      <c r="Q560">
        <v>0</v>
      </c>
    </row>
    <row r="561" spans="1:17" x14ac:dyDescent="0.25">
      <c r="A561" t="s">
        <v>620</v>
      </c>
      <c r="B561" t="s">
        <v>621</v>
      </c>
      <c r="C561" t="s">
        <v>59</v>
      </c>
      <c r="D561" t="s">
        <v>465</v>
      </c>
      <c r="E561" t="s">
        <v>624</v>
      </c>
      <c r="F561" s="1">
        <v>45747</v>
      </c>
      <c r="G561" s="1">
        <v>45807</v>
      </c>
      <c r="H561">
        <v>60</v>
      </c>
      <c r="I561">
        <v>22723.78</v>
      </c>
      <c r="J561">
        <v>8071.9</v>
      </c>
      <c r="K561">
        <v>14651.88</v>
      </c>
      <c r="L561" s="1">
        <v>45764</v>
      </c>
      <c r="M561">
        <v>62</v>
      </c>
      <c r="N561">
        <v>2</v>
      </c>
      <c r="O561" t="s">
        <v>29</v>
      </c>
      <c r="P561">
        <v>0</v>
      </c>
      <c r="Q561">
        <v>0</v>
      </c>
    </row>
    <row r="562" spans="1:17" x14ac:dyDescent="0.25">
      <c r="A562" t="s">
        <v>620</v>
      </c>
      <c r="B562" t="s">
        <v>621</v>
      </c>
      <c r="C562" t="s">
        <v>59</v>
      </c>
      <c r="D562" t="s">
        <v>465</v>
      </c>
      <c r="E562" t="s">
        <v>625</v>
      </c>
      <c r="F562" s="1">
        <v>45761</v>
      </c>
      <c r="G562" s="1">
        <v>45821</v>
      </c>
      <c r="H562">
        <v>60</v>
      </c>
      <c r="I562">
        <v>56932.2</v>
      </c>
      <c r="J562">
        <v>0</v>
      </c>
      <c r="K562">
        <v>56932.2</v>
      </c>
      <c r="M562">
        <v>48</v>
      </c>
      <c r="N562">
        <v>0</v>
      </c>
      <c r="O562" t="s">
        <v>22</v>
      </c>
      <c r="P562">
        <v>0.01</v>
      </c>
      <c r="Q562">
        <v>0</v>
      </c>
    </row>
    <row r="563" spans="1:17" x14ac:dyDescent="0.25">
      <c r="A563" t="s">
        <v>620</v>
      </c>
      <c r="B563" t="s">
        <v>621</v>
      </c>
      <c r="C563" t="s">
        <v>59</v>
      </c>
      <c r="D563" t="s">
        <v>465</v>
      </c>
      <c r="E563" t="s">
        <v>626</v>
      </c>
      <c r="F563" s="1">
        <v>45742</v>
      </c>
      <c r="G563" s="1">
        <v>45772</v>
      </c>
      <c r="H563">
        <v>30</v>
      </c>
      <c r="I563">
        <v>5740.69</v>
      </c>
      <c r="J563">
        <v>5740.69</v>
      </c>
      <c r="K563">
        <v>0</v>
      </c>
      <c r="L563" s="1">
        <v>45783</v>
      </c>
      <c r="M563">
        <v>67</v>
      </c>
      <c r="N563">
        <v>37</v>
      </c>
      <c r="O563" t="s">
        <v>25</v>
      </c>
      <c r="P563">
        <v>0.02</v>
      </c>
      <c r="Q563">
        <v>0</v>
      </c>
    </row>
    <row r="564" spans="1:17" x14ac:dyDescent="0.25">
      <c r="A564" t="s">
        <v>620</v>
      </c>
      <c r="B564" t="s">
        <v>621</v>
      </c>
      <c r="C564" t="s">
        <v>59</v>
      </c>
      <c r="D564" t="s">
        <v>465</v>
      </c>
      <c r="E564" t="s">
        <v>627</v>
      </c>
      <c r="F564" s="1">
        <v>45789</v>
      </c>
      <c r="G564" s="1">
        <v>45879</v>
      </c>
      <c r="H564">
        <v>90</v>
      </c>
      <c r="I564">
        <v>76792.929999999993</v>
      </c>
      <c r="J564">
        <v>0</v>
      </c>
      <c r="K564">
        <v>76792.929999999993</v>
      </c>
      <c r="M564">
        <v>20</v>
      </c>
      <c r="N564">
        <v>0</v>
      </c>
      <c r="O564" t="s">
        <v>22</v>
      </c>
      <c r="P564">
        <v>0.01</v>
      </c>
      <c r="Q564">
        <v>0</v>
      </c>
    </row>
    <row r="565" spans="1:17" x14ac:dyDescent="0.25">
      <c r="A565" t="s">
        <v>620</v>
      </c>
      <c r="B565" t="s">
        <v>621</v>
      </c>
      <c r="C565" t="s">
        <v>59</v>
      </c>
      <c r="D565" t="s">
        <v>465</v>
      </c>
      <c r="E565" t="s">
        <v>628</v>
      </c>
      <c r="F565" s="1">
        <v>45680</v>
      </c>
      <c r="G565" s="1">
        <v>45740</v>
      </c>
      <c r="H565">
        <v>60</v>
      </c>
      <c r="I565">
        <v>29654.71</v>
      </c>
      <c r="J565">
        <v>29654.71</v>
      </c>
      <c r="K565">
        <v>0</v>
      </c>
      <c r="L565" s="1">
        <v>45718</v>
      </c>
      <c r="M565">
        <v>129</v>
      </c>
      <c r="N565">
        <v>69</v>
      </c>
      <c r="O565" t="s">
        <v>25</v>
      </c>
      <c r="P565">
        <v>0.02</v>
      </c>
      <c r="Q565">
        <v>593.09</v>
      </c>
    </row>
    <row r="566" spans="1:17" x14ac:dyDescent="0.25">
      <c r="A566" t="s">
        <v>620</v>
      </c>
      <c r="B566" t="s">
        <v>621</v>
      </c>
      <c r="C566" t="s">
        <v>59</v>
      </c>
      <c r="D566" t="s">
        <v>465</v>
      </c>
      <c r="E566" t="s">
        <v>629</v>
      </c>
      <c r="F566" s="1">
        <v>45709</v>
      </c>
      <c r="G566" s="1">
        <v>45724</v>
      </c>
      <c r="H566">
        <v>15</v>
      </c>
      <c r="I566">
        <v>71549.7</v>
      </c>
      <c r="J566">
        <v>71549.7</v>
      </c>
      <c r="K566">
        <v>0</v>
      </c>
      <c r="L566" s="1">
        <v>45739</v>
      </c>
      <c r="M566">
        <v>100</v>
      </c>
      <c r="N566">
        <v>85</v>
      </c>
      <c r="O566" t="s">
        <v>25</v>
      </c>
      <c r="P566">
        <v>0.01</v>
      </c>
      <c r="Q566">
        <v>0</v>
      </c>
    </row>
    <row r="567" spans="1:17" x14ac:dyDescent="0.25">
      <c r="A567" t="s">
        <v>620</v>
      </c>
      <c r="B567" t="s">
        <v>621</v>
      </c>
      <c r="C567" t="s">
        <v>59</v>
      </c>
      <c r="D567" t="s">
        <v>465</v>
      </c>
      <c r="E567" t="s">
        <v>630</v>
      </c>
      <c r="F567" s="1">
        <v>45689</v>
      </c>
      <c r="G567" s="1">
        <v>45749</v>
      </c>
      <c r="H567">
        <v>60</v>
      </c>
      <c r="I567">
        <v>38978.93</v>
      </c>
      <c r="J567">
        <v>0</v>
      </c>
      <c r="K567">
        <v>38978.93</v>
      </c>
      <c r="M567">
        <v>120</v>
      </c>
      <c r="N567">
        <v>60</v>
      </c>
      <c r="O567" t="s">
        <v>36</v>
      </c>
      <c r="P567">
        <v>0.01</v>
      </c>
      <c r="Q567">
        <v>0</v>
      </c>
    </row>
    <row r="568" spans="1:17" x14ac:dyDescent="0.25">
      <c r="A568" t="s">
        <v>620</v>
      </c>
      <c r="B568" t="s">
        <v>621</v>
      </c>
      <c r="C568" t="s">
        <v>59</v>
      </c>
      <c r="D568" t="s">
        <v>465</v>
      </c>
      <c r="E568" t="s">
        <v>631</v>
      </c>
      <c r="F568" s="1">
        <v>45635</v>
      </c>
      <c r="G568" s="1">
        <v>45725</v>
      </c>
      <c r="H568">
        <v>90</v>
      </c>
      <c r="I568">
        <v>77363.98</v>
      </c>
      <c r="J568">
        <v>45757.81</v>
      </c>
      <c r="K568">
        <v>31606.17</v>
      </c>
      <c r="L568" s="1">
        <v>45678</v>
      </c>
      <c r="M568">
        <v>174</v>
      </c>
      <c r="N568">
        <v>84</v>
      </c>
      <c r="O568" t="s">
        <v>29</v>
      </c>
      <c r="P568">
        <v>0.01</v>
      </c>
      <c r="Q568">
        <v>0</v>
      </c>
    </row>
    <row r="569" spans="1:17" x14ac:dyDescent="0.25">
      <c r="A569" t="s">
        <v>620</v>
      </c>
      <c r="B569" t="s">
        <v>621</v>
      </c>
      <c r="C569" t="s">
        <v>59</v>
      </c>
      <c r="D569" t="s">
        <v>465</v>
      </c>
      <c r="E569" t="s">
        <v>632</v>
      </c>
      <c r="F569" s="1">
        <v>45789</v>
      </c>
      <c r="G569" s="1">
        <v>45879</v>
      </c>
      <c r="H569">
        <v>90</v>
      </c>
      <c r="I569">
        <v>2783.17</v>
      </c>
      <c r="J569">
        <v>0</v>
      </c>
      <c r="K569">
        <v>2783.17</v>
      </c>
      <c r="M569">
        <v>20</v>
      </c>
      <c r="N569">
        <v>0</v>
      </c>
      <c r="O569" t="s">
        <v>22</v>
      </c>
      <c r="P569">
        <v>0.01</v>
      </c>
      <c r="Q569">
        <v>0</v>
      </c>
    </row>
    <row r="570" spans="1:17" x14ac:dyDescent="0.25">
      <c r="A570" t="s">
        <v>620</v>
      </c>
      <c r="B570" t="s">
        <v>621</v>
      </c>
      <c r="C570" t="s">
        <v>59</v>
      </c>
      <c r="D570" t="s">
        <v>465</v>
      </c>
      <c r="E570" t="s">
        <v>633</v>
      </c>
      <c r="F570" s="1">
        <v>45668</v>
      </c>
      <c r="G570" s="1">
        <v>45728</v>
      </c>
      <c r="H570">
        <v>60</v>
      </c>
      <c r="I570">
        <v>21971.75</v>
      </c>
      <c r="J570">
        <v>0</v>
      </c>
      <c r="K570">
        <v>21971.75</v>
      </c>
      <c r="M570">
        <v>141</v>
      </c>
      <c r="N570">
        <v>81</v>
      </c>
      <c r="O570" t="s">
        <v>36</v>
      </c>
      <c r="P570">
        <v>0.01</v>
      </c>
      <c r="Q570">
        <v>0</v>
      </c>
    </row>
    <row r="571" spans="1:17" x14ac:dyDescent="0.25">
      <c r="A571" t="s">
        <v>620</v>
      </c>
      <c r="B571" t="s">
        <v>621</v>
      </c>
      <c r="C571" t="s">
        <v>59</v>
      </c>
      <c r="D571" t="s">
        <v>465</v>
      </c>
      <c r="E571" t="s">
        <v>634</v>
      </c>
      <c r="F571" s="1">
        <v>45685</v>
      </c>
      <c r="G571" s="1">
        <v>45775</v>
      </c>
      <c r="H571">
        <v>90</v>
      </c>
      <c r="I571">
        <v>39229.08</v>
      </c>
      <c r="J571">
        <v>0</v>
      </c>
      <c r="K571">
        <v>39229.08</v>
      </c>
      <c r="M571">
        <v>124</v>
      </c>
      <c r="N571">
        <v>34</v>
      </c>
      <c r="O571" t="s">
        <v>36</v>
      </c>
      <c r="P571">
        <v>2.5000000000000001E-2</v>
      </c>
      <c r="Q571">
        <v>0</v>
      </c>
    </row>
    <row r="572" spans="1:17" x14ac:dyDescent="0.25">
      <c r="A572" t="s">
        <v>620</v>
      </c>
      <c r="B572" t="s">
        <v>621</v>
      </c>
      <c r="C572" t="s">
        <v>59</v>
      </c>
      <c r="D572" t="s">
        <v>465</v>
      </c>
      <c r="E572" t="s">
        <v>635</v>
      </c>
      <c r="F572" s="1">
        <v>45760</v>
      </c>
      <c r="G572" s="1">
        <v>45805</v>
      </c>
      <c r="H572">
        <v>45</v>
      </c>
      <c r="I572">
        <v>2578.86</v>
      </c>
      <c r="J572">
        <v>535.83000000000004</v>
      </c>
      <c r="K572">
        <v>2043.03</v>
      </c>
      <c r="L572" s="1">
        <v>45803</v>
      </c>
      <c r="M572">
        <v>49</v>
      </c>
      <c r="N572">
        <v>4</v>
      </c>
      <c r="O572" t="s">
        <v>29</v>
      </c>
      <c r="P572">
        <v>2.5000000000000001E-2</v>
      </c>
      <c r="Q572">
        <v>0</v>
      </c>
    </row>
    <row r="573" spans="1:17" x14ac:dyDescent="0.25">
      <c r="A573" t="s">
        <v>620</v>
      </c>
      <c r="B573" t="s">
        <v>621</v>
      </c>
      <c r="C573" t="s">
        <v>59</v>
      </c>
      <c r="D573" t="s">
        <v>465</v>
      </c>
      <c r="E573" t="s">
        <v>636</v>
      </c>
      <c r="F573" s="1">
        <v>45656</v>
      </c>
      <c r="G573" s="1">
        <v>45686</v>
      </c>
      <c r="H573">
        <v>30</v>
      </c>
      <c r="I573">
        <v>27292.240000000002</v>
      </c>
      <c r="J573">
        <v>0</v>
      </c>
      <c r="K573">
        <v>27292.240000000002</v>
      </c>
      <c r="M573">
        <v>153</v>
      </c>
      <c r="N573">
        <v>123</v>
      </c>
      <c r="O573" t="s">
        <v>36</v>
      </c>
      <c r="P573">
        <v>0.02</v>
      </c>
      <c r="Q573">
        <v>0</v>
      </c>
    </row>
    <row r="574" spans="1:17" x14ac:dyDescent="0.25">
      <c r="A574" t="s">
        <v>620</v>
      </c>
      <c r="B574" t="s">
        <v>621</v>
      </c>
      <c r="C574" t="s">
        <v>59</v>
      </c>
      <c r="D574" t="s">
        <v>465</v>
      </c>
      <c r="E574" t="s">
        <v>637</v>
      </c>
      <c r="F574" s="1">
        <v>45802</v>
      </c>
      <c r="G574" s="1">
        <v>45892</v>
      </c>
      <c r="H574">
        <v>90</v>
      </c>
      <c r="I574">
        <v>62854.43</v>
      </c>
      <c r="J574">
        <v>0</v>
      </c>
      <c r="K574">
        <v>62854.43</v>
      </c>
      <c r="M574">
        <v>7</v>
      </c>
      <c r="N574">
        <v>0</v>
      </c>
      <c r="O574" t="s">
        <v>22</v>
      </c>
      <c r="P574">
        <v>2.5000000000000001E-2</v>
      </c>
      <c r="Q574">
        <v>0</v>
      </c>
    </row>
    <row r="575" spans="1:17" x14ac:dyDescent="0.25">
      <c r="A575" t="s">
        <v>620</v>
      </c>
      <c r="B575" t="s">
        <v>621</v>
      </c>
      <c r="C575" t="s">
        <v>59</v>
      </c>
      <c r="D575" t="s">
        <v>465</v>
      </c>
      <c r="E575" t="s">
        <v>638</v>
      </c>
      <c r="F575" s="1">
        <v>45715</v>
      </c>
      <c r="G575" s="1">
        <v>45760</v>
      </c>
      <c r="H575">
        <v>45</v>
      </c>
      <c r="I575">
        <v>42115.06</v>
      </c>
      <c r="J575">
        <v>42115.06</v>
      </c>
      <c r="K575">
        <v>0</v>
      </c>
      <c r="L575" s="1">
        <v>45789</v>
      </c>
      <c r="M575">
        <v>94</v>
      </c>
      <c r="N575">
        <v>49</v>
      </c>
      <c r="O575" t="s">
        <v>25</v>
      </c>
      <c r="P575">
        <v>0.01</v>
      </c>
      <c r="Q575">
        <v>0</v>
      </c>
    </row>
    <row r="576" spans="1:17" x14ac:dyDescent="0.25">
      <c r="A576" t="s">
        <v>620</v>
      </c>
      <c r="B576" t="s">
        <v>621</v>
      </c>
      <c r="C576" t="s">
        <v>59</v>
      </c>
      <c r="D576" t="s">
        <v>465</v>
      </c>
      <c r="E576" t="s">
        <v>639</v>
      </c>
      <c r="F576" s="1">
        <v>45707</v>
      </c>
      <c r="G576" s="1">
        <v>45722</v>
      </c>
      <c r="H576">
        <v>15</v>
      </c>
      <c r="I576">
        <v>3063.13</v>
      </c>
      <c r="J576">
        <v>3063.13</v>
      </c>
      <c r="K576">
        <v>0</v>
      </c>
      <c r="L576" s="1">
        <v>45736</v>
      </c>
      <c r="M576">
        <v>102</v>
      </c>
      <c r="N576">
        <v>87</v>
      </c>
      <c r="O576" t="s">
        <v>25</v>
      </c>
      <c r="P576">
        <v>0</v>
      </c>
      <c r="Q576">
        <v>0</v>
      </c>
    </row>
    <row r="577" spans="1:17" x14ac:dyDescent="0.25">
      <c r="A577" t="s">
        <v>620</v>
      </c>
      <c r="B577" t="s">
        <v>621</v>
      </c>
      <c r="C577" t="s">
        <v>59</v>
      </c>
      <c r="D577" t="s">
        <v>465</v>
      </c>
      <c r="E577" t="s">
        <v>640</v>
      </c>
      <c r="F577" s="1">
        <v>45722</v>
      </c>
      <c r="G577" s="1">
        <v>45737</v>
      </c>
      <c r="H577">
        <v>15</v>
      </c>
      <c r="I577">
        <v>70337.66</v>
      </c>
      <c r="J577">
        <v>70337.66</v>
      </c>
      <c r="K577">
        <v>0</v>
      </c>
      <c r="L577" s="1">
        <v>45747</v>
      </c>
      <c r="M577">
        <v>87</v>
      </c>
      <c r="N577">
        <v>72</v>
      </c>
      <c r="O577" t="s">
        <v>25</v>
      </c>
      <c r="P577">
        <v>0.01</v>
      </c>
      <c r="Q577">
        <v>0</v>
      </c>
    </row>
    <row r="578" spans="1:17" x14ac:dyDescent="0.25">
      <c r="A578" t="s">
        <v>620</v>
      </c>
      <c r="B578" t="s">
        <v>621</v>
      </c>
      <c r="C578" t="s">
        <v>59</v>
      </c>
      <c r="D578" t="s">
        <v>465</v>
      </c>
      <c r="E578" t="s">
        <v>641</v>
      </c>
      <c r="F578" s="1">
        <v>45760</v>
      </c>
      <c r="G578" s="1">
        <v>45790</v>
      </c>
      <c r="H578">
        <v>30</v>
      </c>
      <c r="I578">
        <v>51727.11</v>
      </c>
      <c r="J578">
        <v>51727.11</v>
      </c>
      <c r="K578">
        <v>0</v>
      </c>
      <c r="L578" s="1">
        <v>45763</v>
      </c>
      <c r="M578">
        <v>49</v>
      </c>
      <c r="N578">
        <v>19</v>
      </c>
      <c r="O578" t="s">
        <v>25</v>
      </c>
      <c r="P578">
        <v>2.5000000000000001E-2</v>
      </c>
      <c r="Q578">
        <v>1293.18</v>
      </c>
    </row>
    <row r="579" spans="1:17" x14ac:dyDescent="0.25">
      <c r="A579" t="s">
        <v>620</v>
      </c>
      <c r="B579" t="s">
        <v>621</v>
      </c>
      <c r="C579" t="s">
        <v>59</v>
      </c>
      <c r="D579" t="s">
        <v>465</v>
      </c>
      <c r="E579" t="s">
        <v>642</v>
      </c>
      <c r="F579" s="1">
        <v>45731</v>
      </c>
      <c r="G579" s="1">
        <v>45791</v>
      </c>
      <c r="H579">
        <v>60</v>
      </c>
      <c r="I579">
        <v>72059.53</v>
      </c>
      <c r="J579">
        <v>72059.53</v>
      </c>
      <c r="K579">
        <v>0</v>
      </c>
      <c r="L579" s="1">
        <v>45777</v>
      </c>
      <c r="M579">
        <v>78</v>
      </c>
      <c r="N579">
        <v>18</v>
      </c>
      <c r="O579" t="s">
        <v>25</v>
      </c>
      <c r="P579">
        <v>0.02</v>
      </c>
      <c r="Q579">
        <v>1441.19</v>
      </c>
    </row>
    <row r="580" spans="1:17" x14ac:dyDescent="0.25">
      <c r="A580" t="s">
        <v>620</v>
      </c>
      <c r="B580" t="s">
        <v>621</v>
      </c>
      <c r="C580" t="s">
        <v>59</v>
      </c>
      <c r="D580" t="s">
        <v>465</v>
      </c>
      <c r="E580" t="s">
        <v>643</v>
      </c>
      <c r="F580" s="1">
        <v>45784</v>
      </c>
      <c r="G580" s="1">
        <v>45814</v>
      </c>
      <c r="H580">
        <v>30</v>
      </c>
      <c r="I580">
        <v>6746.35</v>
      </c>
      <c r="J580">
        <v>0</v>
      </c>
      <c r="K580">
        <v>6746.35</v>
      </c>
      <c r="M580">
        <v>25</v>
      </c>
      <c r="N580">
        <v>0</v>
      </c>
      <c r="O580" t="s">
        <v>22</v>
      </c>
      <c r="P580">
        <v>2.5000000000000001E-2</v>
      </c>
      <c r="Q580">
        <v>0</v>
      </c>
    </row>
    <row r="581" spans="1:17" x14ac:dyDescent="0.25">
      <c r="A581" t="s">
        <v>620</v>
      </c>
      <c r="B581" t="s">
        <v>621</v>
      </c>
      <c r="C581" t="s">
        <v>59</v>
      </c>
      <c r="D581" t="s">
        <v>465</v>
      </c>
      <c r="E581" t="s">
        <v>644</v>
      </c>
      <c r="F581" s="1">
        <v>45801</v>
      </c>
      <c r="G581" s="1">
        <v>45891</v>
      </c>
      <c r="H581">
        <v>90</v>
      </c>
      <c r="I581">
        <v>59263.28</v>
      </c>
      <c r="J581">
        <v>0</v>
      </c>
      <c r="K581">
        <v>59263.28</v>
      </c>
      <c r="M581">
        <v>8</v>
      </c>
      <c r="N581">
        <v>0</v>
      </c>
      <c r="O581" t="s">
        <v>22</v>
      </c>
      <c r="P581">
        <v>0</v>
      </c>
      <c r="Q581">
        <v>0</v>
      </c>
    </row>
    <row r="582" spans="1:17" x14ac:dyDescent="0.25">
      <c r="A582" t="s">
        <v>620</v>
      </c>
      <c r="B582" t="s">
        <v>621</v>
      </c>
      <c r="C582" t="s">
        <v>59</v>
      </c>
      <c r="D582" t="s">
        <v>465</v>
      </c>
      <c r="E582" t="s">
        <v>645</v>
      </c>
      <c r="F582" s="1">
        <v>45701</v>
      </c>
      <c r="G582" s="1">
        <v>45716</v>
      </c>
      <c r="H582">
        <v>15</v>
      </c>
      <c r="I582">
        <v>20263.8</v>
      </c>
      <c r="J582">
        <v>20263.8</v>
      </c>
      <c r="K582">
        <v>0</v>
      </c>
      <c r="L582" s="1">
        <v>45703</v>
      </c>
      <c r="M582">
        <v>108</v>
      </c>
      <c r="N582">
        <v>93</v>
      </c>
      <c r="O582" t="s">
        <v>25</v>
      </c>
      <c r="P582">
        <v>0.01</v>
      </c>
      <c r="Q582">
        <v>202.64</v>
      </c>
    </row>
    <row r="583" spans="1:17" x14ac:dyDescent="0.25">
      <c r="A583" t="s">
        <v>620</v>
      </c>
      <c r="B583" t="s">
        <v>621</v>
      </c>
      <c r="C583" t="s">
        <v>59</v>
      </c>
      <c r="D583" t="s">
        <v>465</v>
      </c>
      <c r="E583" t="s">
        <v>646</v>
      </c>
      <c r="F583" s="1">
        <v>45683</v>
      </c>
      <c r="G583" s="1">
        <v>45698</v>
      </c>
      <c r="H583">
        <v>15</v>
      </c>
      <c r="I583">
        <v>61149.99</v>
      </c>
      <c r="J583">
        <v>61149.99</v>
      </c>
      <c r="K583">
        <v>0</v>
      </c>
      <c r="L583" s="1">
        <v>45685</v>
      </c>
      <c r="M583">
        <v>126</v>
      </c>
      <c r="N583">
        <v>111</v>
      </c>
      <c r="O583" t="s">
        <v>25</v>
      </c>
      <c r="P583">
        <v>0</v>
      </c>
      <c r="Q583">
        <v>0</v>
      </c>
    </row>
    <row r="584" spans="1:17" x14ac:dyDescent="0.25">
      <c r="A584" t="s">
        <v>620</v>
      </c>
      <c r="B584" t="s">
        <v>621</v>
      </c>
      <c r="C584" t="s">
        <v>59</v>
      </c>
      <c r="D584" t="s">
        <v>465</v>
      </c>
      <c r="E584" t="s">
        <v>647</v>
      </c>
      <c r="F584" s="1">
        <v>45755</v>
      </c>
      <c r="G584" s="1">
        <v>45815</v>
      </c>
      <c r="H584">
        <v>60</v>
      </c>
      <c r="I584">
        <v>65427.32</v>
      </c>
      <c r="J584">
        <v>0</v>
      </c>
      <c r="K584">
        <v>65427.32</v>
      </c>
      <c r="M584">
        <v>54</v>
      </c>
      <c r="N584">
        <v>0</v>
      </c>
      <c r="O584" t="s">
        <v>22</v>
      </c>
      <c r="P584">
        <v>0.02</v>
      </c>
      <c r="Q584">
        <v>0</v>
      </c>
    </row>
    <row r="585" spans="1:17" x14ac:dyDescent="0.25">
      <c r="A585" t="s">
        <v>620</v>
      </c>
      <c r="B585" t="s">
        <v>621</v>
      </c>
      <c r="C585" t="s">
        <v>59</v>
      </c>
      <c r="D585" t="s">
        <v>465</v>
      </c>
      <c r="E585" t="s">
        <v>648</v>
      </c>
      <c r="F585" s="1">
        <v>45715</v>
      </c>
      <c r="G585" s="1">
        <v>45730</v>
      </c>
      <c r="H585">
        <v>15</v>
      </c>
      <c r="I585">
        <v>29603.84</v>
      </c>
      <c r="J585">
        <v>29603.84</v>
      </c>
      <c r="K585">
        <v>0</v>
      </c>
      <c r="L585" s="1">
        <v>45722</v>
      </c>
      <c r="M585">
        <v>94</v>
      </c>
      <c r="N585">
        <v>79</v>
      </c>
      <c r="O585" t="s">
        <v>25</v>
      </c>
      <c r="P585">
        <v>0.02</v>
      </c>
      <c r="Q585">
        <v>592.08000000000004</v>
      </c>
    </row>
    <row r="586" spans="1:17" x14ac:dyDescent="0.25">
      <c r="A586" t="s">
        <v>620</v>
      </c>
      <c r="B586" t="s">
        <v>621</v>
      </c>
      <c r="C586" t="s">
        <v>59</v>
      </c>
      <c r="D586" t="s">
        <v>465</v>
      </c>
      <c r="E586" t="s">
        <v>649</v>
      </c>
      <c r="F586" s="1">
        <v>45717</v>
      </c>
      <c r="G586" s="1">
        <v>45777</v>
      </c>
      <c r="H586">
        <v>60</v>
      </c>
      <c r="I586">
        <v>62248.11</v>
      </c>
      <c r="J586">
        <v>62248.11</v>
      </c>
      <c r="K586">
        <v>0</v>
      </c>
      <c r="L586" s="1">
        <v>45772</v>
      </c>
      <c r="M586">
        <v>92</v>
      </c>
      <c r="N586">
        <v>32</v>
      </c>
      <c r="O586" t="s">
        <v>25</v>
      </c>
      <c r="P586">
        <v>0</v>
      </c>
      <c r="Q586">
        <v>0</v>
      </c>
    </row>
    <row r="587" spans="1:17" x14ac:dyDescent="0.25">
      <c r="A587" t="s">
        <v>620</v>
      </c>
      <c r="B587" t="s">
        <v>621</v>
      </c>
      <c r="C587" t="s">
        <v>59</v>
      </c>
      <c r="D587" t="s">
        <v>465</v>
      </c>
      <c r="E587" t="s">
        <v>650</v>
      </c>
      <c r="F587" s="1">
        <v>45753</v>
      </c>
      <c r="G587" s="1">
        <v>45783</v>
      </c>
      <c r="H587">
        <v>30</v>
      </c>
      <c r="I587">
        <v>11004.07</v>
      </c>
      <c r="J587">
        <v>0</v>
      </c>
      <c r="K587">
        <v>11004.07</v>
      </c>
      <c r="M587">
        <v>56</v>
      </c>
      <c r="N587">
        <v>26</v>
      </c>
      <c r="O587" t="s">
        <v>36</v>
      </c>
      <c r="P587">
        <v>0.02</v>
      </c>
      <c r="Q587">
        <v>0</v>
      </c>
    </row>
    <row r="588" spans="1:17" x14ac:dyDescent="0.25">
      <c r="A588" t="s">
        <v>620</v>
      </c>
      <c r="B588" t="s">
        <v>621</v>
      </c>
      <c r="C588" t="s">
        <v>59</v>
      </c>
      <c r="D588" t="s">
        <v>465</v>
      </c>
      <c r="E588" t="s">
        <v>651</v>
      </c>
      <c r="F588" s="1">
        <v>45670</v>
      </c>
      <c r="G588" s="1">
        <v>45760</v>
      </c>
      <c r="H588">
        <v>90</v>
      </c>
      <c r="I588">
        <v>32632.71</v>
      </c>
      <c r="J588">
        <v>32632.71</v>
      </c>
      <c r="K588">
        <v>0</v>
      </c>
      <c r="L588" s="1">
        <v>45776</v>
      </c>
      <c r="M588">
        <v>139</v>
      </c>
      <c r="N588">
        <v>49</v>
      </c>
      <c r="O588" t="s">
        <v>25</v>
      </c>
      <c r="P588">
        <v>0.01</v>
      </c>
      <c r="Q588">
        <v>0</v>
      </c>
    </row>
    <row r="589" spans="1:17" x14ac:dyDescent="0.25">
      <c r="A589" t="s">
        <v>620</v>
      </c>
      <c r="B589" t="s">
        <v>621</v>
      </c>
      <c r="C589" t="s">
        <v>59</v>
      </c>
      <c r="D589" t="s">
        <v>465</v>
      </c>
      <c r="E589" t="s">
        <v>652</v>
      </c>
      <c r="F589" s="1">
        <v>45733</v>
      </c>
      <c r="G589" s="1">
        <v>45763</v>
      </c>
      <c r="H589">
        <v>30</v>
      </c>
      <c r="I589">
        <v>38084.199999999997</v>
      </c>
      <c r="J589">
        <v>38084.199999999997</v>
      </c>
      <c r="K589">
        <v>0</v>
      </c>
      <c r="L589" s="1">
        <v>45790</v>
      </c>
      <c r="M589">
        <v>76</v>
      </c>
      <c r="N589">
        <v>46</v>
      </c>
      <c r="O589" t="s">
        <v>25</v>
      </c>
      <c r="P589">
        <v>0</v>
      </c>
      <c r="Q589">
        <v>0</v>
      </c>
    </row>
    <row r="590" spans="1:17" x14ac:dyDescent="0.25">
      <c r="A590" t="s">
        <v>620</v>
      </c>
      <c r="B590" t="s">
        <v>621</v>
      </c>
      <c r="C590" t="s">
        <v>59</v>
      </c>
      <c r="D590" t="s">
        <v>465</v>
      </c>
      <c r="E590" t="s">
        <v>653</v>
      </c>
      <c r="F590" s="1">
        <v>45631</v>
      </c>
      <c r="G590" s="1">
        <v>45676</v>
      </c>
      <c r="H590">
        <v>45</v>
      </c>
      <c r="I590">
        <v>12892.97</v>
      </c>
      <c r="J590">
        <v>12892.97</v>
      </c>
      <c r="K590">
        <v>0</v>
      </c>
      <c r="L590" s="1">
        <v>45692</v>
      </c>
      <c r="M590">
        <v>178</v>
      </c>
      <c r="N590">
        <v>133</v>
      </c>
      <c r="O590" t="s">
        <v>25</v>
      </c>
      <c r="P590">
        <v>0</v>
      </c>
      <c r="Q590">
        <v>0</v>
      </c>
    </row>
    <row r="591" spans="1:17" x14ac:dyDescent="0.25">
      <c r="A591" t="s">
        <v>620</v>
      </c>
      <c r="B591" t="s">
        <v>621</v>
      </c>
      <c r="C591" t="s">
        <v>59</v>
      </c>
      <c r="D591" t="s">
        <v>465</v>
      </c>
      <c r="E591" t="s">
        <v>654</v>
      </c>
      <c r="F591" s="1">
        <v>45639</v>
      </c>
      <c r="G591" s="1">
        <v>45654</v>
      </c>
      <c r="H591">
        <v>15</v>
      </c>
      <c r="I591">
        <v>50911.040000000001</v>
      </c>
      <c r="J591">
        <v>50911.040000000001</v>
      </c>
      <c r="K591">
        <v>0</v>
      </c>
      <c r="L591" s="1">
        <v>45651</v>
      </c>
      <c r="M591">
        <v>170</v>
      </c>
      <c r="N591">
        <v>155</v>
      </c>
      <c r="O591" t="s">
        <v>25</v>
      </c>
      <c r="P591">
        <v>0.01</v>
      </c>
      <c r="Q591">
        <v>0</v>
      </c>
    </row>
    <row r="592" spans="1:17" x14ac:dyDescent="0.25">
      <c r="A592" t="s">
        <v>620</v>
      </c>
      <c r="B592" t="s">
        <v>621</v>
      </c>
      <c r="C592" t="s">
        <v>59</v>
      </c>
      <c r="D592" t="s">
        <v>465</v>
      </c>
      <c r="E592" t="s">
        <v>655</v>
      </c>
      <c r="F592" s="1">
        <v>45637</v>
      </c>
      <c r="G592" s="1">
        <v>45727</v>
      </c>
      <c r="H592">
        <v>90</v>
      </c>
      <c r="I592">
        <v>9400.6299999999992</v>
      </c>
      <c r="J592">
        <v>9400.6299999999992</v>
      </c>
      <c r="K592">
        <v>0</v>
      </c>
      <c r="L592" s="1">
        <v>45746</v>
      </c>
      <c r="M592">
        <v>172</v>
      </c>
      <c r="N592">
        <v>82</v>
      </c>
      <c r="O592" t="s">
        <v>25</v>
      </c>
      <c r="P592">
        <v>0</v>
      </c>
      <c r="Q592">
        <v>0</v>
      </c>
    </row>
    <row r="593" spans="1:17" x14ac:dyDescent="0.25">
      <c r="A593" t="s">
        <v>620</v>
      </c>
      <c r="B593" t="s">
        <v>621</v>
      </c>
      <c r="C593" t="s">
        <v>59</v>
      </c>
      <c r="D593" t="s">
        <v>465</v>
      </c>
      <c r="E593" t="s">
        <v>656</v>
      </c>
      <c r="F593" s="1">
        <v>45739</v>
      </c>
      <c r="G593" s="1">
        <v>45784</v>
      </c>
      <c r="H593">
        <v>45</v>
      </c>
      <c r="I593">
        <v>39632.400000000001</v>
      </c>
      <c r="J593">
        <v>39632.400000000001</v>
      </c>
      <c r="K593">
        <v>0</v>
      </c>
      <c r="L593" s="1">
        <v>45783</v>
      </c>
      <c r="M593">
        <v>70</v>
      </c>
      <c r="N593">
        <v>25</v>
      </c>
      <c r="O593" t="s">
        <v>25</v>
      </c>
      <c r="P593">
        <v>0</v>
      </c>
      <c r="Q593">
        <v>0</v>
      </c>
    </row>
    <row r="594" spans="1:17" x14ac:dyDescent="0.25">
      <c r="A594" t="s">
        <v>620</v>
      </c>
      <c r="B594" t="s">
        <v>621</v>
      </c>
      <c r="C594" t="s">
        <v>59</v>
      </c>
      <c r="D594" t="s">
        <v>465</v>
      </c>
      <c r="E594" t="s">
        <v>657</v>
      </c>
      <c r="F594" s="1">
        <v>45677</v>
      </c>
      <c r="G594" s="1">
        <v>45737</v>
      </c>
      <c r="H594">
        <v>60</v>
      </c>
      <c r="I594">
        <v>25584.2</v>
      </c>
      <c r="J594">
        <v>25584.2</v>
      </c>
      <c r="K594">
        <v>0</v>
      </c>
      <c r="L594" s="1">
        <v>45750</v>
      </c>
      <c r="M594">
        <v>132</v>
      </c>
      <c r="N594">
        <v>72</v>
      </c>
      <c r="O594" t="s">
        <v>25</v>
      </c>
      <c r="P594">
        <v>0.01</v>
      </c>
      <c r="Q594">
        <v>0</v>
      </c>
    </row>
    <row r="595" spans="1:17" x14ac:dyDescent="0.25">
      <c r="A595" t="s">
        <v>658</v>
      </c>
      <c r="B595" t="s">
        <v>659</v>
      </c>
      <c r="C595" t="s">
        <v>105</v>
      </c>
      <c r="D595" t="s">
        <v>465</v>
      </c>
      <c r="E595" t="s">
        <v>660</v>
      </c>
      <c r="F595" s="1">
        <v>45763</v>
      </c>
      <c r="G595" s="1">
        <v>45823</v>
      </c>
      <c r="H595">
        <v>60</v>
      </c>
      <c r="I595">
        <v>55495.16</v>
      </c>
      <c r="J595">
        <v>0</v>
      </c>
      <c r="K595">
        <v>55495.16</v>
      </c>
      <c r="M595">
        <v>46</v>
      </c>
      <c r="N595">
        <v>0</v>
      </c>
      <c r="O595" t="s">
        <v>22</v>
      </c>
      <c r="P595">
        <v>0.02</v>
      </c>
      <c r="Q595">
        <v>0</v>
      </c>
    </row>
    <row r="596" spans="1:17" x14ac:dyDescent="0.25">
      <c r="A596" t="s">
        <v>658</v>
      </c>
      <c r="B596" t="s">
        <v>659</v>
      </c>
      <c r="C596" t="s">
        <v>105</v>
      </c>
      <c r="D596" t="s">
        <v>465</v>
      </c>
      <c r="E596" t="s">
        <v>661</v>
      </c>
      <c r="F596" s="1">
        <v>45790</v>
      </c>
      <c r="G596" s="1">
        <v>45880</v>
      </c>
      <c r="H596">
        <v>90</v>
      </c>
      <c r="I596">
        <v>11814.65</v>
      </c>
      <c r="J596">
        <v>0</v>
      </c>
      <c r="K596">
        <v>11814.65</v>
      </c>
      <c r="M596">
        <v>19</v>
      </c>
      <c r="N596">
        <v>0</v>
      </c>
      <c r="O596" t="s">
        <v>22</v>
      </c>
      <c r="P596">
        <v>0.01</v>
      </c>
      <c r="Q596">
        <v>0</v>
      </c>
    </row>
    <row r="597" spans="1:17" x14ac:dyDescent="0.25">
      <c r="A597" t="s">
        <v>658</v>
      </c>
      <c r="B597" t="s">
        <v>659</v>
      </c>
      <c r="C597" t="s">
        <v>105</v>
      </c>
      <c r="D597" t="s">
        <v>465</v>
      </c>
      <c r="E597" t="s">
        <v>662</v>
      </c>
      <c r="F597" s="1">
        <v>45704</v>
      </c>
      <c r="G597" s="1">
        <v>45794</v>
      </c>
      <c r="H597">
        <v>90</v>
      </c>
      <c r="I597">
        <v>35735.769999999997</v>
      </c>
      <c r="J597">
        <v>35735.769999999997</v>
      </c>
      <c r="K597">
        <v>0</v>
      </c>
      <c r="L597" s="1">
        <v>45750</v>
      </c>
      <c r="M597">
        <v>105</v>
      </c>
      <c r="N597">
        <v>15</v>
      </c>
      <c r="O597" t="s">
        <v>25</v>
      </c>
      <c r="P597">
        <v>0.01</v>
      </c>
      <c r="Q597">
        <v>357.36</v>
      </c>
    </row>
    <row r="598" spans="1:17" x14ac:dyDescent="0.25">
      <c r="A598" t="s">
        <v>658</v>
      </c>
      <c r="B598" t="s">
        <v>659</v>
      </c>
      <c r="C598" t="s">
        <v>105</v>
      </c>
      <c r="D598" t="s">
        <v>465</v>
      </c>
      <c r="E598" t="s">
        <v>663</v>
      </c>
      <c r="F598" s="1">
        <v>45737</v>
      </c>
      <c r="G598" s="1">
        <v>45752</v>
      </c>
      <c r="H598">
        <v>15</v>
      </c>
      <c r="I598">
        <v>59592.26</v>
      </c>
      <c r="J598">
        <v>59592.26</v>
      </c>
      <c r="K598">
        <v>0</v>
      </c>
      <c r="L598" s="1">
        <v>45762</v>
      </c>
      <c r="M598">
        <v>72</v>
      </c>
      <c r="N598">
        <v>57</v>
      </c>
      <c r="O598" t="s">
        <v>25</v>
      </c>
      <c r="P598">
        <v>0.01</v>
      </c>
      <c r="Q598">
        <v>0</v>
      </c>
    </row>
    <row r="599" spans="1:17" x14ac:dyDescent="0.25">
      <c r="A599" t="s">
        <v>658</v>
      </c>
      <c r="B599" t="s">
        <v>659</v>
      </c>
      <c r="C599" t="s">
        <v>105</v>
      </c>
      <c r="D599" t="s">
        <v>465</v>
      </c>
      <c r="E599" t="s">
        <v>664</v>
      </c>
      <c r="F599" s="1">
        <v>45706</v>
      </c>
      <c r="G599" s="1">
        <v>45751</v>
      </c>
      <c r="H599">
        <v>45</v>
      </c>
      <c r="I599">
        <v>30012.23</v>
      </c>
      <c r="J599">
        <v>14236.75</v>
      </c>
      <c r="K599">
        <v>15775.48</v>
      </c>
      <c r="L599" s="1">
        <v>45719</v>
      </c>
      <c r="M599">
        <v>103</v>
      </c>
      <c r="N599">
        <v>58</v>
      </c>
      <c r="O599" t="s">
        <v>29</v>
      </c>
      <c r="P599">
        <v>0.02</v>
      </c>
      <c r="Q599">
        <v>0</v>
      </c>
    </row>
    <row r="600" spans="1:17" x14ac:dyDescent="0.25">
      <c r="A600" t="s">
        <v>658</v>
      </c>
      <c r="B600" t="s">
        <v>659</v>
      </c>
      <c r="C600" t="s">
        <v>105</v>
      </c>
      <c r="D600" t="s">
        <v>465</v>
      </c>
      <c r="E600" t="s">
        <v>665</v>
      </c>
      <c r="F600" s="1">
        <v>45703</v>
      </c>
      <c r="G600" s="1">
        <v>45748</v>
      </c>
      <c r="H600">
        <v>45</v>
      </c>
      <c r="I600">
        <v>15055.08</v>
      </c>
      <c r="J600">
        <v>15055.08</v>
      </c>
      <c r="K600">
        <v>0</v>
      </c>
      <c r="L600" s="1">
        <v>45759</v>
      </c>
      <c r="M600">
        <v>106</v>
      </c>
      <c r="N600">
        <v>61</v>
      </c>
      <c r="O600" t="s">
        <v>25</v>
      </c>
      <c r="P600">
        <v>0</v>
      </c>
      <c r="Q600">
        <v>0</v>
      </c>
    </row>
    <row r="601" spans="1:17" x14ac:dyDescent="0.25">
      <c r="A601" t="s">
        <v>658</v>
      </c>
      <c r="B601" t="s">
        <v>659</v>
      </c>
      <c r="C601" t="s">
        <v>105</v>
      </c>
      <c r="D601" t="s">
        <v>465</v>
      </c>
      <c r="E601" t="s">
        <v>666</v>
      </c>
      <c r="F601" s="1">
        <v>45799</v>
      </c>
      <c r="G601" s="1">
        <v>45859</v>
      </c>
      <c r="H601">
        <v>60</v>
      </c>
      <c r="I601">
        <v>44643.67</v>
      </c>
      <c r="J601">
        <v>0</v>
      </c>
      <c r="K601">
        <v>44643.67</v>
      </c>
      <c r="M601">
        <v>10</v>
      </c>
      <c r="N601">
        <v>0</v>
      </c>
      <c r="O601" t="s">
        <v>22</v>
      </c>
      <c r="P601">
        <v>0.02</v>
      </c>
      <c r="Q601">
        <v>0</v>
      </c>
    </row>
    <row r="602" spans="1:17" x14ac:dyDescent="0.25">
      <c r="A602" t="s">
        <v>658</v>
      </c>
      <c r="B602" t="s">
        <v>659</v>
      </c>
      <c r="C602" t="s">
        <v>105</v>
      </c>
      <c r="D602" t="s">
        <v>465</v>
      </c>
      <c r="E602" t="s">
        <v>667</v>
      </c>
      <c r="F602" s="1">
        <v>45703</v>
      </c>
      <c r="G602" s="1">
        <v>45733</v>
      </c>
      <c r="H602">
        <v>30</v>
      </c>
      <c r="I602">
        <v>22767.86</v>
      </c>
      <c r="J602">
        <v>22767.86</v>
      </c>
      <c r="K602">
        <v>0</v>
      </c>
      <c r="L602" s="1">
        <v>45704</v>
      </c>
      <c r="M602">
        <v>106</v>
      </c>
      <c r="N602">
        <v>76</v>
      </c>
      <c r="O602" t="s">
        <v>25</v>
      </c>
      <c r="P602">
        <v>0.01</v>
      </c>
      <c r="Q602">
        <v>227.68</v>
      </c>
    </row>
    <row r="603" spans="1:17" x14ac:dyDescent="0.25">
      <c r="A603" t="s">
        <v>658</v>
      </c>
      <c r="B603" t="s">
        <v>659</v>
      </c>
      <c r="C603" t="s">
        <v>105</v>
      </c>
      <c r="D603" t="s">
        <v>465</v>
      </c>
      <c r="E603" t="s">
        <v>668</v>
      </c>
      <c r="F603" s="1">
        <v>45772</v>
      </c>
      <c r="G603" s="1">
        <v>45802</v>
      </c>
      <c r="H603">
        <v>30</v>
      </c>
      <c r="I603">
        <v>37079.96</v>
      </c>
      <c r="J603">
        <v>37079.96</v>
      </c>
      <c r="K603">
        <v>0</v>
      </c>
      <c r="L603" s="1">
        <v>45805</v>
      </c>
      <c r="M603">
        <v>37</v>
      </c>
      <c r="N603">
        <v>7</v>
      </c>
      <c r="O603" t="s">
        <v>25</v>
      </c>
      <c r="P603">
        <v>0.01</v>
      </c>
      <c r="Q603">
        <v>0</v>
      </c>
    </row>
    <row r="604" spans="1:17" x14ac:dyDescent="0.25">
      <c r="A604" t="s">
        <v>658</v>
      </c>
      <c r="B604" t="s">
        <v>659</v>
      </c>
      <c r="C604" t="s">
        <v>105</v>
      </c>
      <c r="D604" t="s">
        <v>465</v>
      </c>
      <c r="E604" t="s">
        <v>669</v>
      </c>
      <c r="F604" s="1">
        <v>45762</v>
      </c>
      <c r="G604" s="1">
        <v>45792</v>
      </c>
      <c r="H604">
        <v>30</v>
      </c>
      <c r="I604">
        <v>71800.62</v>
      </c>
      <c r="J604">
        <v>71800.62</v>
      </c>
      <c r="K604">
        <v>0</v>
      </c>
      <c r="L604" s="1">
        <v>45766</v>
      </c>
      <c r="M604">
        <v>47</v>
      </c>
      <c r="N604">
        <v>17</v>
      </c>
      <c r="O604" t="s">
        <v>25</v>
      </c>
      <c r="P604">
        <v>0</v>
      </c>
      <c r="Q604">
        <v>0</v>
      </c>
    </row>
    <row r="605" spans="1:17" x14ac:dyDescent="0.25">
      <c r="A605" t="s">
        <v>658</v>
      </c>
      <c r="B605" t="s">
        <v>659</v>
      </c>
      <c r="C605" t="s">
        <v>105</v>
      </c>
      <c r="D605" t="s">
        <v>465</v>
      </c>
      <c r="E605" t="s">
        <v>670</v>
      </c>
      <c r="F605" s="1">
        <v>45630</v>
      </c>
      <c r="G605" s="1">
        <v>45675</v>
      </c>
      <c r="H605">
        <v>45</v>
      </c>
      <c r="I605">
        <v>12850.29</v>
      </c>
      <c r="J605">
        <v>12850.29</v>
      </c>
      <c r="K605">
        <v>0</v>
      </c>
      <c r="L605" s="1">
        <v>45663</v>
      </c>
      <c r="M605">
        <v>179</v>
      </c>
      <c r="N605">
        <v>134</v>
      </c>
      <c r="O605" t="s">
        <v>25</v>
      </c>
      <c r="P605">
        <v>2.5000000000000001E-2</v>
      </c>
      <c r="Q605">
        <v>321.26</v>
      </c>
    </row>
    <row r="606" spans="1:17" x14ac:dyDescent="0.25">
      <c r="A606" t="s">
        <v>658</v>
      </c>
      <c r="B606" t="s">
        <v>659</v>
      </c>
      <c r="C606" t="s">
        <v>105</v>
      </c>
      <c r="D606" t="s">
        <v>465</v>
      </c>
      <c r="E606" t="s">
        <v>671</v>
      </c>
      <c r="F606" s="1">
        <v>45744</v>
      </c>
      <c r="G606" s="1">
        <v>45804</v>
      </c>
      <c r="H606">
        <v>60</v>
      </c>
      <c r="I606">
        <v>71686.55</v>
      </c>
      <c r="J606">
        <v>0</v>
      </c>
      <c r="K606">
        <v>71686.55</v>
      </c>
      <c r="M606">
        <v>65</v>
      </c>
      <c r="N606">
        <v>5</v>
      </c>
      <c r="O606" t="s">
        <v>36</v>
      </c>
      <c r="P606">
        <v>0.02</v>
      </c>
      <c r="Q606">
        <v>0</v>
      </c>
    </row>
    <row r="607" spans="1:17" x14ac:dyDescent="0.25">
      <c r="A607" t="s">
        <v>658</v>
      </c>
      <c r="B607" t="s">
        <v>659</v>
      </c>
      <c r="C607" t="s">
        <v>105</v>
      </c>
      <c r="D607" t="s">
        <v>465</v>
      </c>
      <c r="E607" t="s">
        <v>672</v>
      </c>
      <c r="F607" s="1">
        <v>45712</v>
      </c>
      <c r="G607" s="1">
        <v>45802</v>
      </c>
      <c r="H607">
        <v>90</v>
      </c>
      <c r="I607">
        <v>74827.87</v>
      </c>
      <c r="J607">
        <v>74827.87</v>
      </c>
      <c r="K607">
        <v>0</v>
      </c>
      <c r="L607" s="1">
        <v>45734</v>
      </c>
      <c r="M607">
        <v>97</v>
      </c>
      <c r="N607">
        <v>7</v>
      </c>
      <c r="O607" t="s">
        <v>25</v>
      </c>
      <c r="P607">
        <v>0.01</v>
      </c>
      <c r="Q607">
        <v>748.28</v>
      </c>
    </row>
    <row r="608" spans="1:17" x14ac:dyDescent="0.25">
      <c r="A608" t="s">
        <v>658</v>
      </c>
      <c r="B608" t="s">
        <v>659</v>
      </c>
      <c r="C608" t="s">
        <v>105</v>
      </c>
      <c r="D608" t="s">
        <v>465</v>
      </c>
      <c r="E608" t="s">
        <v>673</v>
      </c>
      <c r="F608" s="1">
        <v>45633</v>
      </c>
      <c r="G608" s="1">
        <v>45648</v>
      </c>
      <c r="H608">
        <v>15</v>
      </c>
      <c r="I608">
        <v>75963.22</v>
      </c>
      <c r="J608">
        <v>75963.22</v>
      </c>
      <c r="K608">
        <v>0</v>
      </c>
      <c r="L608" s="1">
        <v>45642</v>
      </c>
      <c r="M608">
        <v>176</v>
      </c>
      <c r="N608">
        <v>161</v>
      </c>
      <c r="O608" t="s">
        <v>25</v>
      </c>
      <c r="P608">
        <v>0.02</v>
      </c>
      <c r="Q608">
        <v>1519.26</v>
      </c>
    </row>
    <row r="609" spans="1:17" x14ac:dyDescent="0.25">
      <c r="A609" t="s">
        <v>658</v>
      </c>
      <c r="B609" t="s">
        <v>659</v>
      </c>
      <c r="C609" t="s">
        <v>105</v>
      </c>
      <c r="D609" t="s">
        <v>465</v>
      </c>
      <c r="E609" t="s">
        <v>674</v>
      </c>
      <c r="F609" s="1">
        <v>45705</v>
      </c>
      <c r="G609" s="1">
        <v>45765</v>
      </c>
      <c r="H609">
        <v>60</v>
      </c>
      <c r="I609">
        <v>13649.61</v>
      </c>
      <c r="J609">
        <v>0</v>
      </c>
      <c r="K609">
        <v>13649.61</v>
      </c>
      <c r="M609">
        <v>104</v>
      </c>
      <c r="N609">
        <v>44</v>
      </c>
      <c r="O609" t="s">
        <v>36</v>
      </c>
      <c r="P609">
        <v>0.02</v>
      </c>
      <c r="Q609">
        <v>0</v>
      </c>
    </row>
    <row r="610" spans="1:17" x14ac:dyDescent="0.25">
      <c r="A610" t="s">
        <v>658</v>
      </c>
      <c r="B610" t="s">
        <v>659</v>
      </c>
      <c r="C610" t="s">
        <v>105</v>
      </c>
      <c r="D610" t="s">
        <v>465</v>
      </c>
      <c r="E610" t="s">
        <v>675</v>
      </c>
      <c r="F610" s="1">
        <v>45702</v>
      </c>
      <c r="G610" s="1">
        <v>45762</v>
      </c>
      <c r="H610">
        <v>60</v>
      </c>
      <c r="I610">
        <v>74755.66</v>
      </c>
      <c r="J610">
        <v>0</v>
      </c>
      <c r="K610">
        <v>74755.66</v>
      </c>
      <c r="M610">
        <v>107</v>
      </c>
      <c r="N610">
        <v>47</v>
      </c>
      <c r="O610" t="s">
        <v>36</v>
      </c>
      <c r="P610">
        <v>0.01</v>
      </c>
      <c r="Q610">
        <v>0</v>
      </c>
    </row>
    <row r="611" spans="1:17" x14ac:dyDescent="0.25">
      <c r="A611" t="s">
        <v>658</v>
      </c>
      <c r="B611" t="s">
        <v>659</v>
      </c>
      <c r="C611" t="s">
        <v>105</v>
      </c>
      <c r="D611" t="s">
        <v>465</v>
      </c>
      <c r="E611" t="s">
        <v>676</v>
      </c>
      <c r="F611" s="1">
        <v>45683</v>
      </c>
      <c r="G611" s="1">
        <v>45713</v>
      </c>
      <c r="H611">
        <v>30</v>
      </c>
      <c r="I611">
        <v>56299.37</v>
      </c>
      <c r="J611">
        <v>56299.37</v>
      </c>
      <c r="K611">
        <v>0</v>
      </c>
      <c r="L611" s="1">
        <v>45720</v>
      </c>
      <c r="M611">
        <v>126</v>
      </c>
      <c r="N611">
        <v>96</v>
      </c>
      <c r="O611" t="s">
        <v>25</v>
      </c>
      <c r="P611">
        <v>2.5000000000000001E-2</v>
      </c>
      <c r="Q611">
        <v>0</v>
      </c>
    </row>
    <row r="612" spans="1:17" x14ac:dyDescent="0.25">
      <c r="A612" t="s">
        <v>658</v>
      </c>
      <c r="B612" t="s">
        <v>659</v>
      </c>
      <c r="C612" t="s">
        <v>105</v>
      </c>
      <c r="D612" t="s">
        <v>465</v>
      </c>
      <c r="E612" t="s">
        <v>677</v>
      </c>
      <c r="F612" s="1">
        <v>45733</v>
      </c>
      <c r="G612" s="1">
        <v>45763</v>
      </c>
      <c r="H612">
        <v>30</v>
      </c>
      <c r="I612">
        <v>33909.19</v>
      </c>
      <c r="J612">
        <v>0</v>
      </c>
      <c r="K612">
        <v>33909.19</v>
      </c>
      <c r="M612">
        <v>76</v>
      </c>
      <c r="N612">
        <v>46</v>
      </c>
      <c r="O612" t="s">
        <v>36</v>
      </c>
      <c r="P612">
        <v>0</v>
      </c>
      <c r="Q612">
        <v>0</v>
      </c>
    </row>
    <row r="613" spans="1:17" x14ac:dyDescent="0.25">
      <c r="A613" t="s">
        <v>658</v>
      </c>
      <c r="B613" t="s">
        <v>659</v>
      </c>
      <c r="C613" t="s">
        <v>105</v>
      </c>
      <c r="D613" t="s">
        <v>465</v>
      </c>
      <c r="E613" t="s">
        <v>678</v>
      </c>
      <c r="F613" s="1">
        <v>45776</v>
      </c>
      <c r="G613" s="1">
        <v>45821</v>
      </c>
      <c r="H613">
        <v>45</v>
      </c>
      <c r="I613">
        <v>68301.850000000006</v>
      </c>
      <c r="J613">
        <v>0</v>
      </c>
      <c r="K613">
        <v>68301.850000000006</v>
      </c>
      <c r="M613">
        <v>33</v>
      </c>
      <c r="N613">
        <v>0</v>
      </c>
      <c r="O613" t="s">
        <v>22</v>
      </c>
      <c r="P613">
        <v>0</v>
      </c>
      <c r="Q613">
        <v>0</v>
      </c>
    </row>
    <row r="614" spans="1:17" x14ac:dyDescent="0.25">
      <c r="A614" t="s">
        <v>658</v>
      </c>
      <c r="B614" t="s">
        <v>659</v>
      </c>
      <c r="C614" t="s">
        <v>105</v>
      </c>
      <c r="D614" t="s">
        <v>465</v>
      </c>
      <c r="E614" t="s">
        <v>679</v>
      </c>
      <c r="F614" s="1">
        <v>45644</v>
      </c>
      <c r="G614" s="1">
        <v>45734</v>
      </c>
      <c r="H614">
        <v>90</v>
      </c>
      <c r="I614">
        <v>10985</v>
      </c>
      <c r="J614">
        <v>2186.67</v>
      </c>
      <c r="K614">
        <v>8798.33</v>
      </c>
      <c r="L614" s="1">
        <v>45673</v>
      </c>
      <c r="M614">
        <v>165</v>
      </c>
      <c r="N614">
        <v>75</v>
      </c>
      <c r="O614" t="s">
        <v>29</v>
      </c>
      <c r="P614">
        <v>2.5000000000000001E-2</v>
      </c>
      <c r="Q614">
        <v>0</v>
      </c>
    </row>
    <row r="615" spans="1:17" x14ac:dyDescent="0.25">
      <c r="A615" t="s">
        <v>658</v>
      </c>
      <c r="B615" t="s">
        <v>659</v>
      </c>
      <c r="C615" t="s">
        <v>105</v>
      </c>
      <c r="D615" t="s">
        <v>465</v>
      </c>
      <c r="E615" t="s">
        <v>680</v>
      </c>
      <c r="F615" s="1">
        <v>45673</v>
      </c>
      <c r="G615" s="1">
        <v>45703</v>
      </c>
      <c r="H615">
        <v>30</v>
      </c>
      <c r="I615">
        <v>24373.83</v>
      </c>
      <c r="J615">
        <v>24373.83</v>
      </c>
      <c r="K615">
        <v>0</v>
      </c>
      <c r="L615" s="1">
        <v>45688</v>
      </c>
      <c r="M615">
        <v>136</v>
      </c>
      <c r="N615">
        <v>106</v>
      </c>
      <c r="O615" t="s">
        <v>25</v>
      </c>
      <c r="P615">
        <v>2.5000000000000001E-2</v>
      </c>
      <c r="Q615">
        <v>609.35</v>
      </c>
    </row>
    <row r="616" spans="1:17" x14ac:dyDescent="0.25">
      <c r="A616" t="s">
        <v>658</v>
      </c>
      <c r="B616" t="s">
        <v>659</v>
      </c>
      <c r="C616" t="s">
        <v>105</v>
      </c>
      <c r="D616" t="s">
        <v>465</v>
      </c>
      <c r="E616" t="s">
        <v>681</v>
      </c>
      <c r="F616" s="1">
        <v>45662</v>
      </c>
      <c r="G616" s="1">
        <v>45722</v>
      </c>
      <c r="H616">
        <v>60</v>
      </c>
      <c r="I616">
        <v>43095.91</v>
      </c>
      <c r="J616">
        <v>0</v>
      </c>
      <c r="K616">
        <v>43095.91</v>
      </c>
      <c r="M616">
        <v>147</v>
      </c>
      <c r="N616">
        <v>87</v>
      </c>
      <c r="O616" t="s">
        <v>36</v>
      </c>
      <c r="P616">
        <v>0.02</v>
      </c>
      <c r="Q616">
        <v>0</v>
      </c>
    </row>
    <row r="617" spans="1:17" x14ac:dyDescent="0.25">
      <c r="A617" t="s">
        <v>658</v>
      </c>
      <c r="B617" t="s">
        <v>659</v>
      </c>
      <c r="C617" t="s">
        <v>105</v>
      </c>
      <c r="D617" t="s">
        <v>465</v>
      </c>
      <c r="E617" t="s">
        <v>682</v>
      </c>
      <c r="F617" s="1">
        <v>45712</v>
      </c>
      <c r="G617" s="1">
        <v>45757</v>
      </c>
      <c r="H617">
        <v>45</v>
      </c>
      <c r="I617">
        <v>20845.59</v>
      </c>
      <c r="J617">
        <v>20845.59</v>
      </c>
      <c r="K617">
        <v>0</v>
      </c>
      <c r="L617" s="1">
        <v>45745</v>
      </c>
      <c r="M617">
        <v>97</v>
      </c>
      <c r="N617">
        <v>52</v>
      </c>
      <c r="O617" t="s">
        <v>25</v>
      </c>
      <c r="P617">
        <v>0.01</v>
      </c>
      <c r="Q617">
        <v>208.46</v>
      </c>
    </row>
    <row r="618" spans="1:17" x14ac:dyDescent="0.25">
      <c r="A618" t="s">
        <v>658</v>
      </c>
      <c r="B618" t="s">
        <v>659</v>
      </c>
      <c r="C618" t="s">
        <v>105</v>
      </c>
      <c r="D618" t="s">
        <v>465</v>
      </c>
      <c r="E618" t="s">
        <v>683</v>
      </c>
      <c r="F618" s="1">
        <v>45699</v>
      </c>
      <c r="G618" s="1">
        <v>45729</v>
      </c>
      <c r="H618">
        <v>30</v>
      </c>
      <c r="I618">
        <v>24534.37</v>
      </c>
      <c r="J618">
        <v>24534.37</v>
      </c>
      <c r="K618">
        <v>0</v>
      </c>
      <c r="L618" s="1">
        <v>45729</v>
      </c>
      <c r="M618">
        <v>110</v>
      </c>
      <c r="N618">
        <v>80</v>
      </c>
      <c r="O618" t="s">
        <v>25</v>
      </c>
      <c r="P618">
        <v>0</v>
      </c>
      <c r="Q618">
        <v>0</v>
      </c>
    </row>
    <row r="619" spans="1:17" x14ac:dyDescent="0.25">
      <c r="A619" t="s">
        <v>658</v>
      </c>
      <c r="B619" t="s">
        <v>659</v>
      </c>
      <c r="C619" t="s">
        <v>105</v>
      </c>
      <c r="D619" t="s">
        <v>465</v>
      </c>
      <c r="E619" t="s">
        <v>684</v>
      </c>
      <c r="F619" s="1">
        <v>45698</v>
      </c>
      <c r="G619" s="1">
        <v>45758</v>
      </c>
      <c r="H619">
        <v>60</v>
      </c>
      <c r="I619">
        <v>37875.47</v>
      </c>
      <c r="J619">
        <v>4640.99</v>
      </c>
      <c r="K619">
        <v>33234.480000000003</v>
      </c>
      <c r="L619" s="1">
        <v>45785</v>
      </c>
      <c r="M619">
        <v>111</v>
      </c>
      <c r="N619">
        <v>51</v>
      </c>
      <c r="O619" t="s">
        <v>29</v>
      </c>
      <c r="P619">
        <v>0</v>
      </c>
      <c r="Q619">
        <v>0</v>
      </c>
    </row>
    <row r="620" spans="1:17" x14ac:dyDescent="0.25">
      <c r="A620" t="s">
        <v>658</v>
      </c>
      <c r="B620" t="s">
        <v>659</v>
      </c>
      <c r="C620" t="s">
        <v>105</v>
      </c>
      <c r="D620" t="s">
        <v>465</v>
      </c>
      <c r="E620" t="s">
        <v>685</v>
      </c>
      <c r="F620" s="1">
        <v>45754</v>
      </c>
      <c r="G620" s="1">
        <v>45769</v>
      </c>
      <c r="H620">
        <v>15</v>
      </c>
      <c r="I620">
        <v>38941.08</v>
      </c>
      <c r="J620">
        <v>38941.08</v>
      </c>
      <c r="K620">
        <v>0</v>
      </c>
      <c r="L620" s="1">
        <v>45775</v>
      </c>
      <c r="M620">
        <v>55</v>
      </c>
      <c r="N620">
        <v>40</v>
      </c>
      <c r="O620" t="s">
        <v>25</v>
      </c>
      <c r="P620">
        <v>0.02</v>
      </c>
      <c r="Q620">
        <v>0</v>
      </c>
    </row>
    <row r="621" spans="1:17" x14ac:dyDescent="0.25">
      <c r="A621" t="s">
        <v>658</v>
      </c>
      <c r="B621" t="s">
        <v>659</v>
      </c>
      <c r="C621" t="s">
        <v>105</v>
      </c>
      <c r="D621" t="s">
        <v>465</v>
      </c>
      <c r="E621" t="s">
        <v>686</v>
      </c>
      <c r="F621" s="1">
        <v>45753</v>
      </c>
      <c r="G621" s="1">
        <v>45783</v>
      </c>
      <c r="H621">
        <v>30</v>
      </c>
      <c r="I621">
        <v>75151.05</v>
      </c>
      <c r="J621">
        <v>75151.05</v>
      </c>
      <c r="K621">
        <v>0</v>
      </c>
      <c r="L621" s="1">
        <v>45768</v>
      </c>
      <c r="M621">
        <v>56</v>
      </c>
      <c r="N621">
        <v>26</v>
      </c>
      <c r="O621" t="s">
        <v>25</v>
      </c>
      <c r="P621">
        <v>0.02</v>
      </c>
      <c r="Q621">
        <v>1503.02</v>
      </c>
    </row>
    <row r="622" spans="1:17" x14ac:dyDescent="0.25">
      <c r="A622" t="s">
        <v>658</v>
      </c>
      <c r="B622" t="s">
        <v>659</v>
      </c>
      <c r="C622" t="s">
        <v>105</v>
      </c>
      <c r="D622" t="s">
        <v>465</v>
      </c>
      <c r="E622" t="s">
        <v>687</v>
      </c>
      <c r="F622" s="1">
        <v>45723</v>
      </c>
      <c r="G622" s="1">
        <v>45738</v>
      </c>
      <c r="H622">
        <v>15</v>
      </c>
      <c r="I622">
        <v>58622.53</v>
      </c>
      <c r="J622">
        <v>58622.53</v>
      </c>
      <c r="K622">
        <v>0</v>
      </c>
      <c r="L622" s="1">
        <v>45744</v>
      </c>
      <c r="M622">
        <v>86</v>
      </c>
      <c r="N622">
        <v>71</v>
      </c>
      <c r="O622" t="s">
        <v>25</v>
      </c>
      <c r="P622">
        <v>0</v>
      </c>
      <c r="Q622">
        <v>0</v>
      </c>
    </row>
    <row r="623" spans="1:17" x14ac:dyDescent="0.25">
      <c r="A623" t="s">
        <v>658</v>
      </c>
      <c r="B623" t="s">
        <v>659</v>
      </c>
      <c r="C623" t="s">
        <v>105</v>
      </c>
      <c r="D623" t="s">
        <v>465</v>
      </c>
      <c r="E623" t="s">
        <v>688</v>
      </c>
      <c r="F623" s="1">
        <v>45727</v>
      </c>
      <c r="G623" s="1">
        <v>45772</v>
      </c>
      <c r="H623">
        <v>45</v>
      </c>
      <c r="I623">
        <v>27681.88</v>
      </c>
      <c r="J623">
        <v>27681.88</v>
      </c>
      <c r="K623">
        <v>0</v>
      </c>
      <c r="L623" s="1">
        <v>45746</v>
      </c>
      <c r="M623">
        <v>82</v>
      </c>
      <c r="N623">
        <v>37</v>
      </c>
      <c r="O623" t="s">
        <v>25</v>
      </c>
      <c r="P623">
        <v>2.5000000000000001E-2</v>
      </c>
      <c r="Q623">
        <v>692.05</v>
      </c>
    </row>
    <row r="624" spans="1:17" x14ac:dyDescent="0.25">
      <c r="A624" t="s">
        <v>658</v>
      </c>
      <c r="B624" t="s">
        <v>659</v>
      </c>
      <c r="C624" t="s">
        <v>105</v>
      </c>
      <c r="D624" t="s">
        <v>465</v>
      </c>
      <c r="E624" t="s">
        <v>689</v>
      </c>
      <c r="F624" s="1">
        <v>45785</v>
      </c>
      <c r="G624" s="1">
        <v>45845</v>
      </c>
      <c r="H624">
        <v>60</v>
      </c>
      <c r="I624">
        <v>8634.43</v>
      </c>
      <c r="J624">
        <v>0</v>
      </c>
      <c r="K624">
        <v>8634.43</v>
      </c>
      <c r="M624">
        <v>24</v>
      </c>
      <c r="N624">
        <v>0</v>
      </c>
      <c r="O624" t="s">
        <v>22</v>
      </c>
      <c r="P624">
        <v>0.02</v>
      </c>
      <c r="Q624">
        <v>0</v>
      </c>
    </row>
    <row r="625" spans="1:17" x14ac:dyDescent="0.25">
      <c r="A625" t="s">
        <v>658</v>
      </c>
      <c r="B625" t="s">
        <v>659</v>
      </c>
      <c r="C625" t="s">
        <v>105</v>
      </c>
      <c r="D625" t="s">
        <v>465</v>
      </c>
      <c r="E625" t="s">
        <v>690</v>
      </c>
      <c r="F625" s="1">
        <v>45721</v>
      </c>
      <c r="G625" s="1">
        <v>45781</v>
      </c>
      <c r="H625">
        <v>60</v>
      </c>
      <c r="I625">
        <v>36415.17</v>
      </c>
      <c r="J625">
        <v>36415.17</v>
      </c>
      <c r="K625">
        <v>0</v>
      </c>
      <c r="L625" s="1">
        <v>45779</v>
      </c>
      <c r="M625">
        <v>88</v>
      </c>
      <c r="N625">
        <v>28</v>
      </c>
      <c r="O625" t="s">
        <v>25</v>
      </c>
      <c r="P625">
        <v>2.5000000000000001E-2</v>
      </c>
      <c r="Q625">
        <v>0</v>
      </c>
    </row>
    <row r="626" spans="1:17" x14ac:dyDescent="0.25">
      <c r="A626" t="s">
        <v>658</v>
      </c>
      <c r="B626" t="s">
        <v>659</v>
      </c>
      <c r="C626" t="s">
        <v>105</v>
      </c>
      <c r="D626" t="s">
        <v>465</v>
      </c>
      <c r="E626" t="s">
        <v>691</v>
      </c>
      <c r="F626" s="1">
        <v>45690</v>
      </c>
      <c r="G626" s="1">
        <v>45750</v>
      </c>
      <c r="H626">
        <v>60</v>
      </c>
      <c r="I626">
        <v>41445.089999999997</v>
      </c>
      <c r="J626">
        <v>41445.089999999997</v>
      </c>
      <c r="K626">
        <v>0</v>
      </c>
      <c r="L626" s="1">
        <v>45765</v>
      </c>
      <c r="M626">
        <v>119</v>
      </c>
      <c r="N626">
        <v>59</v>
      </c>
      <c r="O626" t="s">
        <v>25</v>
      </c>
      <c r="P626">
        <v>0.02</v>
      </c>
      <c r="Q626">
        <v>0</v>
      </c>
    </row>
    <row r="627" spans="1:17" x14ac:dyDescent="0.25">
      <c r="A627" t="s">
        <v>658</v>
      </c>
      <c r="B627" t="s">
        <v>659</v>
      </c>
      <c r="C627" t="s">
        <v>105</v>
      </c>
      <c r="D627" t="s">
        <v>465</v>
      </c>
      <c r="E627" t="s">
        <v>692</v>
      </c>
      <c r="F627" s="1">
        <v>45736</v>
      </c>
      <c r="G627" s="1">
        <v>45796</v>
      </c>
      <c r="H627">
        <v>60</v>
      </c>
      <c r="I627">
        <v>27795.99</v>
      </c>
      <c r="J627">
        <v>27795.99</v>
      </c>
      <c r="K627">
        <v>0</v>
      </c>
      <c r="L627" s="1">
        <v>45807</v>
      </c>
      <c r="M627">
        <v>73</v>
      </c>
      <c r="N627">
        <v>13</v>
      </c>
      <c r="O627" t="s">
        <v>25</v>
      </c>
      <c r="P627">
        <v>0.02</v>
      </c>
      <c r="Q627">
        <v>0</v>
      </c>
    </row>
    <row r="628" spans="1:17" x14ac:dyDescent="0.25">
      <c r="A628" t="s">
        <v>658</v>
      </c>
      <c r="B628" t="s">
        <v>659</v>
      </c>
      <c r="C628" t="s">
        <v>105</v>
      </c>
      <c r="D628" t="s">
        <v>465</v>
      </c>
      <c r="E628" t="s">
        <v>693</v>
      </c>
      <c r="F628" s="1">
        <v>45636</v>
      </c>
      <c r="G628" s="1">
        <v>45666</v>
      </c>
      <c r="H628">
        <v>30</v>
      </c>
      <c r="I628">
        <v>58624.03</v>
      </c>
      <c r="J628">
        <v>58624.03</v>
      </c>
      <c r="K628">
        <v>0</v>
      </c>
      <c r="L628" s="1">
        <v>45666</v>
      </c>
      <c r="M628">
        <v>173</v>
      </c>
      <c r="N628">
        <v>143</v>
      </c>
      <c r="O628" t="s">
        <v>25</v>
      </c>
      <c r="P628">
        <v>2.5000000000000001E-2</v>
      </c>
      <c r="Q628">
        <v>0</v>
      </c>
    </row>
    <row r="629" spans="1:17" x14ac:dyDescent="0.25">
      <c r="A629" t="s">
        <v>658</v>
      </c>
      <c r="B629" t="s">
        <v>659</v>
      </c>
      <c r="C629" t="s">
        <v>105</v>
      </c>
      <c r="D629" t="s">
        <v>465</v>
      </c>
      <c r="E629" t="s">
        <v>694</v>
      </c>
      <c r="F629" s="1">
        <v>45686</v>
      </c>
      <c r="G629" s="1">
        <v>45746</v>
      </c>
      <c r="H629">
        <v>60</v>
      </c>
      <c r="I629">
        <v>25312.16</v>
      </c>
      <c r="J629">
        <v>25312.16</v>
      </c>
      <c r="K629">
        <v>0</v>
      </c>
      <c r="L629" s="1">
        <v>45766</v>
      </c>
      <c r="M629">
        <v>123</v>
      </c>
      <c r="N629">
        <v>63</v>
      </c>
      <c r="O629" t="s">
        <v>25</v>
      </c>
      <c r="P629">
        <v>0.01</v>
      </c>
      <c r="Q629">
        <v>0</v>
      </c>
    </row>
    <row r="630" spans="1:17" x14ac:dyDescent="0.25">
      <c r="A630" t="s">
        <v>658</v>
      </c>
      <c r="B630" t="s">
        <v>659</v>
      </c>
      <c r="C630" t="s">
        <v>105</v>
      </c>
      <c r="D630" t="s">
        <v>465</v>
      </c>
      <c r="E630" t="s">
        <v>695</v>
      </c>
      <c r="F630" s="1">
        <v>45656</v>
      </c>
      <c r="G630" s="1">
        <v>45701</v>
      </c>
      <c r="H630">
        <v>45</v>
      </c>
      <c r="I630">
        <v>32966.17</v>
      </c>
      <c r="J630">
        <v>32966.17</v>
      </c>
      <c r="K630">
        <v>0</v>
      </c>
      <c r="L630" s="1">
        <v>45679</v>
      </c>
      <c r="M630">
        <v>153</v>
      </c>
      <c r="N630">
        <v>108</v>
      </c>
      <c r="O630" t="s">
        <v>25</v>
      </c>
      <c r="P630">
        <v>0.01</v>
      </c>
      <c r="Q630">
        <v>329.66</v>
      </c>
    </row>
    <row r="631" spans="1:17" x14ac:dyDescent="0.25">
      <c r="A631" t="s">
        <v>658</v>
      </c>
      <c r="B631" t="s">
        <v>659</v>
      </c>
      <c r="C631" t="s">
        <v>105</v>
      </c>
      <c r="D631" t="s">
        <v>465</v>
      </c>
      <c r="E631" t="s">
        <v>696</v>
      </c>
      <c r="F631" s="1">
        <v>45630</v>
      </c>
      <c r="G631" s="1">
        <v>45645</v>
      </c>
      <c r="H631">
        <v>15</v>
      </c>
      <c r="I631">
        <v>54461.45</v>
      </c>
      <c r="J631">
        <v>54461.45</v>
      </c>
      <c r="K631">
        <v>0</v>
      </c>
      <c r="L631" s="1">
        <v>45644</v>
      </c>
      <c r="M631">
        <v>179</v>
      </c>
      <c r="N631">
        <v>164</v>
      </c>
      <c r="O631" t="s">
        <v>25</v>
      </c>
      <c r="P631">
        <v>0</v>
      </c>
      <c r="Q631">
        <v>0</v>
      </c>
    </row>
    <row r="632" spans="1:17" x14ac:dyDescent="0.25">
      <c r="A632" t="s">
        <v>658</v>
      </c>
      <c r="B632" t="s">
        <v>659</v>
      </c>
      <c r="C632" t="s">
        <v>105</v>
      </c>
      <c r="D632" t="s">
        <v>465</v>
      </c>
      <c r="E632" t="s">
        <v>697</v>
      </c>
      <c r="F632" s="1">
        <v>45781</v>
      </c>
      <c r="G632" s="1">
        <v>45871</v>
      </c>
      <c r="H632">
        <v>90</v>
      </c>
      <c r="I632">
        <v>12024.72</v>
      </c>
      <c r="J632">
        <v>0</v>
      </c>
      <c r="K632">
        <v>12024.72</v>
      </c>
      <c r="M632">
        <v>28</v>
      </c>
      <c r="N632">
        <v>0</v>
      </c>
      <c r="O632" t="s">
        <v>22</v>
      </c>
      <c r="P632">
        <v>0</v>
      </c>
      <c r="Q632">
        <v>0</v>
      </c>
    </row>
    <row r="633" spans="1:17" x14ac:dyDescent="0.25">
      <c r="A633" t="s">
        <v>658</v>
      </c>
      <c r="B633" t="s">
        <v>659</v>
      </c>
      <c r="C633" t="s">
        <v>105</v>
      </c>
      <c r="D633" t="s">
        <v>465</v>
      </c>
      <c r="E633" t="s">
        <v>698</v>
      </c>
      <c r="F633" s="1">
        <v>45767</v>
      </c>
      <c r="G633" s="1">
        <v>45797</v>
      </c>
      <c r="H633">
        <v>30</v>
      </c>
      <c r="I633">
        <v>32436.47</v>
      </c>
      <c r="J633">
        <v>32436.47</v>
      </c>
      <c r="K633">
        <v>0</v>
      </c>
      <c r="L633" s="1">
        <v>45790</v>
      </c>
      <c r="M633">
        <v>42</v>
      </c>
      <c r="N633">
        <v>12</v>
      </c>
      <c r="O633" t="s">
        <v>25</v>
      </c>
      <c r="P633">
        <v>0</v>
      </c>
      <c r="Q633">
        <v>0</v>
      </c>
    </row>
    <row r="634" spans="1:17" x14ac:dyDescent="0.25">
      <c r="A634" t="s">
        <v>658</v>
      </c>
      <c r="B634" t="s">
        <v>659</v>
      </c>
      <c r="C634" t="s">
        <v>105</v>
      </c>
      <c r="D634" t="s">
        <v>465</v>
      </c>
      <c r="E634" t="s">
        <v>699</v>
      </c>
      <c r="F634" s="1">
        <v>45788</v>
      </c>
      <c r="G634" s="1">
        <v>45833</v>
      </c>
      <c r="H634">
        <v>45</v>
      </c>
      <c r="I634">
        <v>67596.12</v>
      </c>
      <c r="J634">
        <v>0</v>
      </c>
      <c r="K634">
        <v>67596.12</v>
      </c>
      <c r="M634">
        <v>21</v>
      </c>
      <c r="N634">
        <v>0</v>
      </c>
      <c r="O634" t="s">
        <v>22</v>
      </c>
      <c r="P634">
        <v>2.5000000000000001E-2</v>
      </c>
      <c r="Q634">
        <v>0</v>
      </c>
    </row>
    <row r="635" spans="1:17" x14ac:dyDescent="0.25">
      <c r="A635" t="s">
        <v>658</v>
      </c>
      <c r="B635" t="s">
        <v>659</v>
      </c>
      <c r="C635" t="s">
        <v>105</v>
      </c>
      <c r="D635" t="s">
        <v>465</v>
      </c>
      <c r="E635" t="s">
        <v>700</v>
      </c>
      <c r="F635" s="1">
        <v>45782</v>
      </c>
      <c r="G635" s="1">
        <v>45812</v>
      </c>
      <c r="H635">
        <v>30</v>
      </c>
      <c r="I635">
        <v>16571.740000000002</v>
      </c>
      <c r="J635">
        <v>0</v>
      </c>
      <c r="K635">
        <v>16571.740000000002</v>
      </c>
      <c r="M635">
        <v>27</v>
      </c>
      <c r="N635">
        <v>0</v>
      </c>
      <c r="O635" t="s">
        <v>22</v>
      </c>
      <c r="P635">
        <v>0.02</v>
      </c>
      <c r="Q635">
        <v>0</v>
      </c>
    </row>
    <row r="636" spans="1:17" x14ac:dyDescent="0.25">
      <c r="A636" t="s">
        <v>658</v>
      </c>
      <c r="B636" t="s">
        <v>659</v>
      </c>
      <c r="C636" t="s">
        <v>105</v>
      </c>
      <c r="D636" t="s">
        <v>465</v>
      </c>
      <c r="E636" t="s">
        <v>701</v>
      </c>
      <c r="F636" s="1">
        <v>45793</v>
      </c>
      <c r="G636" s="1">
        <v>45838</v>
      </c>
      <c r="H636">
        <v>45</v>
      </c>
      <c r="I636">
        <v>16066.94</v>
      </c>
      <c r="J636">
        <v>0</v>
      </c>
      <c r="K636">
        <v>16066.94</v>
      </c>
      <c r="M636">
        <v>16</v>
      </c>
      <c r="N636">
        <v>0</v>
      </c>
      <c r="O636" t="s">
        <v>22</v>
      </c>
      <c r="P636">
        <v>2.5000000000000001E-2</v>
      </c>
      <c r="Q636">
        <v>0</v>
      </c>
    </row>
    <row r="637" spans="1:17" x14ac:dyDescent="0.25">
      <c r="A637" t="s">
        <v>658</v>
      </c>
      <c r="B637" t="s">
        <v>659</v>
      </c>
      <c r="C637" t="s">
        <v>105</v>
      </c>
      <c r="D637" t="s">
        <v>465</v>
      </c>
      <c r="E637" t="s">
        <v>702</v>
      </c>
      <c r="F637" s="1">
        <v>45661</v>
      </c>
      <c r="G637" s="1">
        <v>45751</v>
      </c>
      <c r="H637">
        <v>90</v>
      </c>
      <c r="I637">
        <v>6283.66</v>
      </c>
      <c r="J637">
        <v>0</v>
      </c>
      <c r="K637">
        <v>6283.66</v>
      </c>
      <c r="M637">
        <v>148</v>
      </c>
      <c r="N637">
        <v>58</v>
      </c>
      <c r="O637" t="s">
        <v>36</v>
      </c>
      <c r="P637">
        <v>2.5000000000000001E-2</v>
      </c>
      <c r="Q637">
        <v>0</v>
      </c>
    </row>
    <row r="638" spans="1:17" x14ac:dyDescent="0.25">
      <c r="A638" t="s">
        <v>658</v>
      </c>
      <c r="B638" t="s">
        <v>659</v>
      </c>
      <c r="C638" t="s">
        <v>105</v>
      </c>
      <c r="D638" t="s">
        <v>465</v>
      </c>
      <c r="E638" t="s">
        <v>703</v>
      </c>
      <c r="F638" s="1">
        <v>45678</v>
      </c>
      <c r="G638" s="1">
        <v>45738</v>
      </c>
      <c r="H638">
        <v>60</v>
      </c>
      <c r="I638">
        <v>77115.83</v>
      </c>
      <c r="J638">
        <v>77115.83</v>
      </c>
      <c r="K638">
        <v>0</v>
      </c>
      <c r="L638" s="1">
        <v>45744</v>
      </c>
      <c r="M638">
        <v>131</v>
      </c>
      <c r="N638">
        <v>71</v>
      </c>
      <c r="O638" t="s">
        <v>25</v>
      </c>
      <c r="P638">
        <v>0.01</v>
      </c>
      <c r="Q638">
        <v>0</v>
      </c>
    </row>
    <row r="639" spans="1:17" x14ac:dyDescent="0.25">
      <c r="A639" t="s">
        <v>658</v>
      </c>
      <c r="B639" t="s">
        <v>659</v>
      </c>
      <c r="C639" t="s">
        <v>105</v>
      </c>
      <c r="D639" t="s">
        <v>465</v>
      </c>
      <c r="E639" t="s">
        <v>704</v>
      </c>
      <c r="F639" s="1">
        <v>45735</v>
      </c>
      <c r="G639" s="1">
        <v>45825</v>
      </c>
      <c r="H639">
        <v>90</v>
      </c>
      <c r="I639">
        <v>70404.86</v>
      </c>
      <c r="J639">
        <v>0</v>
      </c>
      <c r="K639">
        <v>70404.86</v>
      </c>
      <c r="M639">
        <v>74</v>
      </c>
      <c r="N639">
        <v>0</v>
      </c>
      <c r="O639" t="s">
        <v>22</v>
      </c>
      <c r="P639">
        <v>0.02</v>
      </c>
      <c r="Q639">
        <v>0</v>
      </c>
    </row>
    <row r="640" spans="1:17" x14ac:dyDescent="0.25">
      <c r="A640" t="s">
        <v>705</v>
      </c>
      <c r="B640" t="s">
        <v>706</v>
      </c>
      <c r="C640" t="s">
        <v>133</v>
      </c>
      <c r="D640" t="s">
        <v>167</v>
      </c>
      <c r="E640" t="s">
        <v>707</v>
      </c>
      <c r="F640" s="1">
        <v>45707</v>
      </c>
      <c r="G640" s="1">
        <v>45767</v>
      </c>
      <c r="H640">
        <v>60</v>
      </c>
      <c r="I640">
        <v>53409.47</v>
      </c>
      <c r="J640">
        <v>53409.47</v>
      </c>
      <c r="K640">
        <v>0</v>
      </c>
      <c r="L640" s="1">
        <v>45786</v>
      </c>
      <c r="M640">
        <v>102</v>
      </c>
      <c r="N640">
        <v>42</v>
      </c>
      <c r="O640" t="s">
        <v>25</v>
      </c>
      <c r="P640">
        <v>0</v>
      </c>
      <c r="Q640">
        <v>0</v>
      </c>
    </row>
    <row r="641" spans="1:17" x14ac:dyDescent="0.25">
      <c r="A641" t="s">
        <v>705</v>
      </c>
      <c r="B641" t="s">
        <v>706</v>
      </c>
      <c r="C641" t="s">
        <v>133</v>
      </c>
      <c r="D641" t="s">
        <v>167</v>
      </c>
      <c r="E641" t="s">
        <v>708</v>
      </c>
      <c r="F641" s="1">
        <v>45800</v>
      </c>
      <c r="G641" s="1">
        <v>45845</v>
      </c>
      <c r="H641">
        <v>45</v>
      </c>
      <c r="I641">
        <v>22209.07</v>
      </c>
      <c r="J641">
        <v>0</v>
      </c>
      <c r="K641">
        <v>22209.07</v>
      </c>
      <c r="M641">
        <v>9</v>
      </c>
      <c r="N641">
        <v>0</v>
      </c>
      <c r="O641" t="s">
        <v>22</v>
      </c>
      <c r="P641">
        <v>0.02</v>
      </c>
      <c r="Q641">
        <v>0</v>
      </c>
    </row>
    <row r="642" spans="1:17" x14ac:dyDescent="0.25">
      <c r="A642" t="s">
        <v>705</v>
      </c>
      <c r="B642" t="s">
        <v>706</v>
      </c>
      <c r="C642" t="s">
        <v>133</v>
      </c>
      <c r="D642" t="s">
        <v>167</v>
      </c>
      <c r="E642" t="s">
        <v>709</v>
      </c>
      <c r="F642" s="1">
        <v>45645</v>
      </c>
      <c r="G642" s="1">
        <v>45735</v>
      </c>
      <c r="H642">
        <v>90</v>
      </c>
      <c r="I642">
        <v>52705.39</v>
      </c>
      <c r="J642">
        <v>52705.39</v>
      </c>
      <c r="K642">
        <v>0</v>
      </c>
      <c r="L642" s="1">
        <v>45661</v>
      </c>
      <c r="M642">
        <v>164</v>
      </c>
      <c r="N642">
        <v>74</v>
      </c>
      <c r="O642" t="s">
        <v>25</v>
      </c>
      <c r="P642">
        <v>0.01</v>
      </c>
      <c r="Q642">
        <v>527.04999999999995</v>
      </c>
    </row>
    <row r="643" spans="1:17" x14ac:dyDescent="0.25">
      <c r="A643" t="s">
        <v>705</v>
      </c>
      <c r="B643" t="s">
        <v>706</v>
      </c>
      <c r="C643" t="s">
        <v>133</v>
      </c>
      <c r="D643" t="s">
        <v>167</v>
      </c>
      <c r="E643" t="s">
        <v>710</v>
      </c>
      <c r="F643" s="1">
        <v>45785</v>
      </c>
      <c r="G643" s="1">
        <v>45845</v>
      </c>
      <c r="H643">
        <v>60</v>
      </c>
      <c r="I643">
        <v>78945.42</v>
      </c>
      <c r="J643">
        <v>0</v>
      </c>
      <c r="K643">
        <v>78945.42</v>
      </c>
      <c r="M643">
        <v>24</v>
      </c>
      <c r="N643">
        <v>0</v>
      </c>
      <c r="O643" t="s">
        <v>22</v>
      </c>
      <c r="P643">
        <v>0.01</v>
      </c>
      <c r="Q643">
        <v>0</v>
      </c>
    </row>
    <row r="644" spans="1:17" x14ac:dyDescent="0.25">
      <c r="A644" t="s">
        <v>705</v>
      </c>
      <c r="B644" t="s">
        <v>706</v>
      </c>
      <c r="C644" t="s">
        <v>133</v>
      </c>
      <c r="D644" t="s">
        <v>167</v>
      </c>
      <c r="E644" t="s">
        <v>711</v>
      </c>
      <c r="F644" s="1">
        <v>45762</v>
      </c>
      <c r="G644" s="1">
        <v>45792</v>
      </c>
      <c r="H644">
        <v>30</v>
      </c>
      <c r="I644">
        <v>20530.919999999998</v>
      </c>
      <c r="J644">
        <v>0</v>
      </c>
      <c r="K644">
        <v>20530.919999999998</v>
      </c>
      <c r="M644">
        <v>47</v>
      </c>
      <c r="N644">
        <v>17</v>
      </c>
      <c r="O644" t="s">
        <v>36</v>
      </c>
      <c r="P644">
        <v>0.01</v>
      </c>
      <c r="Q644">
        <v>0</v>
      </c>
    </row>
    <row r="645" spans="1:17" x14ac:dyDescent="0.25">
      <c r="A645" t="s">
        <v>705</v>
      </c>
      <c r="B645" t="s">
        <v>706</v>
      </c>
      <c r="C645" t="s">
        <v>133</v>
      </c>
      <c r="D645" t="s">
        <v>167</v>
      </c>
      <c r="E645" t="s">
        <v>712</v>
      </c>
      <c r="F645" s="1">
        <v>45648</v>
      </c>
      <c r="G645" s="1">
        <v>45693</v>
      </c>
      <c r="H645">
        <v>45</v>
      </c>
      <c r="I645">
        <v>16688.419999999998</v>
      </c>
      <c r="J645">
        <v>16688.419999999998</v>
      </c>
      <c r="K645">
        <v>0</v>
      </c>
      <c r="L645" s="1">
        <v>45682</v>
      </c>
      <c r="M645">
        <v>161</v>
      </c>
      <c r="N645">
        <v>116</v>
      </c>
      <c r="O645" t="s">
        <v>25</v>
      </c>
      <c r="P645">
        <v>0.02</v>
      </c>
      <c r="Q645">
        <v>333.77</v>
      </c>
    </row>
    <row r="646" spans="1:17" x14ac:dyDescent="0.25">
      <c r="A646" t="s">
        <v>705</v>
      </c>
      <c r="B646" t="s">
        <v>706</v>
      </c>
      <c r="C646" t="s">
        <v>133</v>
      </c>
      <c r="D646" t="s">
        <v>167</v>
      </c>
      <c r="E646" t="s">
        <v>713</v>
      </c>
      <c r="F646" s="1">
        <v>45636</v>
      </c>
      <c r="G646" s="1">
        <v>45726</v>
      </c>
      <c r="H646">
        <v>90</v>
      </c>
      <c r="I646">
        <v>19518.830000000002</v>
      </c>
      <c r="J646">
        <v>0</v>
      </c>
      <c r="K646">
        <v>19518.830000000002</v>
      </c>
      <c r="M646">
        <v>173</v>
      </c>
      <c r="N646">
        <v>83</v>
      </c>
      <c r="O646" t="s">
        <v>36</v>
      </c>
      <c r="P646">
        <v>0.02</v>
      </c>
      <c r="Q646">
        <v>0</v>
      </c>
    </row>
    <row r="647" spans="1:17" x14ac:dyDescent="0.25">
      <c r="A647" t="s">
        <v>705</v>
      </c>
      <c r="B647" t="s">
        <v>706</v>
      </c>
      <c r="C647" t="s">
        <v>133</v>
      </c>
      <c r="D647" t="s">
        <v>167</v>
      </c>
      <c r="E647" t="s">
        <v>714</v>
      </c>
      <c r="F647" s="1">
        <v>45659</v>
      </c>
      <c r="G647" s="1">
        <v>45689</v>
      </c>
      <c r="H647">
        <v>30</v>
      </c>
      <c r="I647">
        <v>28120.3</v>
      </c>
      <c r="J647">
        <v>11313.37</v>
      </c>
      <c r="K647">
        <v>16806.93</v>
      </c>
      <c r="L647" s="1">
        <v>45730</v>
      </c>
      <c r="M647">
        <v>150</v>
      </c>
      <c r="N647">
        <v>120</v>
      </c>
      <c r="O647" t="s">
        <v>29</v>
      </c>
      <c r="P647">
        <v>2.5000000000000001E-2</v>
      </c>
      <c r="Q647">
        <v>0</v>
      </c>
    </row>
    <row r="648" spans="1:17" x14ac:dyDescent="0.25">
      <c r="A648" t="s">
        <v>705</v>
      </c>
      <c r="B648" t="s">
        <v>706</v>
      </c>
      <c r="C648" t="s">
        <v>133</v>
      </c>
      <c r="D648" t="s">
        <v>167</v>
      </c>
      <c r="E648" t="s">
        <v>715</v>
      </c>
      <c r="F648" s="1">
        <v>45786</v>
      </c>
      <c r="G648" s="1">
        <v>45846</v>
      </c>
      <c r="H648">
        <v>60</v>
      </c>
      <c r="I648">
        <v>30940.63</v>
      </c>
      <c r="J648">
        <v>0</v>
      </c>
      <c r="K648">
        <v>30940.63</v>
      </c>
      <c r="M648">
        <v>23</v>
      </c>
      <c r="N648">
        <v>0</v>
      </c>
      <c r="O648" t="s">
        <v>22</v>
      </c>
      <c r="P648">
        <v>0.01</v>
      </c>
      <c r="Q648">
        <v>0</v>
      </c>
    </row>
    <row r="649" spans="1:17" x14ac:dyDescent="0.25">
      <c r="A649" t="s">
        <v>705</v>
      </c>
      <c r="B649" t="s">
        <v>706</v>
      </c>
      <c r="C649" t="s">
        <v>133</v>
      </c>
      <c r="D649" t="s">
        <v>167</v>
      </c>
      <c r="E649" t="s">
        <v>716</v>
      </c>
      <c r="F649" s="1">
        <v>45724</v>
      </c>
      <c r="G649" s="1">
        <v>45754</v>
      </c>
      <c r="H649">
        <v>30</v>
      </c>
      <c r="I649">
        <v>9411.1200000000008</v>
      </c>
      <c r="J649">
        <v>0</v>
      </c>
      <c r="K649">
        <v>9411.1200000000008</v>
      </c>
      <c r="M649">
        <v>85</v>
      </c>
      <c r="N649">
        <v>55</v>
      </c>
      <c r="O649" t="s">
        <v>36</v>
      </c>
      <c r="P649">
        <v>2.5000000000000001E-2</v>
      </c>
      <c r="Q649">
        <v>0</v>
      </c>
    </row>
    <row r="650" spans="1:17" x14ac:dyDescent="0.25">
      <c r="A650" t="s">
        <v>705</v>
      </c>
      <c r="B650" t="s">
        <v>706</v>
      </c>
      <c r="C650" t="s">
        <v>133</v>
      </c>
      <c r="D650" t="s">
        <v>167</v>
      </c>
      <c r="E650" t="s">
        <v>717</v>
      </c>
      <c r="F650" s="1">
        <v>45632</v>
      </c>
      <c r="G650" s="1">
        <v>45647</v>
      </c>
      <c r="H650">
        <v>15</v>
      </c>
      <c r="I650">
        <v>27824.5</v>
      </c>
      <c r="J650">
        <v>0</v>
      </c>
      <c r="K650">
        <v>27824.5</v>
      </c>
      <c r="M650">
        <v>177</v>
      </c>
      <c r="N650">
        <v>162</v>
      </c>
      <c r="O650" t="s">
        <v>36</v>
      </c>
      <c r="P650">
        <v>0</v>
      </c>
      <c r="Q650">
        <v>0</v>
      </c>
    </row>
    <row r="651" spans="1:17" x14ac:dyDescent="0.25">
      <c r="A651" t="s">
        <v>705</v>
      </c>
      <c r="B651" t="s">
        <v>706</v>
      </c>
      <c r="C651" t="s">
        <v>133</v>
      </c>
      <c r="D651" t="s">
        <v>167</v>
      </c>
      <c r="E651" t="s">
        <v>718</v>
      </c>
      <c r="F651" s="1">
        <v>45738</v>
      </c>
      <c r="G651" s="1">
        <v>45783</v>
      </c>
      <c r="H651">
        <v>45</v>
      </c>
      <c r="I651">
        <v>17670.349999999999</v>
      </c>
      <c r="J651">
        <v>17670.349999999999</v>
      </c>
      <c r="K651">
        <v>0</v>
      </c>
      <c r="L651" s="1">
        <v>45770</v>
      </c>
      <c r="M651">
        <v>71</v>
      </c>
      <c r="N651">
        <v>26</v>
      </c>
      <c r="O651" t="s">
        <v>25</v>
      </c>
      <c r="P651">
        <v>0.01</v>
      </c>
      <c r="Q651">
        <v>176.7</v>
      </c>
    </row>
    <row r="652" spans="1:17" x14ac:dyDescent="0.25">
      <c r="A652" t="s">
        <v>705</v>
      </c>
      <c r="B652" t="s">
        <v>706</v>
      </c>
      <c r="C652" t="s">
        <v>133</v>
      </c>
      <c r="D652" t="s">
        <v>167</v>
      </c>
      <c r="E652" t="s">
        <v>719</v>
      </c>
      <c r="F652" s="1">
        <v>45660</v>
      </c>
      <c r="G652" s="1">
        <v>45690</v>
      </c>
      <c r="H652">
        <v>30</v>
      </c>
      <c r="I652">
        <v>79958.5</v>
      </c>
      <c r="J652">
        <v>79958.5</v>
      </c>
      <c r="K652">
        <v>0</v>
      </c>
      <c r="L652" s="1">
        <v>45690</v>
      </c>
      <c r="M652">
        <v>149</v>
      </c>
      <c r="N652">
        <v>119</v>
      </c>
      <c r="O652" t="s">
        <v>25</v>
      </c>
      <c r="P652">
        <v>2.5000000000000001E-2</v>
      </c>
      <c r="Q652">
        <v>0</v>
      </c>
    </row>
    <row r="653" spans="1:17" x14ac:dyDescent="0.25">
      <c r="A653" t="s">
        <v>705</v>
      </c>
      <c r="B653" t="s">
        <v>706</v>
      </c>
      <c r="C653" t="s">
        <v>133</v>
      </c>
      <c r="D653" t="s">
        <v>167</v>
      </c>
      <c r="E653" t="s">
        <v>720</v>
      </c>
      <c r="F653" s="1">
        <v>45734</v>
      </c>
      <c r="G653" s="1">
        <v>45764</v>
      </c>
      <c r="H653">
        <v>30</v>
      </c>
      <c r="I653">
        <v>48241.53</v>
      </c>
      <c r="J653">
        <v>0</v>
      </c>
      <c r="K653">
        <v>48241.53</v>
      </c>
      <c r="M653">
        <v>75</v>
      </c>
      <c r="N653">
        <v>45</v>
      </c>
      <c r="O653" t="s">
        <v>36</v>
      </c>
      <c r="P653">
        <v>0.02</v>
      </c>
      <c r="Q653">
        <v>0</v>
      </c>
    </row>
    <row r="654" spans="1:17" x14ac:dyDescent="0.25">
      <c r="A654" t="s">
        <v>705</v>
      </c>
      <c r="B654" t="s">
        <v>706</v>
      </c>
      <c r="C654" t="s">
        <v>133</v>
      </c>
      <c r="D654" t="s">
        <v>167</v>
      </c>
      <c r="E654" t="s">
        <v>721</v>
      </c>
      <c r="F654" s="1">
        <v>45772</v>
      </c>
      <c r="G654" s="1">
        <v>45802</v>
      </c>
      <c r="H654">
        <v>30</v>
      </c>
      <c r="I654">
        <v>74470.039999999994</v>
      </c>
      <c r="J654">
        <v>74470.039999999994</v>
      </c>
      <c r="K654">
        <v>0</v>
      </c>
      <c r="L654" s="1">
        <v>45776</v>
      </c>
      <c r="M654">
        <v>37</v>
      </c>
      <c r="N654">
        <v>7</v>
      </c>
      <c r="O654" t="s">
        <v>25</v>
      </c>
      <c r="P654">
        <v>0</v>
      </c>
      <c r="Q654">
        <v>0</v>
      </c>
    </row>
    <row r="655" spans="1:17" x14ac:dyDescent="0.25">
      <c r="A655" t="s">
        <v>705</v>
      </c>
      <c r="B655" t="s">
        <v>706</v>
      </c>
      <c r="C655" t="s">
        <v>133</v>
      </c>
      <c r="D655" t="s">
        <v>167</v>
      </c>
      <c r="E655" t="s">
        <v>722</v>
      </c>
      <c r="F655" s="1">
        <v>45743</v>
      </c>
      <c r="G655" s="1">
        <v>45788</v>
      </c>
      <c r="H655">
        <v>45</v>
      </c>
      <c r="I655">
        <v>64792.08</v>
      </c>
      <c r="J655">
        <v>0</v>
      </c>
      <c r="K655">
        <v>64792.08</v>
      </c>
      <c r="M655">
        <v>66</v>
      </c>
      <c r="N655">
        <v>21</v>
      </c>
      <c r="O655" t="s">
        <v>36</v>
      </c>
      <c r="P655">
        <v>0</v>
      </c>
      <c r="Q655">
        <v>0</v>
      </c>
    </row>
    <row r="656" spans="1:17" x14ac:dyDescent="0.25">
      <c r="A656" t="s">
        <v>705</v>
      </c>
      <c r="B656" t="s">
        <v>706</v>
      </c>
      <c r="C656" t="s">
        <v>133</v>
      </c>
      <c r="D656" t="s">
        <v>167</v>
      </c>
      <c r="E656" t="s">
        <v>723</v>
      </c>
      <c r="F656" s="1">
        <v>45661</v>
      </c>
      <c r="G656" s="1">
        <v>45721</v>
      </c>
      <c r="H656">
        <v>60</v>
      </c>
      <c r="I656">
        <v>22676.36</v>
      </c>
      <c r="J656">
        <v>22676.36</v>
      </c>
      <c r="K656">
        <v>0</v>
      </c>
      <c r="L656" s="1">
        <v>45736</v>
      </c>
      <c r="M656">
        <v>148</v>
      </c>
      <c r="N656">
        <v>88</v>
      </c>
      <c r="O656" t="s">
        <v>25</v>
      </c>
      <c r="P656">
        <v>2.5000000000000001E-2</v>
      </c>
      <c r="Q656">
        <v>0</v>
      </c>
    </row>
    <row r="657" spans="1:17" x14ac:dyDescent="0.25">
      <c r="A657" t="s">
        <v>705</v>
      </c>
      <c r="B657" t="s">
        <v>706</v>
      </c>
      <c r="C657" t="s">
        <v>133</v>
      </c>
      <c r="D657" t="s">
        <v>167</v>
      </c>
      <c r="E657" t="s">
        <v>724</v>
      </c>
      <c r="F657" s="1">
        <v>45688</v>
      </c>
      <c r="G657" s="1">
        <v>45778</v>
      </c>
      <c r="H657">
        <v>90</v>
      </c>
      <c r="I657">
        <v>30827.38</v>
      </c>
      <c r="J657">
        <v>0</v>
      </c>
      <c r="K657">
        <v>30827.38</v>
      </c>
      <c r="M657">
        <v>121</v>
      </c>
      <c r="N657">
        <v>31</v>
      </c>
      <c r="O657" t="s">
        <v>36</v>
      </c>
      <c r="P657">
        <v>0</v>
      </c>
      <c r="Q657">
        <v>0</v>
      </c>
    </row>
    <row r="658" spans="1:17" x14ac:dyDescent="0.25">
      <c r="A658" t="s">
        <v>705</v>
      </c>
      <c r="B658" t="s">
        <v>706</v>
      </c>
      <c r="C658" t="s">
        <v>133</v>
      </c>
      <c r="D658" t="s">
        <v>167</v>
      </c>
      <c r="E658" t="s">
        <v>725</v>
      </c>
      <c r="F658" s="1">
        <v>45737</v>
      </c>
      <c r="G658" s="1">
        <v>45797</v>
      </c>
      <c r="H658">
        <v>60</v>
      </c>
      <c r="I658">
        <v>8645.65</v>
      </c>
      <c r="J658">
        <v>8645.65</v>
      </c>
      <c r="K658">
        <v>0</v>
      </c>
      <c r="L658" s="1">
        <v>45743</v>
      </c>
      <c r="M658">
        <v>72</v>
      </c>
      <c r="N658">
        <v>12</v>
      </c>
      <c r="O658" t="s">
        <v>25</v>
      </c>
      <c r="P658">
        <v>0.01</v>
      </c>
      <c r="Q658">
        <v>86.46</v>
      </c>
    </row>
    <row r="659" spans="1:17" x14ac:dyDescent="0.25">
      <c r="A659" t="s">
        <v>705</v>
      </c>
      <c r="B659" t="s">
        <v>706</v>
      </c>
      <c r="C659" t="s">
        <v>133</v>
      </c>
      <c r="D659" t="s">
        <v>167</v>
      </c>
      <c r="E659" t="s">
        <v>726</v>
      </c>
      <c r="F659" s="1">
        <v>45719</v>
      </c>
      <c r="G659" s="1">
        <v>45809</v>
      </c>
      <c r="H659">
        <v>90</v>
      </c>
      <c r="I659">
        <v>40285.040000000001</v>
      </c>
      <c r="J659">
        <v>0</v>
      </c>
      <c r="K659">
        <v>40285.040000000001</v>
      </c>
      <c r="M659">
        <v>90</v>
      </c>
      <c r="N659">
        <v>0</v>
      </c>
      <c r="O659" t="s">
        <v>22</v>
      </c>
      <c r="P659">
        <v>0.02</v>
      </c>
      <c r="Q659">
        <v>0</v>
      </c>
    </row>
    <row r="660" spans="1:17" x14ac:dyDescent="0.25">
      <c r="A660" t="s">
        <v>705</v>
      </c>
      <c r="B660" t="s">
        <v>706</v>
      </c>
      <c r="C660" t="s">
        <v>133</v>
      </c>
      <c r="D660" t="s">
        <v>167</v>
      </c>
      <c r="E660" t="s">
        <v>727</v>
      </c>
      <c r="F660" s="1">
        <v>45670</v>
      </c>
      <c r="G660" s="1">
        <v>45715</v>
      </c>
      <c r="H660">
        <v>45</v>
      </c>
      <c r="I660">
        <v>13422.94</v>
      </c>
      <c r="J660">
        <v>13422.94</v>
      </c>
      <c r="K660">
        <v>0</v>
      </c>
      <c r="L660" s="1">
        <v>45715</v>
      </c>
      <c r="M660">
        <v>139</v>
      </c>
      <c r="N660">
        <v>94</v>
      </c>
      <c r="O660" t="s">
        <v>25</v>
      </c>
      <c r="P660">
        <v>0.01</v>
      </c>
      <c r="Q660">
        <v>0</v>
      </c>
    </row>
    <row r="661" spans="1:17" x14ac:dyDescent="0.25">
      <c r="A661" t="s">
        <v>705</v>
      </c>
      <c r="B661" t="s">
        <v>706</v>
      </c>
      <c r="C661" t="s">
        <v>133</v>
      </c>
      <c r="D661" t="s">
        <v>167</v>
      </c>
      <c r="E661" t="s">
        <v>728</v>
      </c>
      <c r="F661" s="1">
        <v>45756</v>
      </c>
      <c r="G661" s="1">
        <v>45771</v>
      </c>
      <c r="H661">
        <v>15</v>
      </c>
      <c r="I661">
        <v>72225.22</v>
      </c>
      <c r="J661">
        <v>72225.22</v>
      </c>
      <c r="K661">
        <v>0</v>
      </c>
      <c r="L661" s="1">
        <v>45766</v>
      </c>
      <c r="M661">
        <v>53</v>
      </c>
      <c r="N661">
        <v>38</v>
      </c>
      <c r="O661" t="s">
        <v>25</v>
      </c>
      <c r="P661">
        <v>0.02</v>
      </c>
      <c r="Q661">
        <v>1444.5</v>
      </c>
    </row>
    <row r="662" spans="1:17" x14ac:dyDescent="0.25">
      <c r="A662" t="s">
        <v>705</v>
      </c>
      <c r="B662" t="s">
        <v>706</v>
      </c>
      <c r="C662" t="s">
        <v>133</v>
      </c>
      <c r="D662" t="s">
        <v>167</v>
      </c>
      <c r="E662" t="s">
        <v>729</v>
      </c>
      <c r="F662" s="1">
        <v>45721</v>
      </c>
      <c r="G662" s="1">
        <v>45751</v>
      </c>
      <c r="H662">
        <v>30</v>
      </c>
      <c r="I662">
        <v>67024.92</v>
      </c>
      <c r="J662">
        <v>67024.92</v>
      </c>
      <c r="K662">
        <v>0</v>
      </c>
      <c r="L662" s="1">
        <v>45726</v>
      </c>
      <c r="M662">
        <v>88</v>
      </c>
      <c r="N662">
        <v>58</v>
      </c>
      <c r="O662" t="s">
        <v>25</v>
      </c>
      <c r="P662">
        <v>0.02</v>
      </c>
      <c r="Q662">
        <v>1340.5</v>
      </c>
    </row>
    <row r="663" spans="1:17" x14ac:dyDescent="0.25">
      <c r="A663" t="s">
        <v>705</v>
      </c>
      <c r="B663" t="s">
        <v>706</v>
      </c>
      <c r="C663" t="s">
        <v>133</v>
      </c>
      <c r="D663" t="s">
        <v>167</v>
      </c>
      <c r="E663" t="s">
        <v>730</v>
      </c>
      <c r="F663" s="1">
        <v>45800</v>
      </c>
      <c r="G663" s="1">
        <v>45815</v>
      </c>
      <c r="H663">
        <v>15</v>
      </c>
      <c r="I663">
        <v>10974.57</v>
      </c>
      <c r="J663">
        <v>0</v>
      </c>
      <c r="K663">
        <v>10974.57</v>
      </c>
      <c r="M663">
        <v>9</v>
      </c>
      <c r="N663">
        <v>0</v>
      </c>
      <c r="O663" t="s">
        <v>22</v>
      </c>
      <c r="P663">
        <v>2.5000000000000001E-2</v>
      </c>
      <c r="Q663">
        <v>0</v>
      </c>
    </row>
    <row r="664" spans="1:17" x14ac:dyDescent="0.25">
      <c r="A664" t="s">
        <v>705</v>
      </c>
      <c r="B664" t="s">
        <v>706</v>
      </c>
      <c r="C664" t="s">
        <v>133</v>
      </c>
      <c r="D664" t="s">
        <v>167</v>
      </c>
      <c r="E664" t="s">
        <v>731</v>
      </c>
      <c r="F664" s="1">
        <v>45778</v>
      </c>
      <c r="G664" s="1">
        <v>45823</v>
      </c>
      <c r="H664">
        <v>45</v>
      </c>
      <c r="I664">
        <v>62877.91</v>
      </c>
      <c r="J664">
        <v>0</v>
      </c>
      <c r="K664">
        <v>62877.91</v>
      </c>
      <c r="M664">
        <v>31</v>
      </c>
      <c r="N664">
        <v>0</v>
      </c>
      <c r="O664" t="s">
        <v>22</v>
      </c>
      <c r="P664">
        <v>0.02</v>
      </c>
      <c r="Q664">
        <v>0</v>
      </c>
    </row>
    <row r="665" spans="1:17" x14ac:dyDescent="0.25">
      <c r="A665" t="s">
        <v>705</v>
      </c>
      <c r="B665" t="s">
        <v>706</v>
      </c>
      <c r="C665" t="s">
        <v>133</v>
      </c>
      <c r="D665" t="s">
        <v>167</v>
      </c>
      <c r="E665" t="s">
        <v>732</v>
      </c>
      <c r="F665" s="1">
        <v>45724</v>
      </c>
      <c r="G665" s="1">
        <v>45769</v>
      </c>
      <c r="H665">
        <v>45</v>
      </c>
      <c r="I665">
        <v>4688.37</v>
      </c>
      <c r="J665">
        <v>4688.37</v>
      </c>
      <c r="K665">
        <v>0</v>
      </c>
      <c r="L665" s="1">
        <v>45790</v>
      </c>
      <c r="M665">
        <v>85</v>
      </c>
      <c r="N665">
        <v>40</v>
      </c>
      <c r="O665" t="s">
        <v>25</v>
      </c>
      <c r="P665">
        <v>0.01</v>
      </c>
      <c r="Q665">
        <v>0</v>
      </c>
    </row>
    <row r="666" spans="1:17" x14ac:dyDescent="0.25">
      <c r="A666" t="s">
        <v>705</v>
      </c>
      <c r="B666" t="s">
        <v>706</v>
      </c>
      <c r="C666" t="s">
        <v>133</v>
      </c>
      <c r="D666" t="s">
        <v>167</v>
      </c>
      <c r="E666" t="s">
        <v>733</v>
      </c>
      <c r="F666" s="1">
        <v>45701</v>
      </c>
      <c r="G666" s="1">
        <v>45746</v>
      </c>
      <c r="H666">
        <v>45</v>
      </c>
      <c r="I666">
        <v>5017.05</v>
      </c>
      <c r="J666">
        <v>5017.05</v>
      </c>
      <c r="K666">
        <v>0</v>
      </c>
      <c r="L666" s="1">
        <v>45717</v>
      </c>
      <c r="M666">
        <v>108</v>
      </c>
      <c r="N666">
        <v>63</v>
      </c>
      <c r="O666" t="s">
        <v>25</v>
      </c>
      <c r="P666">
        <v>0.01</v>
      </c>
      <c r="Q666">
        <v>50.17</v>
      </c>
    </row>
    <row r="667" spans="1:17" x14ac:dyDescent="0.25">
      <c r="A667" t="s">
        <v>705</v>
      </c>
      <c r="B667" t="s">
        <v>706</v>
      </c>
      <c r="C667" t="s">
        <v>133</v>
      </c>
      <c r="D667" t="s">
        <v>167</v>
      </c>
      <c r="E667" t="s">
        <v>734</v>
      </c>
      <c r="F667" s="1">
        <v>45678</v>
      </c>
      <c r="G667" s="1">
        <v>45693</v>
      </c>
      <c r="H667">
        <v>15</v>
      </c>
      <c r="I667">
        <v>19681.759999999998</v>
      </c>
      <c r="J667">
        <v>19681.759999999998</v>
      </c>
      <c r="K667">
        <v>0</v>
      </c>
      <c r="L667" s="1">
        <v>45711</v>
      </c>
      <c r="M667">
        <v>131</v>
      </c>
      <c r="N667">
        <v>116</v>
      </c>
      <c r="O667" t="s">
        <v>25</v>
      </c>
      <c r="P667">
        <v>0.02</v>
      </c>
      <c r="Q667">
        <v>0</v>
      </c>
    </row>
    <row r="668" spans="1:17" x14ac:dyDescent="0.25">
      <c r="A668" t="s">
        <v>705</v>
      </c>
      <c r="B668" t="s">
        <v>706</v>
      </c>
      <c r="C668" t="s">
        <v>133</v>
      </c>
      <c r="D668" t="s">
        <v>167</v>
      </c>
      <c r="E668" t="s">
        <v>735</v>
      </c>
      <c r="F668" s="1">
        <v>45718</v>
      </c>
      <c r="G668" s="1">
        <v>45748</v>
      </c>
      <c r="H668">
        <v>30</v>
      </c>
      <c r="I668">
        <v>42298.77</v>
      </c>
      <c r="J668">
        <v>42298.77</v>
      </c>
      <c r="K668">
        <v>0</v>
      </c>
      <c r="L668" s="1">
        <v>45723</v>
      </c>
      <c r="M668">
        <v>91</v>
      </c>
      <c r="N668">
        <v>61</v>
      </c>
      <c r="O668" t="s">
        <v>25</v>
      </c>
      <c r="P668">
        <v>0.02</v>
      </c>
      <c r="Q668">
        <v>845.98</v>
      </c>
    </row>
    <row r="669" spans="1:17" x14ac:dyDescent="0.25">
      <c r="A669" t="s">
        <v>705</v>
      </c>
      <c r="B669" t="s">
        <v>706</v>
      </c>
      <c r="C669" t="s">
        <v>133</v>
      </c>
      <c r="D669" t="s">
        <v>167</v>
      </c>
      <c r="E669" t="s">
        <v>736</v>
      </c>
      <c r="F669" s="1">
        <v>45664</v>
      </c>
      <c r="G669" s="1">
        <v>45754</v>
      </c>
      <c r="H669">
        <v>90</v>
      </c>
      <c r="I669">
        <v>45680.57</v>
      </c>
      <c r="J669">
        <v>0</v>
      </c>
      <c r="K669">
        <v>45680.57</v>
      </c>
      <c r="M669">
        <v>145</v>
      </c>
      <c r="N669">
        <v>55</v>
      </c>
      <c r="O669" t="s">
        <v>36</v>
      </c>
      <c r="P669">
        <v>0.02</v>
      </c>
      <c r="Q669">
        <v>0</v>
      </c>
    </row>
    <row r="670" spans="1:17" x14ac:dyDescent="0.25">
      <c r="A670" t="s">
        <v>705</v>
      </c>
      <c r="B670" t="s">
        <v>706</v>
      </c>
      <c r="C670" t="s">
        <v>133</v>
      </c>
      <c r="D670" t="s">
        <v>167</v>
      </c>
      <c r="E670" t="s">
        <v>737</v>
      </c>
      <c r="F670" s="1">
        <v>45749</v>
      </c>
      <c r="G670" s="1">
        <v>45809</v>
      </c>
      <c r="H670">
        <v>60</v>
      </c>
      <c r="I670">
        <v>13589.46</v>
      </c>
      <c r="J670">
        <v>0</v>
      </c>
      <c r="K670">
        <v>13589.46</v>
      </c>
      <c r="M670">
        <v>60</v>
      </c>
      <c r="N670">
        <v>0</v>
      </c>
      <c r="O670" t="s">
        <v>22</v>
      </c>
      <c r="P670">
        <v>0.02</v>
      </c>
      <c r="Q670">
        <v>0</v>
      </c>
    </row>
    <row r="671" spans="1:17" x14ac:dyDescent="0.25">
      <c r="A671" t="s">
        <v>705</v>
      </c>
      <c r="B671" t="s">
        <v>706</v>
      </c>
      <c r="C671" t="s">
        <v>133</v>
      </c>
      <c r="D671" t="s">
        <v>167</v>
      </c>
      <c r="E671" t="s">
        <v>738</v>
      </c>
      <c r="F671" s="1">
        <v>45721</v>
      </c>
      <c r="G671" s="1">
        <v>45781</v>
      </c>
      <c r="H671">
        <v>60</v>
      </c>
      <c r="I671">
        <v>67276.44</v>
      </c>
      <c r="J671">
        <v>43772.91</v>
      </c>
      <c r="K671">
        <v>23503.53</v>
      </c>
      <c r="L671" s="1">
        <v>45763</v>
      </c>
      <c r="M671">
        <v>88</v>
      </c>
      <c r="N671">
        <v>28</v>
      </c>
      <c r="O671" t="s">
        <v>29</v>
      </c>
      <c r="P671">
        <v>0</v>
      </c>
      <c r="Q671">
        <v>0</v>
      </c>
    </row>
    <row r="672" spans="1:17" x14ac:dyDescent="0.25">
      <c r="A672" t="s">
        <v>705</v>
      </c>
      <c r="B672" t="s">
        <v>706</v>
      </c>
      <c r="C672" t="s">
        <v>133</v>
      </c>
      <c r="D672" t="s">
        <v>167</v>
      </c>
      <c r="E672" t="s">
        <v>739</v>
      </c>
      <c r="F672" s="1">
        <v>45704</v>
      </c>
      <c r="G672" s="1">
        <v>45764</v>
      </c>
      <c r="H672">
        <v>60</v>
      </c>
      <c r="I672">
        <v>74629.2</v>
      </c>
      <c r="J672">
        <v>0</v>
      </c>
      <c r="K672">
        <v>74629.2</v>
      </c>
      <c r="M672">
        <v>105</v>
      </c>
      <c r="N672">
        <v>45</v>
      </c>
      <c r="O672" t="s">
        <v>36</v>
      </c>
      <c r="P672">
        <v>0</v>
      </c>
      <c r="Q672">
        <v>0</v>
      </c>
    </row>
    <row r="673" spans="1:17" x14ac:dyDescent="0.25">
      <c r="A673" t="s">
        <v>705</v>
      </c>
      <c r="B673" t="s">
        <v>706</v>
      </c>
      <c r="C673" t="s">
        <v>133</v>
      </c>
      <c r="D673" t="s">
        <v>167</v>
      </c>
      <c r="E673" t="s">
        <v>740</v>
      </c>
      <c r="F673" s="1">
        <v>45732</v>
      </c>
      <c r="G673" s="1">
        <v>45762</v>
      </c>
      <c r="H673">
        <v>30</v>
      </c>
      <c r="I673">
        <v>58147.64</v>
      </c>
      <c r="J673">
        <v>58147.64</v>
      </c>
      <c r="K673">
        <v>0</v>
      </c>
      <c r="L673" s="1">
        <v>45766</v>
      </c>
      <c r="M673">
        <v>77</v>
      </c>
      <c r="N673">
        <v>47</v>
      </c>
      <c r="O673" t="s">
        <v>25</v>
      </c>
      <c r="P673">
        <v>0.02</v>
      </c>
      <c r="Q673">
        <v>0</v>
      </c>
    </row>
    <row r="674" spans="1:17" x14ac:dyDescent="0.25">
      <c r="A674" t="s">
        <v>705</v>
      </c>
      <c r="B674" t="s">
        <v>706</v>
      </c>
      <c r="C674" t="s">
        <v>133</v>
      </c>
      <c r="D674" t="s">
        <v>167</v>
      </c>
      <c r="E674" t="s">
        <v>741</v>
      </c>
      <c r="F674" s="1">
        <v>45772</v>
      </c>
      <c r="G674" s="1">
        <v>45817</v>
      </c>
      <c r="H674">
        <v>45</v>
      </c>
      <c r="I674">
        <v>3679.71</v>
      </c>
      <c r="J674">
        <v>0</v>
      </c>
      <c r="K674">
        <v>3679.71</v>
      </c>
      <c r="M674">
        <v>37</v>
      </c>
      <c r="N674">
        <v>0</v>
      </c>
      <c r="O674" t="s">
        <v>22</v>
      </c>
      <c r="P674">
        <v>0.02</v>
      </c>
      <c r="Q674">
        <v>0</v>
      </c>
    </row>
    <row r="675" spans="1:17" x14ac:dyDescent="0.25">
      <c r="A675" t="s">
        <v>705</v>
      </c>
      <c r="B675" t="s">
        <v>706</v>
      </c>
      <c r="C675" t="s">
        <v>133</v>
      </c>
      <c r="D675" t="s">
        <v>167</v>
      </c>
      <c r="E675" t="s">
        <v>742</v>
      </c>
      <c r="F675" s="1">
        <v>45747</v>
      </c>
      <c r="G675" s="1">
        <v>45837</v>
      </c>
      <c r="H675">
        <v>90</v>
      </c>
      <c r="I675">
        <v>27596.62</v>
      </c>
      <c r="J675">
        <v>0</v>
      </c>
      <c r="K675">
        <v>27596.62</v>
      </c>
      <c r="M675">
        <v>62</v>
      </c>
      <c r="N675">
        <v>0</v>
      </c>
      <c r="O675" t="s">
        <v>22</v>
      </c>
      <c r="P675">
        <v>0.01</v>
      </c>
      <c r="Q675">
        <v>0</v>
      </c>
    </row>
    <row r="676" spans="1:17" x14ac:dyDescent="0.25">
      <c r="A676" t="s">
        <v>743</v>
      </c>
      <c r="B676" t="s">
        <v>744</v>
      </c>
      <c r="C676" t="s">
        <v>166</v>
      </c>
      <c r="D676" t="s">
        <v>167</v>
      </c>
      <c r="E676" t="s">
        <v>745</v>
      </c>
      <c r="F676" s="1">
        <v>45798</v>
      </c>
      <c r="G676" s="1">
        <v>45828</v>
      </c>
      <c r="H676">
        <v>30</v>
      </c>
      <c r="I676">
        <v>58371.31</v>
      </c>
      <c r="J676">
        <v>0</v>
      </c>
      <c r="K676">
        <v>58371.31</v>
      </c>
      <c r="M676">
        <v>11</v>
      </c>
      <c r="N676">
        <v>0</v>
      </c>
      <c r="O676" t="s">
        <v>22</v>
      </c>
      <c r="P676">
        <v>0.01</v>
      </c>
      <c r="Q676">
        <v>0</v>
      </c>
    </row>
    <row r="677" spans="1:17" x14ac:dyDescent="0.25">
      <c r="A677" t="s">
        <v>743</v>
      </c>
      <c r="B677" t="s">
        <v>744</v>
      </c>
      <c r="C677" t="s">
        <v>166</v>
      </c>
      <c r="D677" t="s">
        <v>167</v>
      </c>
      <c r="E677" t="s">
        <v>746</v>
      </c>
      <c r="F677" s="1">
        <v>45702</v>
      </c>
      <c r="G677" s="1">
        <v>45762</v>
      </c>
      <c r="H677">
        <v>60</v>
      </c>
      <c r="I677">
        <v>53089.55</v>
      </c>
      <c r="J677">
        <v>53089.55</v>
      </c>
      <c r="K677">
        <v>0</v>
      </c>
      <c r="L677" s="1">
        <v>45768</v>
      </c>
      <c r="M677">
        <v>107</v>
      </c>
      <c r="N677">
        <v>47</v>
      </c>
      <c r="O677" t="s">
        <v>25</v>
      </c>
      <c r="P677">
        <v>2.5000000000000001E-2</v>
      </c>
      <c r="Q677">
        <v>0</v>
      </c>
    </row>
    <row r="678" spans="1:17" x14ac:dyDescent="0.25">
      <c r="A678" t="s">
        <v>743</v>
      </c>
      <c r="B678" t="s">
        <v>744</v>
      </c>
      <c r="C678" t="s">
        <v>166</v>
      </c>
      <c r="D678" t="s">
        <v>167</v>
      </c>
      <c r="E678" t="s">
        <v>747</v>
      </c>
      <c r="F678" s="1">
        <v>45653</v>
      </c>
      <c r="G678" s="1">
        <v>45743</v>
      </c>
      <c r="H678">
        <v>90</v>
      </c>
      <c r="I678">
        <v>14365.13</v>
      </c>
      <c r="J678">
        <v>14365.13</v>
      </c>
      <c r="K678">
        <v>0</v>
      </c>
      <c r="L678" s="1">
        <v>45725</v>
      </c>
      <c r="M678">
        <v>156</v>
      </c>
      <c r="N678">
        <v>66</v>
      </c>
      <c r="O678" t="s">
        <v>25</v>
      </c>
      <c r="P678">
        <v>0.02</v>
      </c>
      <c r="Q678">
        <v>287.3</v>
      </c>
    </row>
    <row r="679" spans="1:17" x14ac:dyDescent="0.25">
      <c r="A679" t="s">
        <v>743</v>
      </c>
      <c r="B679" t="s">
        <v>744</v>
      </c>
      <c r="C679" t="s">
        <v>166</v>
      </c>
      <c r="D679" t="s">
        <v>167</v>
      </c>
      <c r="E679" t="s">
        <v>748</v>
      </c>
      <c r="F679" s="1">
        <v>45756</v>
      </c>
      <c r="G679" s="1">
        <v>45771</v>
      </c>
      <c r="H679">
        <v>15</v>
      </c>
      <c r="I679">
        <v>17185.849999999999</v>
      </c>
      <c r="J679">
        <v>11603.69</v>
      </c>
      <c r="K679">
        <v>5582.16</v>
      </c>
      <c r="L679" s="1">
        <v>45806</v>
      </c>
      <c r="M679">
        <v>53</v>
      </c>
      <c r="N679">
        <v>38</v>
      </c>
      <c r="O679" t="s">
        <v>29</v>
      </c>
      <c r="P679">
        <v>2.5000000000000001E-2</v>
      </c>
      <c r="Q679">
        <v>0</v>
      </c>
    </row>
    <row r="680" spans="1:17" x14ac:dyDescent="0.25">
      <c r="A680" t="s">
        <v>743</v>
      </c>
      <c r="B680" t="s">
        <v>744</v>
      </c>
      <c r="C680" t="s">
        <v>166</v>
      </c>
      <c r="D680" t="s">
        <v>167</v>
      </c>
      <c r="E680" t="s">
        <v>749</v>
      </c>
      <c r="F680" s="1">
        <v>45635</v>
      </c>
      <c r="G680" s="1">
        <v>45680</v>
      </c>
      <c r="H680">
        <v>45</v>
      </c>
      <c r="I680">
        <v>9934.06</v>
      </c>
      <c r="J680">
        <v>9934.06</v>
      </c>
      <c r="K680">
        <v>0</v>
      </c>
      <c r="L680" s="1">
        <v>45672</v>
      </c>
      <c r="M680">
        <v>174</v>
      </c>
      <c r="N680">
        <v>129</v>
      </c>
      <c r="O680" t="s">
        <v>25</v>
      </c>
      <c r="P680">
        <v>2.5000000000000001E-2</v>
      </c>
      <c r="Q680">
        <v>248.35</v>
      </c>
    </row>
    <row r="681" spans="1:17" x14ac:dyDescent="0.25">
      <c r="A681" t="s">
        <v>743</v>
      </c>
      <c r="B681" t="s">
        <v>744</v>
      </c>
      <c r="C681" t="s">
        <v>166</v>
      </c>
      <c r="D681" t="s">
        <v>167</v>
      </c>
      <c r="E681" t="s">
        <v>750</v>
      </c>
      <c r="F681" s="1">
        <v>45723</v>
      </c>
      <c r="G681" s="1">
        <v>45813</v>
      </c>
      <c r="H681">
        <v>90</v>
      </c>
      <c r="I681">
        <v>56960.47</v>
      </c>
      <c r="J681">
        <v>0</v>
      </c>
      <c r="K681">
        <v>56960.47</v>
      </c>
      <c r="M681">
        <v>86</v>
      </c>
      <c r="N681">
        <v>0</v>
      </c>
      <c r="O681" t="s">
        <v>22</v>
      </c>
      <c r="P681">
        <v>0.01</v>
      </c>
      <c r="Q681">
        <v>0</v>
      </c>
    </row>
    <row r="682" spans="1:17" x14ac:dyDescent="0.25">
      <c r="A682" t="s">
        <v>743</v>
      </c>
      <c r="B682" t="s">
        <v>744</v>
      </c>
      <c r="C682" t="s">
        <v>166</v>
      </c>
      <c r="D682" t="s">
        <v>167</v>
      </c>
      <c r="E682" t="s">
        <v>751</v>
      </c>
      <c r="F682" s="1">
        <v>45691</v>
      </c>
      <c r="G682" s="1">
        <v>45751</v>
      </c>
      <c r="H682">
        <v>60</v>
      </c>
      <c r="I682">
        <v>44633.77</v>
      </c>
      <c r="J682">
        <v>33225.54</v>
      </c>
      <c r="K682">
        <v>11408.23</v>
      </c>
      <c r="L682" s="1">
        <v>45733</v>
      </c>
      <c r="M682">
        <v>118</v>
      </c>
      <c r="N682">
        <v>58</v>
      </c>
      <c r="O682" t="s">
        <v>29</v>
      </c>
      <c r="P682">
        <v>0.01</v>
      </c>
      <c r="Q682">
        <v>0</v>
      </c>
    </row>
    <row r="683" spans="1:17" x14ac:dyDescent="0.25">
      <c r="A683" t="s">
        <v>743</v>
      </c>
      <c r="B683" t="s">
        <v>744</v>
      </c>
      <c r="C683" t="s">
        <v>166</v>
      </c>
      <c r="D683" t="s">
        <v>167</v>
      </c>
      <c r="E683" t="s">
        <v>752</v>
      </c>
      <c r="F683" s="1">
        <v>45706</v>
      </c>
      <c r="G683" s="1">
        <v>45796</v>
      </c>
      <c r="H683">
        <v>90</v>
      </c>
      <c r="I683">
        <v>65002.8</v>
      </c>
      <c r="J683">
        <v>65002.8</v>
      </c>
      <c r="K683">
        <v>0</v>
      </c>
      <c r="L683" s="1">
        <v>45826</v>
      </c>
      <c r="M683">
        <v>103</v>
      </c>
      <c r="N683">
        <v>13</v>
      </c>
      <c r="O683" t="s">
        <v>25</v>
      </c>
      <c r="P683">
        <v>2.5000000000000001E-2</v>
      </c>
      <c r="Q683">
        <v>0</v>
      </c>
    </row>
    <row r="684" spans="1:17" x14ac:dyDescent="0.25">
      <c r="A684" t="s">
        <v>743</v>
      </c>
      <c r="B684" t="s">
        <v>744</v>
      </c>
      <c r="C684" t="s">
        <v>166</v>
      </c>
      <c r="D684" t="s">
        <v>167</v>
      </c>
      <c r="E684" t="s">
        <v>753</v>
      </c>
      <c r="F684" s="1">
        <v>45761</v>
      </c>
      <c r="G684" s="1">
        <v>45776</v>
      </c>
      <c r="H684">
        <v>15</v>
      </c>
      <c r="I684">
        <v>15046.96</v>
      </c>
      <c r="J684">
        <v>15046.96</v>
      </c>
      <c r="K684">
        <v>0</v>
      </c>
      <c r="L684" s="1">
        <v>45764</v>
      </c>
      <c r="M684">
        <v>48</v>
      </c>
      <c r="N684">
        <v>33</v>
      </c>
      <c r="O684" t="s">
        <v>25</v>
      </c>
      <c r="P684">
        <v>0.02</v>
      </c>
      <c r="Q684">
        <v>300.94</v>
      </c>
    </row>
    <row r="685" spans="1:17" x14ac:dyDescent="0.25">
      <c r="A685" t="s">
        <v>743</v>
      </c>
      <c r="B685" t="s">
        <v>744</v>
      </c>
      <c r="C685" t="s">
        <v>166</v>
      </c>
      <c r="D685" t="s">
        <v>167</v>
      </c>
      <c r="E685" t="s">
        <v>754</v>
      </c>
      <c r="F685" s="1">
        <v>45734</v>
      </c>
      <c r="G685" s="1">
        <v>45824</v>
      </c>
      <c r="H685">
        <v>90</v>
      </c>
      <c r="I685">
        <v>33611.42</v>
      </c>
      <c r="J685">
        <v>0</v>
      </c>
      <c r="K685">
        <v>33611.42</v>
      </c>
      <c r="M685">
        <v>75</v>
      </c>
      <c r="N685">
        <v>0</v>
      </c>
      <c r="O685" t="s">
        <v>22</v>
      </c>
      <c r="P685">
        <v>0.01</v>
      </c>
      <c r="Q685">
        <v>0</v>
      </c>
    </row>
    <row r="686" spans="1:17" x14ac:dyDescent="0.25">
      <c r="A686" t="s">
        <v>743</v>
      </c>
      <c r="B686" t="s">
        <v>744</v>
      </c>
      <c r="C686" t="s">
        <v>166</v>
      </c>
      <c r="D686" t="s">
        <v>167</v>
      </c>
      <c r="E686" t="s">
        <v>755</v>
      </c>
      <c r="F686" s="1">
        <v>45706</v>
      </c>
      <c r="G686" s="1">
        <v>45721</v>
      </c>
      <c r="H686">
        <v>15</v>
      </c>
      <c r="I686">
        <v>33735.58</v>
      </c>
      <c r="J686">
        <v>33735.58</v>
      </c>
      <c r="K686">
        <v>0</v>
      </c>
      <c r="L686" s="1">
        <v>45709</v>
      </c>
      <c r="M686">
        <v>103</v>
      </c>
      <c r="N686">
        <v>88</v>
      </c>
      <c r="O686" t="s">
        <v>25</v>
      </c>
      <c r="P686">
        <v>0.01</v>
      </c>
      <c r="Q686">
        <v>337.36</v>
      </c>
    </row>
    <row r="687" spans="1:17" x14ac:dyDescent="0.25">
      <c r="A687" t="s">
        <v>743</v>
      </c>
      <c r="B687" t="s">
        <v>744</v>
      </c>
      <c r="C687" t="s">
        <v>166</v>
      </c>
      <c r="D687" t="s">
        <v>167</v>
      </c>
      <c r="E687" t="s">
        <v>756</v>
      </c>
      <c r="F687" s="1">
        <v>45641</v>
      </c>
      <c r="G687" s="1">
        <v>45701</v>
      </c>
      <c r="H687">
        <v>60</v>
      </c>
      <c r="I687">
        <v>60433.84</v>
      </c>
      <c r="J687">
        <v>60433.84</v>
      </c>
      <c r="K687">
        <v>0</v>
      </c>
      <c r="L687" s="1">
        <v>45690</v>
      </c>
      <c r="M687">
        <v>168</v>
      </c>
      <c r="N687">
        <v>108</v>
      </c>
      <c r="O687" t="s">
        <v>25</v>
      </c>
      <c r="P687">
        <v>0.01</v>
      </c>
      <c r="Q687">
        <v>604.34</v>
      </c>
    </row>
    <row r="688" spans="1:17" x14ac:dyDescent="0.25">
      <c r="A688" t="s">
        <v>743</v>
      </c>
      <c r="B688" t="s">
        <v>744</v>
      </c>
      <c r="C688" t="s">
        <v>166</v>
      </c>
      <c r="D688" t="s">
        <v>167</v>
      </c>
      <c r="E688" t="s">
        <v>757</v>
      </c>
      <c r="F688" s="1">
        <v>45709</v>
      </c>
      <c r="G688" s="1">
        <v>45799</v>
      </c>
      <c r="H688">
        <v>90</v>
      </c>
      <c r="I688">
        <v>58580.81</v>
      </c>
      <c r="J688">
        <v>58580.81</v>
      </c>
      <c r="K688">
        <v>0</v>
      </c>
      <c r="L688" s="1">
        <v>45818</v>
      </c>
      <c r="M688">
        <v>100</v>
      </c>
      <c r="N688">
        <v>10</v>
      </c>
      <c r="O688" t="s">
        <v>25</v>
      </c>
      <c r="P688">
        <v>0.01</v>
      </c>
      <c r="Q688">
        <v>0</v>
      </c>
    </row>
    <row r="689" spans="1:17" x14ac:dyDescent="0.25">
      <c r="A689" t="s">
        <v>743</v>
      </c>
      <c r="B689" t="s">
        <v>744</v>
      </c>
      <c r="C689" t="s">
        <v>166</v>
      </c>
      <c r="D689" t="s">
        <v>167</v>
      </c>
      <c r="E689" t="s">
        <v>758</v>
      </c>
      <c r="F689" s="1">
        <v>45694</v>
      </c>
      <c r="G689" s="1">
        <v>45739</v>
      </c>
      <c r="H689">
        <v>45</v>
      </c>
      <c r="I689">
        <v>45655.68</v>
      </c>
      <c r="J689">
        <v>45655.68</v>
      </c>
      <c r="K689">
        <v>0</v>
      </c>
      <c r="L689" s="1">
        <v>45739</v>
      </c>
      <c r="M689">
        <v>115</v>
      </c>
      <c r="N689">
        <v>70</v>
      </c>
      <c r="O689" t="s">
        <v>25</v>
      </c>
      <c r="P689">
        <v>2.5000000000000001E-2</v>
      </c>
      <c r="Q689">
        <v>0</v>
      </c>
    </row>
    <row r="690" spans="1:17" x14ac:dyDescent="0.25">
      <c r="A690" t="s">
        <v>743</v>
      </c>
      <c r="B690" t="s">
        <v>744</v>
      </c>
      <c r="C690" t="s">
        <v>166</v>
      </c>
      <c r="D690" t="s">
        <v>167</v>
      </c>
      <c r="E690" t="s">
        <v>759</v>
      </c>
      <c r="F690" s="1">
        <v>45669</v>
      </c>
      <c r="G690" s="1">
        <v>45729</v>
      </c>
      <c r="H690">
        <v>60</v>
      </c>
      <c r="I690">
        <v>79786.789999999994</v>
      </c>
      <c r="J690">
        <v>79786.789999999994</v>
      </c>
      <c r="K690">
        <v>0</v>
      </c>
      <c r="L690" s="1">
        <v>45754</v>
      </c>
      <c r="M690">
        <v>140</v>
      </c>
      <c r="N690">
        <v>80</v>
      </c>
      <c r="O690" t="s">
        <v>25</v>
      </c>
      <c r="P690">
        <v>0.02</v>
      </c>
      <c r="Q690">
        <v>0</v>
      </c>
    </row>
    <row r="691" spans="1:17" x14ac:dyDescent="0.25">
      <c r="A691" t="s">
        <v>743</v>
      </c>
      <c r="B691" t="s">
        <v>744</v>
      </c>
      <c r="C691" t="s">
        <v>166</v>
      </c>
      <c r="D691" t="s">
        <v>167</v>
      </c>
      <c r="E691" t="s">
        <v>760</v>
      </c>
      <c r="F691" s="1">
        <v>45731</v>
      </c>
      <c r="G691" s="1">
        <v>45746</v>
      </c>
      <c r="H691">
        <v>15</v>
      </c>
      <c r="I691">
        <v>70623.62</v>
      </c>
      <c r="J691">
        <v>0</v>
      </c>
      <c r="K691">
        <v>70623.62</v>
      </c>
      <c r="M691">
        <v>78</v>
      </c>
      <c r="N691">
        <v>63</v>
      </c>
      <c r="O691" t="s">
        <v>36</v>
      </c>
      <c r="P691">
        <v>0.02</v>
      </c>
      <c r="Q691">
        <v>0</v>
      </c>
    </row>
    <row r="692" spans="1:17" x14ac:dyDescent="0.25">
      <c r="A692" t="s">
        <v>743</v>
      </c>
      <c r="B692" t="s">
        <v>744</v>
      </c>
      <c r="C692" t="s">
        <v>166</v>
      </c>
      <c r="D692" t="s">
        <v>167</v>
      </c>
      <c r="E692" t="s">
        <v>761</v>
      </c>
      <c r="F692" s="1">
        <v>45665</v>
      </c>
      <c r="G692" s="1">
        <v>45695</v>
      </c>
      <c r="H692">
        <v>30</v>
      </c>
      <c r="I692">
        <v>28057.51</v>
      </c>
      <c r="J692">
        <v>28057.51</v>
      </c>
      <c r="K692">
        <v>0</v>
      </c>
      <c r="L692" s="1">
        <v>45676</v>
      </c>
      <c r="M692">
        <v>144</v>
      </c>
      <c r="N692">
        <v>114</v>
      </c>
      <c r="O692" t="s">
        <v>25</v>
      </c>
      <c r="P692">
        <v>0.01</v>
      </c>
      <c r="Q692">
        <v>280.58</v>
      </c>
    </row>
    <row r="693" spans="1:17" x14ac:dyDescent="0.25">
      <c r="A693" t="s">
        <v>743</v>
      </c>
      <c r="B693" t="s">
        <v>744</v>
      </c>
      <c r="C693" t="s">
        <v>166</v>
      </c>
      <c r="D693" t="s">
        <v>167</v>
      </c>
      <c r="E693" t="s">
        <v>762</v>
      </c>
      <c r="F693" s="1">
        <v>45776</v>
      </c>
      <c r="G693" s="1">
        <v>45836</v>
      </c>
      <c r="H693">
        <v>60</v>
      </c>
      <c r="I693">
        <v>72321.27</v>
      </c>
      <c r="J693">
        <v>0</v>
      </c>
      <c r="K693">
        <v>72321.27</v>
      </c>
      <c r="M693">
        <v>33</v>
      </c>
      <c r="N693">
        <v>0</v>
      </c>
      <c r="O693" t="s">
        <v>22</v>
      </c>
      <c r="P693">
        <v>0.02</v>
      </c>
      <c r="Q693">
        <v>0</v>
      </c>
    </row>
    <row r="694" spans="1:17" x14ac:dyDescent="0.25">
      <c r="A694" t="s">
        <v>743</v>
      </c>
      <c r="B694" t="s">
        <v>744</v>
      </c>
      <c r="C694" t="s">
        <v>166</v>
      </c>
      <c r="D694" t="s">
        <v>167</v>
      </c>
      <c r="E694" t="s">
        <v>763</v>
      </c>
      <c r="F694" s="1">
        <v>45721</v>
      </c>
      <c r="G694" s="1">
        <v>45766</v>
      </c>
      <c r="H694">
        <v>45</v>
      </c>
      <c r="I694">
        <v>44586.35</v>
      </c>
      <c r="J694">
        <v>34207.85</v>
      </c>
      <c r="K694">
        <v>10378.5</v>
      </c>
      <c r="L694" s="1">
        <v>45748</v>
      </c>
      <c r="M694">
        <v>88</v>
      </c>
      <c r="N694">
        <v>43</v>
      </c>
      <c r="O694" t="s">
        <v>29</v>
      </c>
      <c r="P694">
        <v>0</v>
      </c>
      <c r="Q694">
        <v>0</v>
      </c>
    </row>
    <row r="695" spans="1:17" x14ac:dyDescent="0.25">
      <c r="A695" t="s">
        <v>743</v>
      </c>
      <c r="B695" t="s">
        <v>744</v>
      </c>
      <c r="C695" t="s">
        <v>166</v>
      </c>
      <c r="D695" t="s">
        <v>167</v>
      </c>
      <c r="E695" t="s">
        <v>764</v>
      </c>
      <c r="F695" s="1">
        <v>45797</v>
      </c>
      <c r="G695" s="1">
        <v>45842</v>
      </c>
      <c r="H695">
        <v>45</v>
      </c>
      <c r="I695">
        <v>74713.509999999995</v>
      </c>
      <c r="J695">
        <v>0</v>
      </c>
      <c r="K695">
        <v>74713.509999999995</v>
      </c>
      <c r="M695">
        <v>12</v>
      </c>
      <c r="N695">
        <v>0</v>
      </c>
      <c r="O695" t="s">
        <v>22</v>
      </c>
      <c r="P695">
        <v>0.02</v>
      </c>
      <c r="Q695">
        <v>0</v>
      </c>
    </row>
    <row r="696" spans="1:17" x14ac:dyDescent="0.25">
      <c r="A696" t="s">
        <v>743</v>
      </c>
      <c r="B696" t="s">
        <v>744</v>
      </c>
      <c r="C696" t="s">
        <v>166</v>
      </c>
      <c r="D696" t="s">
        <v>167</v>
      </c>
      <c r="E696" t="s">
        <v>765</v>
      </c>
      <c r="F696" s="1">
        <v>45715</v>
      </c>
      <c r="G696" s="1">
        <v>45745</v>
      </c>
      <c r="H696">
        <v>30</v>
      </c>
      <c r="I696">
        <v>57971.31</v>
      </c>
      <c r="J696">
        <v>57971.31</v>
      </c>
      <c r="K696">
        <v>0</v>
      </c>
      <c r="L696" s="1">
        <v>45739</v>
      </c>
      <c r="M696">
        <v>94</v>
      </c>
      <c r="N696">
        <v>64</v>
      </c>
      <c r="O696" t="s">
        <v>25</v>
      </c>
      <c r="P696">
        <v>2.5000000000000001E-2</v>
      </c>
      <c r="Q696">
        <v>1449.28</v>
      </c>
    </row>
    <row r="697" spans="1:17" x14ac:dyDescent="0.25">
      <c r="A697" t="s">
        <v>743</v>
      </c>
      <c r="B697" t="s">
        <v>744</v>
      </c>
      <c r="C697" t="s">
        <v>166</v>
      </c>
      <c r="D697" t="s">
        <v>167</v>
      </c>
      <c r="E697" t="s">
        <v>766</v>
      </c>
      <c r="F697" s="1">
        <v>45719</v>
      </c>
      <c r="G697" s="1">
        <v>45779</v>
      </c>
      <c r="H697">
        <v>60</v>
      </c>
      <c r="I697">
        <v>42934.19</v>
      </c>
      <c r="J697">
        <v>42934.19</v>
      </c>
      <c r="K697">
        <v>0</v>
      </c>
      <c r="L697" s="1">
        <v>45753</v>
      </c>
      <c r="M697">
        <v>90</v>
      </c>
      <c r="N697">
        <v>30</v>
      </c>
      <c r="O697" t="s">
        <v>25</v>
      </c>
      <c r="P697">
        <v>2.5000000000000001E-2</v>
      </c>
      <c r="Q697">
        <v>1073.3499999999999</v>
      </c>
    </row>
    <row r="698" spans="1:17" x14ac:dyDescent="0.25">
      <c r="A698" t="s">
        <v>743</v>
      </c>
      <c r="B698" t="s">
        <v>744</v>
      </c>
      <c r="C698" t="s">
        <v>166</v>
      </c>
      <c r="D698" t="s">
        <v>167</v>
      </c>
      <c r="E698" t="s">
        <v>767</v>
      </c>
      <c r="F698" s="1">
        <v>45778</v>
      </c>
      <c r="G698" s="1">
        <v>45823</v>
      </c>
      <c r="H698">
        <v>45</v>
      </c>
      <c r="I698">
        <v>2358.7600000000002</v>
      </c>
      <c r="J698">
        <v>0</v>
      </c>
      <c r="K698">
        <v>2358.7600000000002</v>
      </c>
      <c r="M698">
        <v>31</v>
      </c>
      <c r="N698">
        <v>0</v>
      </c>
      <c r="O698" t="s">
        <v>22</v>
      </c>
      <c r="P698">
        <v>0.02</v>
      </c>
      <c r="Q698">
        <v>0</v>
      </c>
    </row>
    <row r="699" spans="1:17" x14ac:dyDescent="0.25">
      <c r="A699" t="s">
        <v>743</v>
      </c>
      <c r="B699" t="s">
        <v>744</v>
      </c>
      <c r="C699" t="s">
        <v>166</v>
      </c>
      <c r="D699" t="s">
        <v>167</v>
      </c>
      <c r="E699" t="s">
        <v>768</v>
      </c>
      <c r="F699" s="1">
        <v>45648</v>
      </c>
      <c r="G699" s="1">
        <v>45693</v>
      </c>
      <c r="H699">
        <v>45</v>
      </c>
      <c r="I699">
        <v>12020.54</v>
      </c>
      <c r="J699">
        <v>12020.54</v>
      </c>
      <c r="K699">
        <v>0</v>
      </c>
      <c r="L699" s="1">
        <v>45672</v>
      </c>
      <c r="M699">
        <v>161</v>
      </c>
      <c r="N699">
        <v>116</v>
      </c>
      <c r="O699" t="s">
        <v>25</v>
      </c>
      <c r="P699">
        <v>0.01</v>
      </c>
      <c r="Q699">
        <v>120.21</v>
      </c>
    </row>
    <row r="700" spans="1:17" x14ac:dyDescent="0.25">
      <c r="A700" t="s">
        <v>743</v>
      </c>
      <c r="B700" t="s">
        <v>744</v>
      </c>
      <c r="C700" t="s">
        <v>166</v>
      </c>
      <c r="D700" t="s">
        <v>167</v>
      </c>
      <c r="E700" t="s">
        <v>769</v>
      </c>
      <c r="F700" s="1">
        <v>45705</v>
      </c>
      <c r="G700" s="1">
        <v>45735</v>
      </c>
      <c r="H700">
        <v>30</v>
      </c>
      <c r="I700">
        <v>61237.73</v>
      </c>
      <c r="J700">
        <v>29383.47</v>
      </c>
      <c r="K700">
        <v>31854.26</v>
      </c>
      <c r="L700" s="1">
        <v>45799</v>
      </c>
      <c r="M700">
        <v>104</v>
      </c>
      <c r="N700">
        <v>74</v>
      </c>
      <c r="O700" t="s">
        <v>29</v>
      </c>
      <c r="P700">
        <v>0</v>
      </c>
      <c r="Q700">
        <v>0</v>
      </c>
    </row>
    <row r="701" spans="1:17" x14ac:dyDescent="0.25">
      <c r="A701" t="s">
        <v>743</v>
      </c>
      <c r="B701" t="s">
        <v>744</v>
      </c>
      <c r="C701" t="s">
        <v>166</v>
      </c>
      <c r="D701" t="s">
        <v>167</v>
      </c>
      <c r="E701" t="s">
        <v>770</v>
      </c>
      <c r="F701" s="1">
        <v>45648</v>
      </c>
      <c r="G701" s="1">
        <v>45663</v>
      </c>
      <c r="H701">
        <v>15</v>
      </c>
      <c r="I701">
        <v>10983.97</v>
      </c>
      <c r="J701">
        <v>10983.97</v>
      </c>
      <c r="K701">
        <v>0</v>
      </c>
      <c r="L701" s="1">
        <v>45662</v>
      </c>
      <c r="M701">
        <v>161</v>
      </c>
      <c r="N701">
        <v>146</v>
      </c>
      <c r="O701" t="s">
        <v>25</v>
      </c>
      <c r="P701">
        <v>0.01</v>
      </c>
      <c r="Q701">
        <v>0</v>
      </c>
    </row>
    <row r="702" spans="1:17" x14ac:dyDescent="0.25">
      <c r="A702" t="s">
        <v>743</v>
      </c>
      <c r="B702" t="s">
        <v>744</v>
      </c>
      <c r="C702" t="s">
        <v>166</v>
      </c>
      <c r="D702" t="s">
        <v>167</v>
      </c>
      <c r="E702" t="s">
        <v>771</v>
      </c>
      <c r="F702" s="1">
        <v>45664</v>
      </c>
      <c r="G702" s="1">
        <v>45694</v>
      </c>
      <c r="H702">
        <v>30</v>
      </c>
      <c r="I702">
        <v>72530.73</v>
      </c>
      <c r="J702">
        <v>72530.73</v>
      </c>
      <c r="K702">
        <v>0</v>
      </c>
      <c r="L702" s="1">
        <v>45706</v>
      </c>
      <c r="M702">
        <v>145</v>
      </c>
      <c r="N702">
        <v>115</v>
      </c>
      <c r="O702" t="s">
        <v>25</v>
      </c>
      <c r="P702">
        <v>2.5000000000000001E-2</v>
      </c>
      <c r="Q702">
        <v>0</v>
      </c>
    </row>
    <row r="703" spans="1:17" x14ac:dyDescent="0.25">
      <c r="A703" t="s">
        <v>743</v>
      </c>
      <c r="B703" t="s">
        <v>744</v>
      </c>
      <c r="C703" t="s">
        <v>166</v>
      </c>
      <c r="D703" t="s">
        <v>167</v>
      </c>
      <c r="E703" t="s">
        <v>772</v>
      </c>
      <c r="F703" s="1">
        <v>45740</v>
      </c>
      <c r="G703" s="1">
        <v>45755</v>
      </c>
      <c r="H703">
        <v>15</v>
      </c>
      <c r="I703">
        <v>48553.440000000002</v>
      </c>
      <c r="J703">
        <v>0</v>
      </c>
      <c r="K703">
        <v>48553.440000000002</v>
      </c>
      <c r="M703">
        <v>69</v>
      </c>
      <c r="N703">
        <v>54</v>
      </c>
      <c r="O703" t="s">
        <v>36</v>
      </c>
      <c r="P703">
        <v>0.01</v>
      </c>
      <c r="Q70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Rengifo</dc:creator>
  <cp:lastModifiedBy>Carlos Rengifo</cp:lastModifiedBy>
  <dcterms:created xsi:type="dcterms:W3CDTF">2026-06-07T16:38:21Z</dcterms:created>
  <dcterms:modified xsi:type="dcterms:W3CDTF">2026-06-07T16:54:04Z</dcterms:modified>
</cp:coreProperties>
</file>