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ject Program\dashboard-tools-10-ap-and-ar\03-dispute-resolution-tracker\"/>
    </mc:Choice>
  </mc:AlternateContent>
  <xr:revisionPtr revIDLastSave="0" documentId="13_ncr:1_{F1375656-EADC-4FE5-96F2-A22D275B9EBF}" xr6:coauthVersionLast="47" xr6:coauthVersionMax="47" xr10:uidLastSave="{00000000-0000-0000-0000-000000000000}"/>
  <bookViews>
    <workbookView xWindow="585" yWindow="165" windowWidth="21600" windowHeight="11295" xr2:uid="{83B3EC4B-6312-44A0-B1D4-24D39758DAA2}"/>
  </bookViews>
  <sheets>
    <sheet name="Dashboard" sheetId="2" r:id="rId1"/>
    <sheet name="Data" sheetId="1" r:id="rId2"/>
  </sheets>
  <definedNames>
    <definedName name="SegmentaciónDeDatos_dispute_type">#N/A</definedName>
    <definedName name="SegmentaciónDeDatos_priority">#N/A</definedName>
    <definedName name="SegmentaciónDeDatos_status">#N/A</definedName>
  </definedNames>
  <calcPr calcId="191029"/>
  <pivotCaches>
    <pivotCache cacheId="17" r:id="rId3"/>
    <pivotCache cacheId="20" r:id="rId4"/>
    <pivotCache cacheId="2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2" l="1"/>
  <c r="F5" i="2"/>
  <c r="J5" i="2"/>
  <c r="N5" i="2"/>
</calcChain>
</file>

<file path=xl/sharedStrings.xml><?xml version="1.0" encoding="utf-8"?>
<sst xmlns="http://schemas.openxmlformats.org/spreadsheetml/2006/main" count="6082" uniqueCount="1207">
  <si>
    <t>dispute_id</t>
  </si>
  <si>
    <t>invoice_id</t>
  </si>
  <si>
    <t>vendor_id</t>
  </si>
  <si>
    <t>vendor_name</t>
  </si>
  <si>
    <t>vendor_category</t>
  </si>
  <si>
    <t>region</t>
  </si>
  <si>
    <t>dispute_date</t>
  </si>
  <si>
    <t>dispute_type</t>
  </si>
  <si>
    <t>invoice_amount</t>
  </si>
  <si>
    <t>dispute_amount</t>
  </si>
  <si>
    <t>priority</t>
  </si>
  <si>
    <t>assigned_to</t>
  </si>
  <si>
    <t>status</t>
  </si>
  <si>
    <t>days_open</t>
  </si>
  <si>
    <t>resolution_date</t>
  </si>
  <si>
    <t>resolution_days</t>
  </si>
  <si>
    <t>resolution_outcome</t>
  </si>
  <si>
    <t>credit_amount</t>
  </si>
  <si>
    <t>DIS-0001</t>
  </si>
  <si>
    <t>INV-1001</t>
  </si>
  <si>
    <t>VND-001</t>
  </si>
  <si>
    <t>Acero Nacional SA</t>
  </si>
  <si>
    <t>Materials</t>
  </si>
  <si>
    <t>North</t>
  </si>
  <si>
    <t>Contract Terms</t>
  </si>
  <si>
    <t>Low</t>
  </si>
  <si>
    <t>Carlos Mendez</t>
  </si>
  <si>
    <t>Resolved</t>
  </si>
  <si>
    <t>Full Credit</t>
  </si>
  <si>
    <t>DIS-0002</t>
  </si>
  <si>
    <t>INV-1002</t>
  </si>
  <si>
    <t>Medium</t>
  </si>
  <si>
    <t>Valeria Moreno</t>
  </si>
  <si>
    <t>DIS-0003</t>
  </si>
  <si>
    <t>INV-1003</t>
  </si>
  <si>
    <t>Missing Goods</t>
  </si>
  <si>
    <t>Sofia Ruiz</t>
  </si>
  <si>
    <t>Open</t>
  </si>
  <si>
    <t>Pending</t>
  </si>
  <si>
    <t>DIS-0004</t>
  </si>
  <si>
    <t>INV-1004</t>
  </si>
  <si>
    <t>Marta Lopez</t>
  </si>
  <si>
    <t>Closed</t>
  </si>
  <si>
    <t>Partial Credit</t>
  </si>
  <si>
    <t>DIS-0005</t>
  </si>
  <si>
    <t>INV-1005</t>
  </si>
  <si>
    <t>Luis Herrera</t>
  </si>
  <si>
    <t>Escalated</t>
  </si>
  <si>
    <t>Payment Adjusted</t>
  </si>
  <si>
    <t>DIS-0006</t>
  </si>
  <si>
    <t>INV-1006</t>
  </si>
  <si>
    <t>Duplicate Invoice</t>
  </si>
  <si>
    <t>Diego Castillo</t>
  </si>
  <si>
    <t>In Progress</t>
  </si>
  <si>
    <t>DIS-0007</t>
  </si>
  <si>
    <t>INV-1007</t>
  </si>
  <si>
    <t>Critical</t>
  </si>
  <si>
    <t>DIS-0008</t>
  </si>
  <si>
    <t>INV-1008</t>
  </si>
  <si>
    <t>Service Quality</t>
  </si>
  <si>
    <t>DIS-0009</t>
  </si>
  <si>
    <t>INV-1009</t>
  </si>
  <si>
    <t>DIS-0010</t>
  </si>
  <si>
    <t>INV-1010</t>
  </si>
  <si>
    <t>DIS-0011</t>
  </si>
  <si>
    <t>INV-1011</t>
  </si>
  <si>
    <t>Damaged Goods</t>
  </si>
  <si>
    <t>Juan Vargas</t>
  </si>
  <si>
    <t>DIS-0012</t>
  </si>
  <si>
    <t>INV-1012</t>
  </si>
  <si>
    <t>DIS-0013</t>
  </si>
  <si>
    <t>INV-1013</t>
  </si>
  <si>
    <t>Ana Torres</t>
  </si>
  <si>
    <t>DIS-0014</t>
  </si>
  <si>
    <t>INV-1014</t>
  </si>
  <si>
    <t>DIS-0015</t>
  </si>
  <si>
    <t>INV-1015</t>
  </si>
  <si>
    <t>Price Discrepancy</t>
  </si>
  <si>
    <t>DIS-0016</t>
  </si>
  <si>
    <t>INV-1016</t>
  </si>
  <si>
    <t>DIS-0017</t>
  </si>
  <si>
    <t>INV-1017</t>
  </si>
  <si>
    <t>DIS-0018</t>
  </si>
  <si>
    <t>INV-1018</t>
  </si>
  <si>
    <t>DIS-0019</t>
  </si>
  <si>
    <t>INV-1019</t>
  </si>
  <si>
    <t>High</t>
  </si>
  <si>
    <t>DIS-0020</t>
  </si>
  <si>
    <t>INV-1020</t>
  </si>
  <si>
    <t>DIS-0021</t>
  </si>
  <si>
    <t>INV-1021</t>
  </si>
  <si>
    <t>VND-002</t>
  </si>
  <si>
    <t>TechSupplies Inc</t>
  </si>
  <si>
    <t>IT</t>
  </si>
  <si>
    <t>DIS-0022</t>
  </si>
  <si>
    <t>INV-1022</t>
  </si>
  <si>
    <t>DIS-0023</t>
  </si>
  <si>
    <t>INV-1023</t>
  </si>
  <si>
    <t>DIS-0024</t>
  </si>
  <si>
    <t>INV-1024</t>
  </si>
  <si>
    <t>DIS-0025</t>
  </si>
  <si>
    <t>INV-1025</t>
  </si>
  <si>
    <t>DIS-0026</t>
  </si>
  <si>
    <t>INV-1026</t>
  </si>
  <si>
    <t>DIS-0027</t>
  </si>
  <si>
    <t>INV-1027</t>
  </si>
  <si>
    <t>DIS-0028</t>
  </si>
  <si>
    <t>INV-1028</t>
  </si>
  <si>
    <t>DIS-0029</t>
  </si>
  <si>
    <t>INV-1029</t>
  </si>
  <si>
    <t>DIS-0030</t>
  </si>
  <si>
    <t>INV-1030</t>
  </si>
  <si>
    <t>DIS-0031</t>
  </si>
  <si>
    <t>INV-1031</t>
  </si>
  <si>
    <t>DIS-0032</t>
  </si>
  <si>
    <t>INV-1032</t>
  </si>
  <si>
    <t>DIS-0033</t>
  </si>
  <si>
    <t>INV-1033</t>
  </si>
  <si>
    <t>No Action</t>
  </si>
  <si>
    <t>DIS-0034</t>
  </si>
  <si>
    <t>INV-1034</t>
  </si>
  <si>
    <t>DIS-0035</t>
  </si>
  <si>
    <t>INV-1035</t>
  </si>
  <si>
    <t>DIS-0036</t>
  </si>
  <si>
    <t>INV-1036</t>
  </si>
  <si>
    <t>DIS-0037</t>
  </si>
  <si>
    <t>INV-1037</t>
  </si>
  <si>
    <t>DIS-0038</t>
  </si>
  <si>
    <t>INV-1038</t>
  </si>
  <si>
    <t>DIS-0039</t>
  </si>
  <si>
    <t>INV-1039</t>
  </si>
  <si>
    <t>DIS-0040</t>
  </si>
  <si>
    <t>INV-1040</t>
  </si>
  <si>
    <t>DIS-0041</t>
  </si>
  <si>
    <t>INV-1041</t>
  </si>
  <si>
    <t>DIS-0042</t>
  </si>
  <si>
    <t>INV-1042</t>
  </si>
  <si>
    <t>DIS-0043</t>
  </si>
  <si>
    <t>INV-1043</t>
  </si>
  <si>
    <t>DIS-0044</t>
  </si>
  <si>
    <t>INV-1044</t>
  </si>
  <si>
    <t>DIS-0045</t>
  </si>
  <si>
    <t>INV-1045</t>
  </si>
  <si>
    <t>DIS-0046</t>
  </si>
  <si>
    <t>INV-1046</t>
  </si>
  <si>
    <t>DIS-0047</t>
  </si>
  <si>
    <t>INV-1047</t>
  </si>
  <si>
    <t>DIS-0048</t>
  </si>
  <si>
    <t>INV-1048</t>
  </si>
  <si>
    <t>VND-003</t>
  </si>
  <si>
    <t>LogiExpress</t>
  </si>
  <si>
    <t>Logistics</t>
  </si>
  <si>
    <t>East</t>
  </si>
  <si>
    <t>DIS-0049</t>
  </si>
  <si>
    <t>INV-1049</t>
  </si>
  <si>
    <t>DIS-0050</t>
  </si>
  <si>
    <t>INV-1050</t>
  </si>
  <si>
    <t>DIS-0051</t>
  </si>
  <si>
    <t>INV-1051</t>
  </si>
  <si>
    <t>DIS-0052</t>
  </si>
  <si>
    <t>INV-1052</t>
  </si>
  <si>
    <t>DIS-0053</t>
  </si>
  <si>
    <t>INV-1053</t>
  </si>
  <si>
    <t>DIS-0054</t>
  </si>
  <si>
    <t>INV-1054</t>
  </si>
  <si>
    <t>DIS-0055</t>
  </si>
  <si>
    <t>INV-1055</t>
  </si>
  <si>
    <t>DIS-0056</t>
  </si>
  <si>
    <t>INV-1056</t>
  </si>
  <si>
    <t>DIS-0057</t>
  </si>
  <si>
    <t>INV-1057</t>
  </si>
  <si>
    <t>DIS-0058</t>
  </si>
  <si>
    <t>INV-1058</t>
  </si>
  <si>
    <t>DIS-0059</t>
  </si>
  <si>
    <t>INV-1059</t>
  </si>
  <si>
    <t>DIS-0060</t>
  </si>
  <si>
    <t>INV-1060</t>
  </si>
  <si>
    <t>DIS-0061</t>
  </si>
  <si>
    <t>INV-1061</t>
  </si>
  <si>
    <t>DIS-0062</t>
  </si>
  <si>
    <t>INV-1062</t>
  </si>
  <si>
    <t>DIS-0063</t>
  </si>
  <si>
    <t>INV-1063</t>
  </si>
  <si>
    <t>DIS-0064</t>
  </si>
  <si>
    <t>INV-1064</t>
  </si>
  <si>
    <t>DIS-0065</t>
  </si>
  <si>
    <t>INV-1065</t>
  </si>
  <si>
    <t>DIS-0066</t>
  </si>
  <si>
    <t>INV-1066</t>
  </si>
  <si>
    <t>DIS-0067</t>
  </si>
  <si>
    <t>INV-1067</t>
  </si>
  <si>
    <t>DIS-0068</t>
  </si>
  <si>
    <t>INV-1068</t>
  </si>
  <si>
    <t>DIS-0069</t>
  </si>
  <si>
    <t>INV-1069</t>
  </si>
  <si>
    <t>DIS-0070</t>
  </si>
  <si>
    <t>INV-1070</t>
  </si>
  <si>
    <t>DIS-0071</t>
  </si>
  <si>
    <t>INV-1071</t>
  </si>
  <si>
    <t>DIS-0072</t>
  </si>
  <si>
    <t>INV-1072</t>
  </si>
  <si>
    <t>DIS-0073</t>
  </si>
  <si>
    <t>INV-1073</t>
  </si>
  <si>
    <t>DIS-0074</t>
  </si>
  <si>
    <t>INV-1074</t>
  </si>
  <si>
    <t>DIS-0075</t>
  </si>
  <si>
    <t>INV-1075</t>
  </si>
  <si>
    <t>DIS-0076</t>
  </si>
  <si>
    <t>INV-1076</t>
  </si>
  <si>
    <t>DIS-0077</t>
  </si>
  <si>
    <t>INV-1077</t>
  </si>
  <si>
    <t>DIS-0078</t>
  </si>
  <si>
    <t>INV-1078</t>
  </si>
  <si>
    <t>VND-004</t>
  </si>
  <si>
    <t>Grupo Servicios Pro</t>
  </si>
  <si>
    <t>Services</t>
  </si>
  <si>
    <t>DIS-0079</t>
  </si>
  <si>
    <t>INV-1079</t>
  </si>
  <si>
    <t>DIS-0080</t>
  </si>
  <si>
    <t>INV-1080</t>
  </si>
  <si>
    <t>DIS-0081</t>
  </si>
  <si>
    <t>INV-1081</t>
  </si>
  <si>
    <t>DIS-0082</t>
  </si>
  <si>
    <t>INV-1082</t>
  </si>
  <si>
    <t>DIS-0083</t>
  </si>
  <si>
    <t>INV-1083</t>
  </si>
  <si>
    <t>DIS-0084</t>
  </si>
  <si>
    <t>INV-1084</t>
  </si>
  <si>
    <t>DIS-0085</t>
  </si>
  <si>
    <t>INV-1085</t>
  </si>
  <si>
    <t>DIS-0086</t>
  </si>
  <si>
    <t>INV-1086</t>
  </si>
  <si>
    <t>DIS-0087</t>
  </si>
  <si>
    <t>INV-1087</t>
  </si>
  <si>
    <t>DIS-0088</t>
  </si>
  <si>
    <t>INV-1088</t>
  </si>
  <si>
    <t>DIS-0089</t>
  </si>
  <si>
    <t>INV-1089</t>
  </si>
  <si>
    <t>DIS-0090</t>
  </si>
  <si>
    <t>INV-1090</t>
  </si>
  <si>
    <t>DIS-0091</t>
  </si>
  <si>
    <t>INV-1091</t>
  </si>
  <si>
    <t>DIS-0092</t>
  </si>
  <si>
    <t>INV-1092</t>
  </si>
  <si>
    <t>DIS-0093</t>
  </si>
  <si>
    <t>INV-1093</t>
  </si>
  <si>
    <t>DIS-0094</t>
  </si>
  <si>
    <t>INV-1094</t>
  </si>
  <si>
    <t>DIS-0095</t>
  </si>
  <si>
    <t>INV-1095</t>
  </si>
  <si>
    <t>DIS-0096</t>
  </si>
  <si>
    <t>INV-1096</t>
  </si>
  <si>
    <t>DIS-0097</t>
  </si>
  <si>
    <t>INV-1097</t>
  </si>
  <si>
    <t>DIS-0098</t>
  </si>
  <si>
    <t>INV-1098</t>
  </si>
  <si>
    <t>DIS-0099</t>
  </si>
  <si>
    <t>INV-1099</t>
  </si>
  <si>
    <t>DIS-0100</t>
  </si>
  <si>
    <t>INV-1100</t>
  </si>
  <si>
    <t>DIS-0101</t>
  </si>
  <si>
    <t>INV-1101</t>
  </si>
  <si>
    <t>DIS-0102</t>
  </si>
  <si>
    <t>INV-1102</t>
  </si>
  <si>
    <t>DIS-0103</t>
  </si>
  <si>
    <t>INV-1103</t>
  </si>
  <si>
    <t>DIS-0104</t>
  </si>
  <si>
    <t>INV-1104</t>
  </si>
  <si>
    <t>DIS-0105</t>
  </si>
  <si>
    <t>INV-1105</t>
  </si>
  <si>
    <t>DIS-0106</t>
  </si>
  <si>
    <t>INV-1106</t>
  </si>
  <si>
    <t>DIS-0107</t>
  </si>
  <si>
    <t>INV-1107</t>
  </si>
  <si>
    <t>DIS-0108</t>
  </si>
  <si>
    <t>INV-1108</t>
  </si>
  <si>
    <t>DIS-0109</t>
  </si>
  <si>
    <t>INV-1109</t>
  </si>
  <si>
    <t>VND-005</t>
  </si>
  <si>
    <t>EnergyPlus Corp</t>
  </si>
  <si>
    <t>Utilities</t>
  </si>
  <si>
    <t>Central</t>
  </si>
  <si>
    <t>DIS-0110</t>
  </si>
  <si>
    <t>INV-1110</t>
  </si>
  <si>
    <t>DIS-0111</t>
  </si>
  <si>
    <t>INV-1111</t>
  </si>
  <si>
    <t>DIS-0112</t>
  </si>
  <si>
    <t>INV-1112</t>
  </si>
  <si>
    <t>DIS-0113</t>
  </si>
  <si>
    <t>INV-1113</t>
  </si>
  <si>
    <t>DIS-0114</t>
  </si>
  <si>
    <t>INV-1114</t>
  </si>
  <si>
    <t>DIS-0115</t>
  </si>
  <si>
    <t>INV-1115</t>
  </si>
  <si>
    <t>DIS-0116</t>
  </si>
  <si>
    <t>INV-1116</t>
  </si>
  <si>
    <t>DIS-0117</t>
  </si>
  <si>
    <t>INV-1117</t>
  </si>
  <si>
    <t>DIS-0118</t>
  </si>
  <si>
    <t>INV-1118</t>
  </si>
  <si>
    <t>DIS-0119</t>
  </si>
  <si>
    <t>INV-1119</t>
  </si>
  <si>
    <t>DIS-0120</t>
  </si>
  <si>
    <t>INV-1120</t>
  </si>
  <si>
    <t>DIS-0121</t>
  </si>
  <si>
    <t>INV-1121</t>
  </si>
  <si>
    <t>DIS-0122</t>
  </si>
  <si>
    <t>INV-1122</t>
  </si>
  <si>
    <t>DIS-0123</t>
  </si>
  <si>
    <t>INV-1123</t>
  </si>
  <si>
    <t>DIS-0124</t>
  </si>
  <si>
    <t>INV-1124</t>
  </si>
  <si>
    <t>DIS-0125</t>
  </si>
  <si>
    <t>INV-1125</t>
  </si>
  <si>
    <t>DIS-0126</t>
  </si>
  <si>
    <t>INV-1126</t>
  </si>
  <si>
    <t>DIS-0127</t>
  </si>
  <si>
    <t>INV-1127</t>
  </si>
  <si>
    <t>DIS-0128</t>
  </si>
  <si>
    <t>INV-1128</t>
  </si>
  <si>
    <t>DIS-0129</t>
  </si>
  <si>
    <t>INV-1129</t>
  </si>
  <si>
    <t>DIS-0130</t>
  </si>
  <si>
    <t>INV-1130</t>
  </si>
  <si>
    <t>DIS-0131</t>
  </si>
  <si>
    <t>INV-1131</t>
  </si>
  <si>
    <t>DIS-0132</t>
  </si>
  <si>
    <t>INV-1132</t>
  </si>
  <si>
    <t>DIS-0133</t>
  </si>
  <si>
    <t>INV-1133</t>
  </si>
  <si>
    <t>DIS-0134</t>
  </si>
  <si>
    <t>INV-1134</t>
  </si>
  <si>
    <t>DIS-0135</t>
  </si>
  <si>
    <t>INV-1135</t>
  </si>
  <si>
    <t>DIS-0136</t>
  </si>
  <si>
    <t>INV-1136</t>
  </si>
  <si>
    <t>DIS-0137</t>
  </si>
  <si>
    <t>INV-1137</t>
  </si>
  <si>
    <t>DIS-0138</t>
  </si>
  <si>
    <t>INV-1138</t>
  </si>
  <si>
    <t>DIS-0139</t>
  </si>
  <si>
    <t>INV-1139</t>
  </si>
  <si>
    <t>DIS-0140</t>
  </si>
  <si>
    <t>INV-1140</t>
  </si>
  <si>
    <t>DIS-0141</t>
  </si>
  <si>
    <t>INV-1141</t>
  </si>
  <si>
    <t>DIS-0142</t>
  </si>
  <si>
    <t>INV-1142</t>
  </si>
  <si>
    <t>VND-006</t>
  </si>
  <si>
    <t>MegaParts Ltd</t>
  </si>
  <si>
    <t>DIS-0143</t>
  </si>
  <si>
    <t>INV-1143</t>
  </si>
  <si>
    <t>DIS-0144</t>
  </si>
  <si>
    <t>INV-1144</t>
  </si>
  <si>
    <t>DIS-0145</t>
  </si>
  <si>
    <t>INV-1145</t>
  </si>
  <si>
    <t>DIS-0146</t>
  </si>
  <si>
    <t>INV-1146</t>
  </si>
  <si>
    <t>DIS-0147</t>
  </si>
  <si>
    <t>INV-1147</t>
  </si>
  <si>
    <t>DIS-0148</t>
  </si>
  <si>
    <t>INV-1148</t>
  </si>
  <si>
    <t>DIS-0149</t>
  </si>
  <si>
    <t>INV-1149</t>
  </si>
  <si>
    <t>DIS-0150</t>
  </si>
  <si>
    <t>INV-1150</t>
  </si>
  <si>
    <t>DIS-0151</t>
  </si>
  <si>
    <t>INV-1151</t>
  </si>
  <si>
    <t>DIS-0152</t>
  </si>
  <si>
    <t>INV-1152</t>
  </si>
  <si>
    <t>DIS-0153</t>
  </si>
  <si>
    <t>INV-1153</t>
  </si>
  <si>
    <t>DIS-0154</t>
  </si>
  <si>
    <t>INV-1154</t>
  </si>
  <si>
    <t>DIS-0155</t>
  </si>
  <si>
    <t>INV-1155</t>
  </si>
  <si>
    <t>DIS-0156</t>
  </si>
  <si>
    <t>INV-1156</t>
  </si>
  <si>
    <t>DIS-0157</t>
  </si>
  <si>
    <t>INV-1157</t>
  </si>
  <si>
    <t>DIS-0158</t>
  </si>
  <si>
    <t>INV-1158</t>
  </si>
  <si>
    <t>DIS-0159</t>
  </si>
  <si>
    <t>INV-1159</t>
  </si>
  <si>
    <t>DIS-0160</t>
  </si>
  <si>
    <t>INV-1160</t>
  </si>
  <si>
    <t>DIS-0161</t>
  </si>
  <si>
    <t>INV-1161</t>
  </si>
  <si>
    <t>DIS-0162</t>
  </si>
  <si>
    <t>INV-1162</t>
  </si>
  <si>
    <t>VND-007</t>
  </si>
  <si>
    <t>CloudSoft Solutions</t>
  </si>
  <si>
    <t>DIS-0163</t>
  </si>
  <si>
    <t>INV-1163</t>
  </si>
  <si>
    <t>DIS-0164</t>
  </si>
  <si>
    <t>INV-1164</t>
  </si>
  <si>
    <t>DIS-0165</t>
  </si>
  <si>
    <t>INV-1165</t>
  </si>
  <si>
    <t>DIS-0166</t>
  </si>
  <si>
    <t>INV-1166</t>
  </si>
  <si>
    <t>DIS-0167</t>
  </si>
  <si>
    <t>INV-1167</t>
  </si>
  <si>
    <t>DIS-0168</t>
  </si>
  <si>
    <t>INV-1168</t>
  </si>
  <si>
    <t>DIS-0169</t>
  </si>
  <si>
    <t>INV-1169</t>
  </si>
  <si>
    <t>DIS-0170</t>
  </si>
  <si>
    <t>INV-1170</t>
  </si>
  <si>
    <t>DIS-0171</t>
  </si>
  <si>
    <t>INV-1171</t>
  </si>
  <si>
    <t>DIS-0172</t>
  </si>
  <si>
    <t>INV-1172</t>
  </si>
  <si>
    <t>DIS-0173</t>
  </si>
  <si>
    <t>INV-1173</t>
  </si>
  <si>
    <t>DIS-0174</t>
  </si>
  <si>
    <t>INV-1174</t>
  </si>
  <si>
    <t>DIS-0175</t>
  </si>
  <si>
    <t>INV-1175</t>
  </si>
  <si>
    <t>DIS-0176</t>
  </si>
  <si>
    <t>INV-1176</t>
  </si>
  <si>
    <t>DIS-0177</t>
  </si>
  <si>
    <t>INV-1177</t>
  </si>
  <si>
    <t>DIS-0178</t>
  </si>
  <si>
    <t>INV-1178</t>
  </si>
  <si>
    <t>DIS-0179</t>
  </si>
  <si>
    <t>INV-1179</t>
  </si>
  <si>
    <t>DIS-0180</t>
  </si>
  <si>
    <t>INV-1180</t>
  </si>
  <si>
    <t>DIS-0181</t>
  </si>
  <si>
    <t>INV-1181</t>
  </si>
  <si>
    <t>DIS-0182</t>
  </si>
  <si>
    <t>INV-1182</t>
  </si>
  <si>
    <t>DIS-0183</t>
  </si>
  <si>
    <t>INV-1183</t>
  </si>
  <si>
    <t>DIS-0184</t>
  </si>
  <si>
    <t>INV-1184</t>
  </si>
  <si>
    <t>DIS-0185</t>
  </si>
  <si>
    <t>INV-1185</t>
  </si>
  <si>
    <t>DIS-0186</t>
  </si>
  <si>
    <t>INV-1186</t>
  </si>
  <si>
    <t>VND-008</t>
  </si>
  <si>
    <t>Rapi Cargo SA</t>
  </si>
  <si>
    <t>West</t>
  </si>
  <si>
    <t>DIS-0187</t>
  </si>
  <si>
    <t>INV-1187</t>
  </si>
  <si>
    <t>DIS-0188</t>
  </si>
  <si>
    <t>INV-1188</t>
  </si>
  <si>
    <t>DIS-0189</t>
  </si>
  <si>
    <t>INV-1189</t>
  </si>
  <si>
    <t>DIS-0190</t>
  </si>
  <si>
    <t>INV-1190</t>
  </si>
  <si>
    <t>DIS-0191</t>
  </si>
  <si>
    <t>INV-1191</t>
  </si>
  <si>
    <t>DIS-0192</t>
  </si>
  <si>
    <t>INV-1192</t>
  </si>
  <si>
    <t>DIS-0193</t>
  </si>
  <si>
    <t>INV-1193</t>
  </si>
  <si>
    <t>DIS-0194</t>
  </si>
  <si>
    <t>INV-1194</t>
  </si>
  <si>
    <t>DIS-0195</t>
  </si>
  <si>
    <t>INV-1195</t>
  </si>
  <si>
    <t>DIS-0196</t>
  </si>
  <si>
    <t>INV-1196</t>
  </si>
  <si>
    <t>DIS-0197</t>
  </si>
  <si>
    <t>INV-1197</t>
  </si>
  <si>
    <t>DIS-0198</t>
  </si>
  <si>
    <t>INV-1198</t>
  </si>
  <si>
    <t>DIS-0199</t>
  </si>
  <si>
    <t>INV-1199</t>
  </si>
  <si>
    <t>DIS-0200</t>
  </si>
  <si>
    <t>INV-1200</t>
  </si>
  <si>
    <t>DIS-0201</t>
  </si>
  <si>
    <t>INV-1201</t>
  </si>
  <si>
    <t>DIS-0202</t>
  </si>
  <si>
    <t>INV-1202</t>
  </si>
  <si>
    <t>DIS-0203</t>
  </si>
  <si>
    <t>INV-1203</t>
  </si>
  <si>
    <t>DIS-0204</t>
  </si>
  <si>
    <t>INV-1204</t>
  </si>
  <si>
    <t>DIS-0205</t>
  </si>
  <si>
    <t>INV-1205</t>
  </si>
  <si>
    <t>DIS-0206</t>
  </si>
  <si>
    <t>INV-1206</t>
  </si>
  <si>
    <t>DIS-0207</t>
  </si>
  <si>
    <t>INV-1207</t>
  </si>
  <si>
    <t>DIS-0208</t>
  </si>
  <si>
    <t>INV-1208</t>
  </si>
  <si>
    <t>DIS-0209</t>
  </si>
  <si>
    <t>INV-1209</t>
  </si>
  <si>
    <t>DIS-0210</t>
  </si>
  <si>
    <t>INV-1210</t>
  </si>
  <si>
    <t>DIS-0211</t>
  </si>
  <si>
    <t>INV-1211</t>
  </si>
  <si>
    <t>DIS-0212</t>
  </si>
  <si>
    <t>INV-1212</t>
  </si>
  <si>
    <t>DIS-0213</t>
  </si>
  <si>
    <t>INV-1213</t>
  </si>
  <si>
    <t>DIS-0214</t>
  </si>
  <si>
    <t>INV-1214</t>
  </si>
  <si>
    <t>DIS-0215</t>
  </si>
  <si>
    <t>INV-1215</t>
  </si>
  <si>
    <t>DIS-0216</t>
  </si>
  <si>
    <t>INV-1216</t>
  </si>
  <si>
    <t>DIS-0217</t>
  </si>
  <si>
    <t>INV-1217</t>
  </si>
  <si>
    <t>VND-009</t>
  </si>
  <si>
    <t>Consulting Masters</t>
  </si>
  <si>
    <t>DIS-0218</t>
  </si>
  <si>
    <t>INV-1218</t>
  </si>
  <si>
    <t>DIS-0219</t>
  </si>
  <si>
    <t>INV-1219</t>
  </si>
  <si>
    <t>DIS-0220</t>
  </si>
  <si>
    <t>INV-1220</t>
  </si>
  <si>
    <t>DIS-0221</t>
  </si>
  <si>
    <t>INV-1221</t>
  </si>
  <si>
    <t>DIS-0222</t>
  </si>
  <si>
    <t>INV-1222</t>
  </si>
  <si>
    <t>DIS-0223</t>
  </si>
  <si>
    <t>INV-1223</t>
  </si>
  <si>
    <t>DIS-0224</t>
  </si>
  <si>
    <t>INV-1224</t>
  </si>
  <si>
    <t>DIS-0225</t>
  </si>
  <si>
    <t>INV-1225</t>
  </si>
  <si>
    <t>DIS-0226</t>
  </si>
  <si>
    <t>INV-1226</t>
  </si>
  <si>
    <t>DIS-0227</t>
  </si>
  <si>
    <t>INV-1227</t>
  </si>
  <si>
    <t>DIS-0228</t>
  </si>
  <si>
    <t>INV-1228</t>
  </si>
  <si>
    <t>DIS-0229</t>
  </si>
  <si>
    <t>INV-1229</t>
  </si>
  <si>
    <t>DIS-0230</t>
  </si>
  <si>
    <t>INV-1230</t>
  </si>
  <si>
    <t>DIS-0231</t>
  </si>
  <si>
    <t>INV-1231</t>
  </si>
  <si>
    <t>DIS-0232</t>
  </si>
  <si>
    <t>INV-1232</t>
  </si>
  <si>
    <t>DIS-0233</t>
  </si>
  <si>
    <t>INV-1233</t>
  </si>
  <si>
    <t>DIS-0234</t>
  </si>
  <si>
    <t>INV-1234</t>
  </si>
  <si>
    <t>DIS-0235</t>
  </si>
  <si>
    <t>INV-1235</t>
  </si>
  <si>
    <t>DIS-0236</t>
  </si>
  <si>
    <t>INV-1236</t>
  </si>
  <si>
    <t>DIS-0237</t>
  </si>
  <si>
    <t>INV-1237</t>
  </si>
  <si>
    <t>DIS-0238</t>
  </si>
  <si>
    <t>INV-1238</t>
  </si>
  <si>
    <t>DIS-0239</t>
  </si>
  <si>
    <t>INV-1239</t>
  </si>
  <si>
    <t>DIS-0240</t>
  </si>
  <si>
    <t>INV-1240</t>
  </si>
  <si>
    <t>DIS-0241</t>
  </si>
  <si>
    <t>INV-1241</t>
  </si>
  <si>
    <t>DIS-0242</t>
  </si>
  <si>
    <t>INV-1242</t>
  </si>
  <si>
    <t>DIS-0243</t>
  </si>
  <si>
    <t>INV-1243</t>
  </si>
  <si>
    <t>DIS-0244</t>
  </si>
  <si>
    <t>INV-1244</t>
  </si>
  <si>
    <t>DIS-0245</t>
  </si>
  <si>
    <t>INV-1245</t>
  </si>
  <si>
    <t>DIS-0246</t>
  </si>
  <si>
    <t>INV-1246</t>
  </si>
  <si>
    <t>DIS-0247</t>
  </si>
  <si>
    <t>INV-1247</t>
  </si>
  <si>
    <t>DIS-0248</t>
  </si>
  <si>
    <t>INV-1248</t>
  </si>
  <si>
    <t>DIS-0249</t>
  </si>
  <si>
    <t>INV-1249</t>
  </si>
  <si>
    <t>DIS-0250</t>
  </si>
  <si>
    <t>INV-1250</t>
  </si>
  <si>
    <t>DIS-0251</t>
  </si>
  <si>
    <t>INV-1251</t>
  </si>
  <si>
    <t>DIS-0252</t>
  </si>
  <si>
    <t>INV-1252</t>
  </si>
  <si>
    <t>VND-010</t>
  </si>
  <si>
    <t>AquaServ</t>
  </si>
  <si>
    <t>DIS-0253</t>
  </si>
  <si>
    <t>INV-1253</t>
  </si>
  <si>
    <t>DIS-0254</t>
  </si>
  <si>
    <t>INV-1254</t>
  </si>
  <si>
    <t>DIS-0255</t>
  </si>
  <si>
    <t>INV-1255</t>
  </si>
  <si>
    <t>DIS-0256</t>
  </si>
  <si>
    <t>INV-1256</t>
  </si>
  <si>
    <t>DIS-0257</t>
  </si>
  <si>
    <t>INV-1257</t>
  </si>
  <si>
    <t>DIS-0258</t>
  </si>
  <si>
    <t>INV-1258</t>
  </si>
  <si>
    <t>DIS-0259</t>
  </si>
  <si>
    <t>INV-1259</t>
  </si>
  <si>
    <t>DIS-0260</t>
  </si>
  <si>
    <t>INV-1260</t>
  </si>
  <si>
    <t>DIS-0261</t>
  </si>
  <si>
    <t>INV-1261</t>
  </si>
  <si>
    <t>DIS-0262</t>
  </si>
  <si>
    <t>INV-1262</t>
  </si>
  <si>
    <t>DIS-0263</t>
  </si>
  <si>
    <t>INV-1263</t>
  </si>
  <si>
    <t>DIS-0264</t>
  </si>
  <si>
    <t>INV-1264</t>
  </si>
  <si>
    <t>DIS-0265</t>
  </si>
  <si>
    <t>INV-1265</t>
  </si>
  <si>
    <t>DIS-0266</t>
  </si>
  <si>
    <t>INV-1266</t>
  </si>
  <si>
    <t>DIS-0267</t>
  </si>
  <si>
    <t>INV-1267</t>
  </si>
  <si>
    <t>DIS-0268</t>
  </si>
  <si>
    <t>INV-1268</t>
  </si>
  <si>
    <t>DIS-0269</t>
  </si>
  <si>
    <t>INV-1269</t>
  </si>
  <si>
    <t>DIS-0270</t>
  </si>
  <si>
    <t>INV-1270</t>
  </si>
  <si>
    <t>DIS-0271</t>
  </si>
  <si>
    <t>INV-1271</t>
  </si>
  <si>
    <t>DIS-0272</t>
  </si>
  <si>
    <t>INV-1272</t>
  </si>
  <si>
    <t>DIS-0273</t>
  </si>
  <si>
    <t>INV-1273</t>
  </si>
  <si>
    <t>VND-011</t>
  </si>
  <si>
    <t>SteelBuild Co</t>
  </si>
  <si>
    <t>DIS-0274</t>
  </si>
  <si>
    <t>INV-1274</t>
  </si>
  <si>
    <t>DIS-0275</t>
  </si>
  <si>
    <t>INV-1275</t>
  </si>
  <si>
    <t>DIS-0276</t>
  </si>
  <si>
    <t>INV-1276</t>
  </si>
  <si>
    <t>DIS-0277</t>
  </si>
  <si>
    <t>INV-1277</t>
  </si>
  <si>
    <t>DIS-0278</t>
  </si>
  <si>
    <t>INV-1278</t>
  </si>
  <si>
    <t>DIS-0279</t>
  </si>
  <si>
    <t>INV-1279</t>
  </si>
  <si>
    <t>DIS-0280</t>
  </si>
  <si>
    <t>INV-1280</t>
  </si>
  <si>
    <t>DIS-0281</t>
  </si>
  <si>
    <t>INV-1281</t>
  </si>
  <si>
    <t>DIS-0282</t>
  </si>
  <si>
    <t>INV-1282</t>
  </si>
  <si>
    <t>DIS-0283</t>
  </si>
  <si>
    <t>INV-1283</t>
  </si>
  <si>
    <t>DIS-0284</t>
  </si>
  <si>
    <t>INV-1284</t>
  </si>
  <si>
    <t>DIS-0285</t>
  </si>
  <si>
    <t>INV-1285</t>
  </si>
  <si>
    <t>DIS-0286</t>
  </si>
  <si>
    <t>INV-1286</t>
  </si>
  <si>
    <t>DIS-0287</t>
  </si>
  <si>
    <t>INV-1287</t>
  </si>
  <si>
    <t>DIS-0288</t>
  </si>
  <si>
    <t>INV-1288</t>
  </si>
  <si>
    <t>DIS-0289</t>
  </si>
  <si>
    <t>INV-1289</t>
  </si>
  <si>
    <t>DIS-0290</t>
  </si>
  <si>
    <t>INV-1290</t>
  </si>
  <si>
    <t>DIS-0291</t>
  </si>
  <si>
    <t>INV-1291</t>
  </si>
  <si>
    <t>DIS-0292</t>
  </si>
  <si>
    <t>INV-1292</t>
  </si>
  <si>
    <t>DIS-0293</t>
  </si>
  <si>
    <t>INV-1293</t>
  </si>
  <si>
    <t>DIS-0294</t>
  </si>
  <si>
    <t>INV-1294</t>
  </si>
  <si>
    <t>DIS-0295</t>
  </si>
  <si>
    <t>INV-1295</t>
  </si>
  <si>
    <t>DIS-0296</t>
  </si>
  <si>
    <t>INV-1296</t>
  </si>
  <si>
    <t>DIS-0297</t>
  </si>
  <si>
    <t>INV-1297</t>
  </si>
  <si>
    <t>DIS-0298</t>
  </si>
  <si>
    <t>INV-1298</t>
  </si>
  <si>
    <t>DIS-0299</t>
  </si>
  <si>
    <t>INV-1299</t>
  </si>
  <si>
    <t>DIS-0300</t>
  </si>
  <si>
    <t>INV-1300</t>
  </si>
  <si>
    <t>DIS-0301</t>
  </si>
  <si>
    <t>INV-1301</t>
  </si>
  <si>
    <t>DIS-0302</t>
  </si>
  <si>
    <t>INV-1302</t>
  </si>
  <si>
    <t>VND-012</t>
  </si>
  <si>
    <t>DataCenter Pro</t>
  </si>
  <si>
    <t>DIS-0303</t>
  </si>
  <si>
    <t>INV-1303</t>
  </si>
  <si>
    <t>DIS-0304</t>
  </si>
  <si>
    <t>INV-1304</t>
  </si>
  <si>
    <t>DIS-0305</t>
  </si>
  <si>
    <t>INV-1305</t>
  </si>
  <si>
    <t>DIS-0306</t>
  </si>
  <si>
    <t>INV-1306</t>
  </si>
  <si>
    <t>DIS-0307</t>
  </si>
  <si>
    <t>INV-1307</t>
  </si>
  <si>
    <t>DIS-0308</t>
  </si>
  <si>
    <t>INV-1308</t>
  </si>
  <si>
    <t>DIS-0309</t>
  </si>
  <si>
    <t>INV-1309</t>
  </si>
  <si>
    <t>DIS-0310</t>
  </si>
  <si>
    <t>INV-1310</t>
  </si>
  <si>
    <t>DIS-0311</t>
  </si>
  <si>
    <t>INV-1311</t>
  </si>
  <si>
    <t>DIS-0312</t>
  </si>
  <si>
    <t>INV-1312</t>
  </si>
  <si>
    <t>DIS-0313</t>
  </si>
  <si>
    <t>INV-1313</t>
  </si>
  <si>
    <t>DIS-0314</t>
  </si>
  <si>
    <t>INV-1314</t>
  </si>
  <si>
    <t>DIS-0315</t>
  </si>
  <si>
    <t>INV-1315</t>
  </si>
  <si>
    <t>DIS-0316</t>
  </si>
  <si>
    <t>INV-1316</t>
  </si>
  <si>
    <t>DIS-0317</t>
  </si>
  <si>
    <t>INV-1317</t>
  </si>
  <si>
    <t>DIS-0318</t>
  </si>
  <si>
    <t>INV-1318</t>
  </si>
  <si>
    <t>DIS-0319</t>
  </si>
  <si>
    <t>INV-1319</t>
  </si>
  <si>
    <t>DIS-0320</t>
  </si>
  <si>
    <t>INV-1320</t>
  </si>
  <si>
    <t>DIS-0321</t>
  </si>
  <si>
    <t>INV-1321</t>
  </si>
  <si>
    <t>DIS-0322</t>
  </si>
  <si>
    <t>INV-1322</t>
  </si>
  <si>
    <t>DIS-0323</t>
  </si>
  <si>
    <t>INV-1323</t>
  </si>
  <si>
    <t>DIS-0324</t>
  </si>
  <si>
    <t>INV-1324</t>
  </si>
  <si>
    <t>DIS-0325</t>
  </si>
  <si>
    <t>INV-1325</t>
  </si>
  <si>
    <t>VND-013</t>
  </si>
  <si>
    <t>FreightKing</t>
  </si>
  <si>
    <t>DIS-0326</t>
  </si>
  <si>
    <t>INV-1326</t>
  </si>
  <si>
    <t>DIS-0327</t>
  </si>
  <si>
    <t>INV-1327</t>
  </si>
  <si>
    <t>DIS-0328</t>
  </si>
  <si>
    <t>INV-1328</t>
  </si>
  <si>
    <t>DIS-0329</t>
  </si>
  <si>
    <t>INV-1329</t>
  </si>
  <si>
    <t>DIS-0330</t>
  </si>
  <si>
    <t>INV-1330</t>
  </si>
  <si>
    <t>DIS-0331</t>
  </si>
  <si>
    <t>INV-1331</t>
  </si>
  <si>
    <t>DIS-0332</t>
  </si>
  <si>
    <t>INV-1332</t>
  </si>
  <si>
    <t>DIS-0333</t>
  </si>
  <si>
    <t>INV-1333</t>
  </si>
  <si>
    <t>DIS-0334</t>
  </si>
  <si>
    <t>INV-1334</t>
  </si>
  <si>
    <t>DIS-0335</t>
  </si>
  <si>
    <t>INV-1335</t>
  </si>
  <si>
    <t>DIS-0336</t>
  </si>
  <si>
    <t>INV-1336</t>
  </si>
  <si>
    <t>DIS-0337</t>
  </si>
  <si>
    <t>INV-1337</t>
  </si>
  <si>
    <t>DIS-0338</t>
  </si>
  <si>
    <t>INV-1338</t>
  </si>
  <si>
    <t>DIS-0339</t>
  </si>
  <si>
    <t>INV-1339</t>
  </si>
  <si>
    <t>DIS-0340</t>
  </si>
  <si>
    <t>INV-1340</t>
  </si>
  <si>
    <t>DIS-0341</t>
  </si>
  <si>
    <t>INV-1341</t>
  </si>
  <si>
    <t>DIS-0342</t>
  </si>
  <si>
    <t>INV-1342</t>
  </si>
  <si>
    <t>DIS-0343</t>
  </si>
  <si>
    <t>INV-1343</t>
  </si>
  <si>
    <t>DIS-0344</t>
  </si>
  <si>
    <t>INV-1344</t>
  </si>
  <si>
    <t>DIS-0345</t>
  </si>
  <si>
    <t>INV-1345</t>
  </si>
  <si>
    <t>DIS-0346</t>
  </si>
  <si>
    <t>INV-1346</t>
  </si>
  <si>
    <t>DIS-0347</t>
  </si>
  <si>
    <t>INV-1347</t>
  </si>
  <si>
    <t>VND-014</t>
  </si>
  <si>
    <t>FacilityPro</t>
  </si>
  <si>
    <t>DIS-0348</t>
  </si>
  <si>
    <t>INV-1348</t>
  </si>
  <si>
    <t>DIS-0349</t>
  </si>
  <si>
    <t>INV-1349</t>
  </si>
  <si>
    <t>DIS-0350</t>
  </si>
  <si>
    <t>INV-1350</t>
  </si>
  <si>
    <t>DIS-0351</t>
  </si>
  <si>
    <t>INV-1351</t>
  </si>
  <si>
    <t>DIS-0352</t>
  </si>
  <si>
    <t>INV-1352</t>
  </si>
  <si>
    <t>DIS-0353</t>
  </si>
  <si>
    <t>INV-1353</t>
  </si>
  <si>
    <t>DIS-0354</t>
  </si>
  <si>
    <t>INV-1354</t>
  </si>
  <si>
    <t>DIS-0355</t>
  </si>
  <si>
    <t>INV-1355</t>
  </si>
  <si>
    <t>DIS-0356</t>
  </si>
  <si>
    <t>INV-1356</t>
  </si>
  <si>
    <t>DIS-0357</t>
  </si>
  <si>
    <t>INV-1357</t>
  </si>
  <si>
    <t>DIS-0358</t>
  </si>
  <si>
    <t>INV-1358</t>
  </si>
  <si>
    <t>DIS-0359</t>
  </si>
  <si>
    <t>INV-1359</t>
  </si>
  <si>
    <t>DIS-0360</t>
  </si>
  <si>
    <t>INV-1360</t>
  </si>
  <si>
    <t>DIS-0361</t>
  </si>
  <si>
    <t>INV-1361</t>
  </si>
  <si>
    <t>DIS-0362</t>
  </si>
  <si>
    <t>INV-1362</t>
  </si>
  <si>
    <t>DIS-0363</t>
  </si>
  <si>
    <t>INV-1363</t>
  </si>
  <si>
    <t>DIS-0364</t>
  </si>
  <si>
    <t>INV-1364</t>
  </si>
  <si>
    <t>DIS-0365</t>
  </si>
  <si>
    <t>INV-1365</t>
  </si>
  <si>
    <t>DIS-0366</t>
  </si>
  <si>
    <t>INV-1366</t>
  </si>
  <si>
    <t>DIS-0367</t>
  </si>
  <si>
    <t>INV-1367</t>
  </si>
  <si>
    <t>DIS-0368</t>
  </si>
  <si>
    <t>INV-1368</t>
  </si>
  <si>
    <t>DIS-0369</t>
  </si>
  <si>
    <t>INV-1369</t>
  </si>
  <si>
    <t>DIS-0370</t>
  </si>
  <si>
    <t>INV-1370</t>
  </si>
  <si>
    <t>DIS-0371</t>
  </si>
  <si>
    <t>INV-1371</t>
  </si>
  <si>
    <t>DIS-0372</t>
  </si>
  <si>
    <t>INV-1372</t>
  </si>
  <si>
    <t>DIS-0373</t>
  </si>
  <si>
    <t>INV-1373</t>
  </si>
  <si>
    <t>DIS-0374</t>
  </si>
  <si>
    <t>INV-1374</t>
  </si>
  <si>
    <t>DIS-0375</t>
  </si>
  <si>
    <t>INV-1375</t>
  </si>
  <si>
    <t>DIS-0376</t>
  </si>
  <si>
    <t>INV-1376</t>
  </si>
  <si>
    <t>VND-015</t>
  </si>
  <si>
    <t>PowerGrid SA</t>
  </si>
  <si>
    <t>DIS-0377</t>
  </si>
  <si>
    <t>INV-1377</t>
  </si>
  <si>
    <t>DIS-0378</t>
  </si>
  <si>
    <t>INV-1378</t>
  </si>
  <si>
    <t>DIS-0379</t>
  </si>
  <si>
    <t>INV-1379</t>
  </si>
  <si>
    <t>DIS-0380</t>
  </si>
  <si>
    <t>INV-1380</t>
  </si>
  <si>
    <t>DIS-0381</t>
  </si>
  <si>
    <t>INV-1381</t>
  </si>
  <si>
    <t>DIS-0382</t>
  </si>
  <si>
    <t>INV-1382</t>
  </si>
  <si>
    <t>DIS-0383</t>
  </si>
  <si>
    <t>INV-1383</t>
  </si>
  <si>
    <t>DIS-0384</t>
  </si>
  <si>
    <t>INV-1384</t>
  </si>
  <si>
    <t>DIS-0385</t>
  </si>
  <si>
    <t>INV-1385</t>
  </si>
  <si>
    <t>DIS-0386</t>
  </si>
  <si>
    <t>INV-1386</t>
  </si>
  <si>
    <t>DIS-0387</t>
  </si>
  <si>
    <t>INV-1387</t>
  </si>
  <si>
    <t>DIS-0388</t>
  </si>
  <si>
    <t>INV-1388</t>
  </si>
  <si>
    <t>DIS-0389</t>
  </si>
  <si>
    <t>INV-1389</t>
  </si>
  <si>
    <t>DIS-0390</t>
  </si>
  <si>
    <t>INV-1390</t>
  </si>
  <si>
    <t>DIS-0391</t>
  </si>
  <si>
    <t>INV-1391</t>
  </si>
  <si>
    <t>DIS-0392</t>
  </si>
  <si>
    <t>INV-1392</t>
  </si>
  <si>
    <t>DIS-0393</t>
  </si>
  <si>
    <t>INV-1393</t>
  </si>
  <si>
    <t>DIS-0394</t>
  </si>
  <si>
    <t>INV-1394</t>
  </si>
  <si>
    <t>DIS-0395</t>
  </si>
  <si>
    <t>INV-1395</t>
  </si>
  <si>
    <t>DIS-0396</t>
  </si>
  <si>
    <t>INV-1396</t>
  </si>
  <si>
    <t>DIS-0397</t>
  </si>
  <si>
    <t>INV-1397</t>
  </si>
  <si>
    <t>DIS-0398</t>
  </si>
  <si>
    <t>INV-1398</t>
  </si>
  <si>
    <t>DIS-0399</t>
  </si>
  <si>
    <t>INV-1399</t>
  </si>
  <si>
    <t>DIS-0400</t>
  </si>
  <si>
    <t>INV-1400</t>
  </si>
  <si>
    <t>DIS-0401</t>
  </si>
  <si>
    <t>INV-1401</t>
  </si>
  <si>
    <t>DIS-0402</t>
  </si>
  <si>
    <t>INV-1402</t>
  </si>
  <si>
    <t>DIS-0403</t>
  </si>
  <si>
    <t>INV-1403</t>
  </si>
  <si>
    <t>DIS-0404</t>
  </si>
  <si>
    <t>INV-1404</t>
  </si>
  <si>
    <t>DIS-0405</t>
  </si>
  <si>
    <t>INV-1405</t>
  </si>
  <si>
    <t>DIS-0406</t>
  </si>
  <si>
    <t>INV-1406</t>
  </si>
  <si>
    <t>DIS-0407</t>
  </si>
  <si>
    <t>INV-1407</t>
  </si>
  <si>
    <t>DIS-0408</t>
  </si>
  <si>
    <t>INV-1408</t>
  </si>
  <si>
    <t>DIS-0409</t>
  </si>
  <si>
    <t>INV-1409</t>
  </si>
  <si>
    <t>DIS-0410</t>
  </si>
  <si>
    <t>INV-1410</t>
  </si>
  <si>
    <t>DIS-0411</t>
  </si>
  <si>
    <t>INV-1411</t>
  </si>
  <si>
    <t>VND-016</t>
  </si>
  <si>
    <t>MetalWorks Corp</t>
  </si>
  <si>
    <t>South</t>
  </si>
  <si>
    <t>DIS-0412</t>
  </si>
  <si>
    <t>INV-1412</t>
  </si>
  <si>
    <t>DIS-0413</t>
  </si>
  <si>
    <t>INV-1413</t>
  </si>
  <si>
    <t>DIS-0414</t>
  </si>
  <si>
    <t>INV-1414</t>
  </si>
  <si>
    <t>DIS-0415</t>
  </si>
  <si>
    <t>INV-1415</t>
  </si>
  <si>
    <t>DIS-0416</t>
  </si>
  <si>
    <t>INV-1416</t>
  </si>
  <si>
    <t>DIS-0417</t>
  </si>
  <si>
    <t>INV-1417</t>
  </si>
  <si>
    <t>DIS-0418</t>
  </si>
  <si>
    <t>INV-1418</t>
  </si>
  <si>
    <t>DIS-0419</t>
  </si>
  <si>
    <t>INV-1419</t>
  </si>
  <si>
    <t>DIS-0420</t>
  </si>
  <si>
    <t>INV-1420</t>
  </si>
  <si>
    <t>DIS-0421</t>
  </si>
  <si>
    <t>INV-1421</t>
  </si>
  <si>
    <t>DIS-0422</t>
  </si>
  <si>
    <t>INV-1422</t>
  </si>
  <si>
    <t>DIS-0423</t>
  </si>
  <si>
    <t>INV-1423</t>
  </si>
  <si>
    <t>DIS-0424</t>
  </si>
  <si>
    <t>INV-1424</t>
  </si>
  <si>
    <t>DIS-0425</t>
  </si>
  <si>
    <t>INV-1425</t>
  </si>
  <si>
    <t>DIS-0426</t>
  </si>
  <si>
    <t>INV-1426</t>
  </si>
  <si>
    <t>DIS-0427</t>
  </si>
  <si>
    <t>INV-1427</t>
  </si>
  <si>
    <t>DIS-0428</t>
  </si>
  <si>
    <t>INV-1428</t>
  </si>
  <si>
    <t>DIS-0429</t>
  </si>
  <si>
    <t>INV-1429</t>
  </si>
  <si>
    <t>DIS-0430</t>
  </si>
  <si>
    <t>INV-1430</t>
  </si>
  <si>
    <t>DIS-0431</t>
  </si>
  <si>
    <t>INV-1431</t>
  </si>
  <si>
    <t>DIS-0432</t>
  </si>
  <si>
    <t>INV-1432</t>
  </si>
  <si>
    <t>DIS-0433</t>
  </si>
  <si>
    <t>INV-1433</t>
  </si>
  <si>
    <t>DIS-0434</t>
  </si>
  <si>
    <t>INV-1434</t>
  </si>
  <si>
    <t>DIS-0435</t>
  </si>
  <si>
    <t>INV-1435</t>
  </si>
  <si>
    <t>DIS-0436</t>
  </si>
  <si>
    <t>INV-1436</t>
  </si>
  <si>
    <t>DIS-0437</t>
  </si>
  <si>
    <t>INV-1437</t>
  </si>
  <si>
    <t>DIS-0438</t>
  </si>
  <si>
    <t>INV-1438</t>
  </si>
  <si>
    <t>VND-017</t>
  </si>
  <si>
    <t>NetSystems Ltd</t>
  </si>
  <si>
    <t>DIS-0439</t>
  </si>
  <si>
    <t>INV-1439</t>
  </si>
  <si>
    <t>DIS-0440</t>
  </si>
  <si>
    <t>INV-1440</t>
  </si>
  <si>
    <t>DIS-0441</t>
  </si>
  <si>
    <t>INV-1441</t>
  </si>
  <si>
    <t>DIS-0442</t>
  </si>
  <si>
    <t>INV-1442</t>
  </si>
  <si>
    <t>DIS-0443</t>
  </si>
  <si>
    <t>INV-1443</t>
  </si>
  <si>
    <t>DIS-0444</t>
  </si>
  <si>
    <t>INV-1444</t>
  </si>
  <si>
    <t>DIS-0445</t>
  </si>
  <si>
    <t>INV-1445</t>
  </si>
  <si>
    <t>DIS-0446</t>
  </si>
  <si>
    <t>INV-1446</t>
  </si>
  <si>
    <t>DIS-0447</t>
  </si>
  <si>
    <t>INV-1447</t>
  </si>
  <si>
    <t>DIS-0448</t>
  </si>
  <si>
    <t>INV-1448</t>
  </si>
  <si>
    <t>DIS-0449</t>
  </si>
  <si>
    <t>INV-1449</t>
  </si>
  <si>
    <t>DIS-0450</t>
  </si>
  <si>
    <t>INV-1450</t>
  </si>
  <si>
    <t>DIS-0451</t>
  </si>
  <si>
    <t>INV-1451</t>
  </si>
  <si>
    <t>DIS-0452</t>
  </si>
  <si>
    <t>INV-1452</t>
  </si>
  <si>
    <t>DIS-0453</t>
  </si>
  <si>
    <t>INV-1453</t>
  </si>
  <si>
    <t>DIS-0454</t>
  </si>
  <si>
    <t>INV-1454</t>
  </si>
  <si>
    <t>DIS-0455</t>
  </si>
  <si>
    <t>INV-1455</t>
  </si>
  <si>
    <t>DIS-0456</t>
  </si>
  <si>
    <t>INV-1456</t>
  </si>
  <si>
    <t>DIS-0457</t>
  </si>
  <si>
    <t>INV-1457</t>
  </si>
  <si>
    <t>DIS-0458</t>
  </si>
  <si>
    <t>INV-1458</t>
  </si>
  <si>
    <t>DIS-0459</t>
  </si>
  <si>
    <t>INV-1459</t>
  </si>
  <si>
    <t>DIS-0460</t>
  </si>
  <si>
    <t>INV-1460</t>
  </si>
  <si>
    <t>DIS-0461</t>
  </si>
  <si>
    <t>INV-1461</t>
  </si>
  <si>
    <t>DIS-0462</t>
  </si>
  <si>
    <t>INV-1462</t>
  </si>
  <si>
    <t>DIS-0463</t>
  </si>
  <si>
    <t>INV-1463</t>
  </si>
  <si>
    <t>DIS-0464</t>
  </si>
  <si>
    <t>INV-1464</t>
  </si>
  <si>
    <t>VND-018</t>
  </si>
  <si>
    <t>SwiftShip SA</t>
  </si>
  <si>
    <t>DIS-0465</t>
  </si>
  <si>
    <t>INV-1465</t>
  </si>
  <si>
    <t>DIS-0466</t>
  </si>
  <si>
    <t>INV-1466</t>
  </si>
  <si>
    <t>DIS-0467</t>
  </si>
  <si>
    <t>INV-1467</t>
  </si>
  <si>
    <t>DIS-0468</t>
  </si>
  <si>
    <t>INV-1468</t>
  </si>
  <si>
    <t>DIS-0469</t>
  </si>
  <si>
    <t>INV-1469</t>
  </si>
  <si>
    <t>DIS-0470</t>
  </si>
  <si>
    <t>INV-1470</t>
  </si>
  <si>
    <t>DIS-0471</t>
  </si>
  <si>
    <t>INV-1471</t>
  </si>
  <si>
    <t>DIS-0472</t>
  </si>
  <si>
    <t>INV-1472</t>
  </si>
  <si>
    <t>DIS-0473</t>
  </si>
  <si>
    <t>INV-1473</t>
  </si>
  <si>
    <t>DIS-0474</t>
  </si>
  <si>
    <t>INV-1474</t>
  </si>
  <si>
    <t>DIS-0475</t>
  </si>
  <si>
    <t>INV-1475</t>
  </si>
  <si>
    <t>DIS-0476</t>
  </si>
  <si>
    <t>INV-1476</t>
  </si>
  <si>
    <t>DIS-0477</t>
  </si>
  <si>
    <t>INV-1477</t>
  </si>
  <si>
    <t>DIS-0478</t>
  </si>
  <si>
    <t>INV-1478</t>
  </si>
  <si>
    <t>DIS-0479</t>
  </si>
  <si>
    <t>INV-1479</t>
  </si>
  <si>
    <t>DIS-0480</t>
  </si>
  <si>
    <t>INV-1480</t>
  </si>
  <si>
    <t>DIS-0481</t>
  </si>
  <si>
    <t>INV-1481</t>
  </si>
  <si>
    <t>DIS-0482</t>
  </si>
  <si>
    <t>INV-1482</t>
  </si>
  <si>
    <t>DIS-0483</t>
  </si>
  <si>
    <t>INV-1483</t>
  </si>
  <si>
    <t>DIS-0484</t>
  </si>
  <si>
    <t>INV-1484</t>
  </si>
  <si>
    <t>DIS-0485</t>
  </si>
  <si>
    <t>INV-1485</t>
  </si>
  <si>
    <t>DIS-0486</t>
  </si>
  <si>
    <t>INV-1486</t>
  </si>
  <si>
    <t>VND-019</t>
  </si>
  <si>
    <t>CleanOffice Services</t>
  </si>
  <si>
    <t>DIS-0487</t>
  </si>
  <si>
    <t>INV-1487</t>
  </si>
  <si>
    <t>DIS-0488</t>
  </si>
  <si>
    <t>INV-1488</t>
  </si>
  <si>
    <t>DIS-0489</t>
  </si>
  <si>
    <t>INV-1489</t>
  </si>
  <si>
    <t>DIS-0490</t>
  </si>
  <si>
    <t>INV-1490</t>
  </si>
  <si>
    <t>DIS-0491</t>
  </si>
  <si>
    <t>INV-1491</t>
  </si>
  <si>
    <t>DIS-0492</t>
  </si>
  <si>
    <t>INV-1492</t>
  </si>
  <si>
    <t>DIS-0493</t>
  </si>
  <si>
    <t>INV-1493</t>
  </si>
  <si>
    <t>DIS-0494</t>
  </si>
  <si>
    <t>INV-1494</t>
  </si>
  <si>
    <t>DIS-0495</t>
  </si>
  <si>
    <t>INV-1495</t>
  </si>
  <si>
    <t>DIS-0496</t>
  </si>
  <si>
    <t>INV-1496</t>
  </si>
  <si>
    <t>DIS-0497</t>
  </si>
  <si>
    <t>INV-1497</t>
  </si>
  <si>
    <t>DIS-0498</t>
  </si>
  <si>
    <t>INV-1498</t>
  </si>
  <si>
    <t>DIS-0499</t>
  </si>
  <si>
    <t>INV-1499</t>
  </si>
  <si>
    <t>DIS-0500</t>
  </si>
  <si>
    <t>INV-1500</t>
  </si>
  <si>
    <t>DIS-0501</t>
  </si>
  <si>
    <t>INV-1501</t>
  </si>
  <si>
    <t>DIS-0502</t>
  </si>
  <si>
    <t>INV-1502</t>
  </si>
  <si>
    <t>DIS-0503</t>
  </si>
  <si>
    <t>INV-1503</t>
  </si>
  <si>
    <t>DIS-0504</t>
  </si>
  <si>
    <t>INV-1504</t>
  </si>
  <si>
    <t>DIS-0505</t>
  </si>
  <si>
    <t>INV-1505</t>
  </si>
  <si>
    <t>DIS-0506</t>
  </si>
  <si>
    <t>INV-1506</t>
  </si>
  <si>
    <t>DIS-0507</t>
  </si>
  <si>
    <t>INV-1507</t>
  </si>
  <si>
    <t>DIS-0508</t>
  </si>
  <si>
    <t>INV-1508</t>
  </si>
  <si>
    <t>DIS-0509</t>
  </si>
  <si>
    <t>INV-1509</t>
  </si>
  <si>
    <t>DIS-0510</t>
  </si>
  <si>
    <t>INV-1510</t>
  </si>
  <si>
    <t>DIS-0511</t>
  </si>
  <si>
    <t>INV-1511</t>
  </si>
  <si>
    <t>DIS-0512</t>
  </si>
  <si>
    <t>INV-1512</t>
  </si>
  <si>
    <t>DIS-0513</t>
  </si>
  <si>
    <t>INV-1513</t>
  </si>
  <si>
    <t>DIS-0514</t>
  </si>
  <si>
    <t>INV-1514</t>
  </si>
  <si>
    <t>DIS-0515</t>
  </si>
  <si>
    <t>INV-1515</t>
  </si>
  <si>
    <t>DIS-0516</t>
  </si>
  <si>
    <t>INV-1516</t>
  </si>
  <si>
    <t>DIS-0517</t>
  </si>
  <si>
    <t>INV-1517</t>
  </si>
  <si>
    <t>DIS-0518</t>
  </si>
  <si>
    <t>INV-1518</t>
  </si>
  <si>
    <t>DIS-0519</t>
  </si>
  <si>
    <t>INV-1519</t>
  </si>
  <si>
    <t>DIS-0520</t>
  </si>
  <si>
    <t>INV-1520</t>
  </si>
  <si>
    <t>DIS-0521</t>
  </si>
  <si>
    <t>INV-1521</t>
  </si>
  <si>
    <t>VND-020</t>
  </si>
  <si>
    <t>GasNetwork</t>
  </si>
  <si>
    <t>DIS-0522</t>
  </si>
  <si>
    <t>INV-1522</t>
  </si>
  <si>
    <t>DIS-0523</t>
  </si>
  <si>
    <t>INV-1523</t>
  </si>
  <si>
    <t>DIS-0524</t>
  </si>
  <si>
    <t>INV-1524</t>
  </si>
  <si>
    <t>DIS-0525</t>
  </si>
  <si>
    <t>INV-1525</t>
  </si>
  <si>
    <t>DIS-0526</t>
  </si>
  <si>
    <t>INV-1526</t>
  </si>
  <si>
    <t>DIS-0527</t>
  </si>
  <si>
    <t>INV-1527</t>
  </si>
  <si>
    <t>DIS-0528</t>
  </si>
  <si>
    <t>INV-1528</t>
  </si>
  <si>
    <t>DIS-0529</t>
  </si>
  <si>
    <t>INV-1529</t>
  </si>
  <si>
    <t>DIS-0530</t>
  </si>
  <si>
    <t>INV-1530</t>
  </si>
  <si>
    <t>DIS-0531</t>
  </si>
  <si>
    <t>INV-1531</t>
  </si>
  <si>
    <t>DIS-0532</t>
  </si>
  <si>
    <t>INV-1532</t>
  </si>
  <si>
    <t>DIS-0533</t>
  </si>
  <si>
    <t>INV-1533</t>
  </si>
  <si>
    <t>DIS-0534</t>
  </si>
  <si>
    <t>INV-1534</t>
  </si>
  <si>
    <t>DIS-0535</t>
  </si>
  <si>
    <t>INV-1535</t>
  </si>
  <si>
    <t>DIS-0536</t>
  </si>
  <si>
    <t>INV-1536</t>
  </si>
  <si>
    <t>DIS-0537</t>
  </si>
  <si>
    <t>INV-1537</t>
  </si>
  <si>
    <t>DIS-0538</t>
  </si>
  <si>
    <t>INV-1538</t>
  </si>
  <si>
    <t>DIS-0539</t>
  </si>
  <si>
    <t>INV-1539</t>
  </si>
  <si>
    <t>DIS-0540</t>
  </si>
  <si>
    <t>INV-1540</t>
  </si>
  <si>
    <t>DIS-0541</t>
  </si>
  <si>
    <t>INV-1541</t>
  </si>
  <si>
    <t>DIS-0542</t>
  </si>
  <si>
    <t>INV-1542</t>
  </si>
  <si>
    <t>DIS-0543</t>
  </si>
  <si>
    <t>INV-1543</t>
  </si>
  <si>
    <t>DIS-0544</t>
  </si>
  <si>
    <t>INV-1544</t>
  </si>
  <si>
    <t>DIS-0545</t>
  </si>
  <si>
    <t>INV-1545</t>
  </si>
  <si>
    <t>DIS-0546</t>
  </si>
  <si>
    <t>INV-1546</t>
  </si>
  <si>
    <t>DIS-0547</t>
  </si>
  <si>
    <t>INV-1547</t>
  </si>
  <si>
    <t>DIS-0548</t>
  </si>
  <si>
    <t>INV-1548</t>
  </si>
  <si>
    <t>Dispute Resolution Tracker</t>
  </si>
  <si>
    <t>OPEN DISPUTES</t>
  </si>
  <si>
    <t>AMOUNT IN DISPUTE</t>
  </si>
  <si>
    <t>AVG RESOLUTION DAYS</t>
  </si>
  <si>
    <t>ESCALATION RATE</t>
  </si>
  <si>
    <t>Active cases</t>
  </si>
  <si>
    <t>Open + In Progress + Escalated</t>
  </si>
  <si>
    <t>Avg days to resolve</t>
  </si>
  <si>
    <t>% of total disputes</t>
  </si>
  <si>
    <t>Disputes by Type</t>
  </si>
  <si>
    <t>Disputes by Priority</t>
  </si>
  <si>
    <t>Disputes by Status</t>
  </si>
  <si>
    <t>Etiquetas de fila</t>
  </si>
  <si>
    <t>Total general</t>
  </si>
  <si>
    <t>Dispute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</si>
</sst>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&quot;$&quot;#,##0.00"/>
    <numFmt numFmtId="166" formatCode="0.0\ &quot;days&quot;"/>
    <numFmt numFmtId="167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[dispute_resolution_tracker.xlsx]Dashboard!PT_Type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Dispute Amount by Type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Dashboard!$B$10:$B$16</c:f>
              <c:strCache>
                <c:ptCount val="6"/>
                <c:pt idx="0">
                  <c:v>Contract Terms</c:v>
                </c:pt>
                <c:pt idx="1">
                  <c:v>Damaged Goods</c:v>
                </c:pt>
                <c:pt idx="2">
                  <c:v>Duplicate Invoice</c:v>
                </c:pt>
                <c:pt idx="3">
                  <c:v>Missing Goods</c:v>
                </c:pt>
                <c:pt idx="4">
                  <c:v>Price Discrepancy</c:v>
                </c:pt>
                <c:pt idx="5">
                  <c:v>Service Quality</c:v>
                </c:pt>
              </c:strCache>
            </c:strRef>
          </c:cat>
          <c:val>
            <c:numRef>
              <c:f>Dashboard!$C$10:$C$16</c:f>
              <c:numCache>
                <c:formatCode>"$"#.##0</c:formatCode>
                <c:ptCount val="6"/>
                <c:pt idx="0">
                  <c:v>2288678.31</c:v>
                </c:pt>
                <c:pt idx="1">
                  <c:v>2150559.34</c:v>
                </c:pt>
                <c:pt idx="2">
                  <c:v>1648672.47</c:v>
                </c:pt>
                <c:pt idx="3">
                  <c:v>2018906.1699999995</c:v>
                </c:pt>
                <c:pt idx="4">
                  <c:v>1601750.6800000002</c:v>
                </c:pt>
                <c:pt idx="5">
                  <c:v>2189849.6499999994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64-496E-963C-029533146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1289264"/>
        <c:axId val="1178463808"/>
      </c:barChart>
      <c:catAx>
        <c:axId val="1391289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178463808"/>
        <c:crosses val="autoZero"/>
        <c:auto val="1"/>
        <c:lblAlgn val="ctr"/>
        <c:lblOffset val="100"/>
        <c:noMultiLvlLbl val="0"/>
      </c:catAx>
      <c:valAx>
        <c:axId val="1178463808"/>
        <c:scaling>
          <c:orientation val="minMax"/>
        </c:scaling>
        <c:delete val="0"/>
        <c:axPos val="b"/>
        <c:majorGridlines/>
        <c:numFmt formatCode="&quot;$&quot;#.##0" sourceLinked="0"/>
        <c:majorTickMark val="out"/>
        <c:minorTickMark val="none"/>
        <c:tickLblPos val="nextTo"/>
        <c:crossAx val="1391289264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[dispute_resolution_tracker.xlsx]Dashboard!PT_Priority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Dispute Amount by Priority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Dashboard!$H$9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Dashboard!$G$10:$G$14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Dashboard!$H$10:$H$14</c:f>
              <c:numCache>
                <c:formatCode>"$"#.##0</c:formatCode>
                <c:ptCount val="4"/>
                <c:pt idx="0">
                  <c:v>785850.57000000007</c:v>
                </c:pt>
                <c:pt idx="1">
                  <c:v>2934327.5500000012</c:v>
                </c:pt>
                <c:pt idx="2">
                  <c:v>3039403.6</c:v>
                </c:pt>
                <c:pt idx="3">
                  <c:v>5138834.9000000013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C2-402A-8489-0A7204E90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4384832"/>
        <c:axId val="1394383584"/>
      </c:barChart>
      <c:catAx>
        <c:axId val="139438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94383584"/>
        <c:crosses val="autoZero"/>
        <c:auto val="1"/>
        <c:lblAlgn val="ctr"/>
        <c:lblOffset val="100"/>
        <c:noMultiLvlLbl val="0"/>
      </c:catAx>
      <c:valAx>
        <c:axId val="1394383584"/>
        <c:scaling>
          <c:orientation val="minMax"/>
        </c:scaling>
        <c:delete val="0"/>
        <c:axPos val="l"/>
        <c:majorGridlines/>
        <c:numFmt formatCode="&quot;$&quot;#.##0" sourceLinked="0"/>
        <c:majorTickMark val="out"/>
        <c:minorTickMark val="none"/>
        <c:tickLblPos val="nextTo"/>
        <c:crossAx val="1394384832"/>
        <c:crosses val="autoZero"/>
        <c:crossBetween val="between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[dispute_resolution_tracker.xlsx]Dashboard!PT_Status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Disputes by Status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Dashboard!$M$9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Dashboard!$L$10:$L$15</c:f>
              <c:strCache>
                <c:ptCount val="5"/>
                <c:pt idx="0">
                  <c:v>Closed</c:v>
                </c:pt>
                <c:pt idx="1">
                  <c:v>Escalated</c:v>
                </c:pt>
                <c:pt idx="2">
                  <c:v>In Progress</c:v>
                </c:pt>
                <c:pt idx="3">
                  <c:v>Open</c:v>
                </c:pt>
                <c:pt idx="4">
                  <c:v>Resolved</c:v>
                </c:pt>
              </c:strCache>
            </c:strRef>
          </c:cat>
          <c:val>
            <c:numRef>
              <c:f>Dashboard!$M$10:$M$15</c:f>
              <c:numCache>
                <c:formatCode>"$"#.##0</c:formatCode>
                <c:ptCount val="5"/>
                <c:pt idx="0">
                  <c:v>2325010.6200000006</c:v>
                </c:pt>
                <c:pt idx="1">
                  <c:v>1379459.66</c:v>
                </c:pt>
                <c:pt idx="2">
                  <c:v>942005.49000000022</c:v>
                </c:pt>
                <c:pt idx="3">
                  <c:v>1110179.27</c:v>
                </c:pt>
                <c:pt idx="4">
                  <c:v>6141761.5799999982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0-458B-AAED-38D41FE02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27</xdr:row>
      <xdr:rowOff>0</xdr:rowOff>
    </xdr:from>
    <xdr:to>
      <xdr:col>6</xdr:col>
      <xdr:colOff>0</xdr:colOff>
      <xdr:row>46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552535C-DB73-40D8-AB3E-6BC2A7FF14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11</xdr:col>
      <xdr:colOff>0</xdr:colOff>
      <xdr:row>46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6A5266-781E-405B-9BAC-B3DED5519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27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2ED11AB-9C29-4342-BBF8-BCC23307D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657225</xdr:colOff>
      <xdr:row>60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TypeSlicer">
              <a:extLst>
                <a:ext uri="{FF2B5EF4-FFF2-40B4-BE49-F238E27FC236}">
                  <a16:creationId xmlns:a16="http://schemas.microsoft.com/office/drawing/2014/main" id="{0D7DD95A-A094-4EE1-9B8F-A8B52F6A58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ype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0" y="9505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981075</xdr:colOff>
      <xdr:row>60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PrioritySlicer">
              <a:extLst>
                <a:ext uri="{FF2B5EF4-FFF2-40B4-BE49-F238E27FC236}">
                  <a16:creationId xmlns:a16="http://schemas.microsoft.com/office/drawing/2014/main" id="{7145757D-2D72-4991-92FF-5B9CD95C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ority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6275" y="9505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0</xdr:colOff>
      <xdr:row>47</xdr:row>
      <xdr:rowOff>0</xdr:rowOff>
    </xdr:from>
    <xdr:to>
      <xdr:col>11</xdr:col>
      <xdr:colOff>304800</xdr:colOff>
      <xdr:row>60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tatusSlicer">
              <a:extLst>
                <a:ext uri="{FF2B5EF4-FFF2-40B4-BE49-F238E27FC236}">
                  <a16:creationId xmlns:a16="http://schemas.microsoft.com/office/drawing/2014/main" id="{F901F23F-9477-4967-9A70-D018A53500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Slic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96275" y="9505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0.505114583335" createdVersion="3" refreshedVersion="7" minRefreshableVersion="3" recordCount="548" xr:uid="{689A3334-DF1C-4B0D-9B5E-0D74B29277D5}">
  <cacheSource type="worksheet">
    <worksheetSource name="DisputeData"/>
  </cacheSource>
  <cacheFields count="18">
    <cacheField name="dispute_id" numFmtId="0">
      <sharedItems/>
    </cacheField>
    <cacheField name="invoice_id" numFmtId="0">
      <sharedItems/>
    </cacheField>
    <cacheField name="vendor_id" numFmtId="0">
      <sharedItems/>
    </cacheField>
    <cacheField name="vendor_name" numFmtId="0">
      <sharedItems/>
    </cacheField>
    <cacheField name="vendor_category" numFmtId="0">
      <sharedItems/>
    </cacheField>
    <cacheField name="region" numFmtId="0">
      <sharedItems/>
    </cacheField>
    <cacheField name="dispute_date" numFmtId="14">
      <sharedItems containsSemiMixedTypes="0" containsNonDate="0" containsDate="1" containsString="0" minDate="2024-06-01T00:00:00" maxDate="2025-05-31T00:00:00"/>
    </cacheField>
    <cacheField name="dispute_type" numFmtId="0">
      <sharedItems count="6">
        <s v="Contract Terms"/>
        <s v="Missing Goods"/>
        <s v="Duplicate Invoice"/>
        <s v="Service Quality"/>
        <s v="Damaged Goods"/>
        <s v="Price Discrepancy"/>
      </sharedItems>
    </cacheField>
    <cacheField name="invoice_amount" numFmtId="0">
      <sharedItems containsSemiMixedTypes="0" containsString="0" containsNumber="1" minValue="5447.78" maxValue="99853.17"/>
    </cacheField>
    <cacheField name="dispute_amount" numFmtId="0">
      <sharedItems containsSemiMixedTypes="0" containsString="0" containsNumber="1" minValue="526.45000000000005" maxValue="79590.2"/>
    </cacheField>
    <cacheField name="priority" numFmtId="0">
      <sharedItems/>
    </cacheField>
    <cacheField name="assigned_to" numFmtId="0">
      <sharedItems/>
    </cacheField>
    <cacheField name="status" numFmtId="0">
      <sharedItems/>
    </cacheField>
    <cacheField name="days_open" numFmtId="0">
      <sharedItems containsSemiMixedTypes="0" containsString="0" containsNumber="1" containsInteger="1" minValue="2" maxValue="365"/>
    </cacheField>
    <cacheField name="resolution_date" numFmtId="0">
      <sharedItems containsNonDate="0" containsDate="1" containsString="0" containsBlank="1" minDate="2024-06-20T00:00:00" maxDate="2025-06-01T00:00:00"/>
    </cacheField>
    <cacheField name="resolution_days" numFmtId="0">
      <sharedItems containsString="0" containsBlank="1" containsNumber="1" containsInteger="1" minValue="3" maxValue="120"/>
    </cacheField>
    <cacheField name="resolution_outcome" numFmtId="0">
      <sharedItems/>
    </cacheField>
    <cacheField name="credit_amount" numFmtId="0">
      <sharedItems containsSemiMixedTypes="0" containsString="0" containsNumber="1" minValue="0" maxValue="71306.17"/>
    </cacheField>
  </cacheFields>
  <extLst>
    <ext xmlns:x14="http://schemas.microsoft.com/office/spreadsheetml/2009/9/main" uri="{725AE2AE-9491-48be-B2B4-4EB974FC3084}">
      <x14:pivotCacheDefinition pivotCacheId="104748212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0.505143981478" createdVersion="3" refreshedVersion="7" minRefreshableVersion="3" recordCount="548" xr:uid="{2F67297E-1FF6-4F5C-94CE-0651DDBAB7ED}">
  <cacheSource type="worksheet">
    <worksheetSource name="DisputeData"/>
  </cacheSource>
  <cacheFields count="18">
    <cacheField name="dispute_id" numFmtId="0">
      <sharedItems/>
    </cacheField>
    <cacheField name="invoice_id" numFmtId="0">
      <sharedItems/>
    </cacheField>
    <cacheField name="vendor_id" numFmtId="0">
      <sharedItems/>
    </cacheField>
    <cacheField name="vendor_name" numFmtId="0">
      <sharedItems/>
    </cacheField>
    <cacheField name="vendor_category" numFmtId="0">
      <sharedItems/>
    </cacheField>
    <cacheField name="region" numFmtId="0">
      <sharedItems/>
    </cacheField>
    <cacheField name="dispute_date" numFmtId="14">
      <sharedItems containsSemiMixedTypes="0" containsNonDate="0" containsDate="1" containsString="0" minDate="2024-06-01T00:00:00" maxDate="2025-05-31T00:00:00"/>
    </cacheField>
    <cacheField name="dispute_type" numFmtId="0">
      <sharedItems/>
    </cacheField>
    <cacheField name="invoice_amount" numFmtId="0">
      <sharedItems containsSemiMixedTypes="0" containsString="0" containsNumber="1" minValue="5447.78" maxValue="99853.17"/>
    </cacheField>
    <cacheField name="dispute_amount" numFmtId="0">
      <sharedItems containsSemiMixedTypes="0" containsString="0" containsNumber="1" minValue="526.45000000000005" maxValue="79590.2"/>
    </cacheField>
    <cacheField name="priority" numFmtId="0">
      <sharedItems count="4">
        <s v="Low"/>
        <s v="Medium"/>
        <s v="Critical"/>
        <s v="High"/>
      </sharedItems>
    </cacheField>
    <cacheField name="assigned_to" numFmtId="0">
      <sharedItems/>
    </cacheField>
    <cacheField name="status" numFmtId="0">
      <sharedItems/>
    </cacheField>
    <cacheField name="days_open" numFmtId="0">
      <sharedItems containsSemiMixedTypes="0" containsString="0" containsNumber="1" containsInteger="1" minValue="2" maxValue="365"/>
    </cacheField>
    <cacheField name="resolution_date" numFmtId="0">
      <sharedItems containsNonDate="0" containsDate="1" containsString="0" containsBlank="1" minDate="2024-06-20T00:00:00" maxDate="2025-06-01T00:00:00"/>
    </cacheField>
    <cacheField name="resolution_days" numFmtId="0">
      <sharedItems containsString="0" containsBlank="1" containsNumber="1" containsInteger="1" minValue="3" maxValue="120"/>
    </cacheField>
    <cacheField name="resolution_outcome" numFmtId="0">
      <sharedItems/>
    </cacheField>
    <cacheField name="credit_amount" numFmtId="0">
      <sharedItems containsSemiMixedTypes="0" containsString="0" containsNumber="1" minValue="0" maxValue="71306.17"/>
    </cacheField>
  </cacheFields>
  <extLst>
    <ext xmlns:x14="http://schemas.microsoft.com/office/spreadsheetml/2009/9/main" uri="{725AE2AE-9491-48be-B2B4-4EB974FC3084}">
      <x14:pivotCacheDefinition pivotCacheId="359704724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0.505183217596" createdVersion="3" refreshedVersion="7" minRefreshableVersion="3" recordCount="548" xr:uid="{A909494A-787D-4FA7-BE27-0FAC5F9D6ACA}">
  <cacheSource type="worksheet">
    <worksheetSource name="DisputeData"/>
  </cacheSource>
  <cacheFields count="18">
    <cacheField name="dispute_id" numFmtId="0">
      <sharedItems/>
    </cacheField>
    <cacheField name="invoice_id" numFmtId="0">
      <sharedItems/>
    </cacheField>
    <cacheField name="vendor_id" numFmtId="0">
      <sharedItems/>
    </cacheField>
    <cacheField name="vendor_name" numFmtId="0">
      <sharedItems/>
    </cacheField>
    <cacheField name="vendor_category" numFmtId="0">
      <sharedItems/>
    </cacheField>
    <cacheField name="region" numFmtId="0">
      <sharedItems/>
    </cacheField>
    <cacheField name="dispute_date" numFmtId="14">
      <sharedItems containsSemiMixedTypes="0" containsNonDate="0" containsDate="1" containsString="0" minDate="2024-06-01T00:00:00" maxDate="2025-05-31T00:00:00"/>
    </cacheField>
    <cacheField name="dispute_type" numFmtId="0">
      <sharedItems/>
    </cacheField>
    <cacheField name="invoice_amount" numFmtId="0">
      <sharedItems containsSemiMixedTypes="0" containsString="0" containsNumber="1" minValue="5447.78" maxValue="99853.17"/>
    </cacheField>
    <cacheField name="dispute_amount" numFmtId="0">
      <sharedItems containsSemiMixedTypes="0" containsString="0" containsNumber="1" minValue="526.45000000000005" maxValue="79590.2"/>
    </cacheField>
    <cacheField name="priority" numFmtId="0">
      <sharedItems/>
    </cacheField>
    <cacheField name="assigned_to" numFmtId="0">
      <sharedItems/>
    </cacheField>
    <cacheField name="status" numFmtId="0">
      <sharedItems count="5">
        <s v="Resolved"/>
        <s v="Open"/>
        <s v="Closed"/>
        <s v="Escalated"/>
        <s v="In Progress"/>
      </sharedItems>
    </cacheField>
    <cacheField name="days_open" numFmtId="0">
      <sharedItems containsSemiMixedTypes="0" containsString="0" containsNumber="1" containsInteger="1" minValue="2" maxValue="365"/>
    </cacheField>
    <cacheField name="resolution_date" numFmtId="0">
      <sharedItems containsNonDate="0" containsDate="1" containsString="0" containsBlank="1" minDate="2024-06-20T00:00:00" maxDate="2025-06-01T00:00:00"/>
    </cacheField>
    <cacheField name="resolution_days" numFmtId="0">
      <sharedItems containsString="0" containsBlank="1" containsNumber="1" containsInteger="1" minValue="3" maxValue="120"/>
    </cacheField>
    <cacheField name="resolution_outcome" numFmtId="0">
      <sharedItems/>
    </cacheField>
    <cacheField name="credit_amount" numFmtId="0">
      <sharedItems containsSemiMixedTypes="0" containsString="0" containsNumber="1" minValue="0" maxValue="71306.17"/>
    </cacheField>
  </cacheFields>
  <extLst>
    <ext xmlns:x14="http://schemas.microsoft.com/office/spreadsheetml/2009/9/main" uri="{725AE2AE-9491-48be-B2B4-4EB974FC3084}">
      <x14:pivotCacheDefinition pivotCacheId="7208233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s v="DIS-0001"/>
    <s v="INV-1001"/>
    <s v="VND-001"/>
    <s v="Acero Nacional SA"/>
    <s v="Materials"/>
    <s v="North"/>
    <d v="2025-01-11T00:00:00"/>
    <x v="0"/>
    <n v="28264.73"/>
    <n v="4371.24"/>
    <s v="Low"/>
    <s v="Carlos Mendez"/>
    <s v="Resolved"/>
    <n v="141"/>
    <d v="2025-01-18T00:00:00"/>
    <n v="7"/>
    <s v="Full Credit"/>
    <n v="4371.24"/>
  </r>
  <r>
    <s v="DIS-0002"/>
    <s v="INV-1002"/>
    <s v="VND-001"/>
    <s v="Acero Nacional SA"/>
    <s v="Materials"/>
    <s v="North"/>
    <d v="2025-02-09T00:00:00"/>
    <x v="0"/>
    <n v="27102.78"/>
    <n v="13592.42"/>
    <s v="Medium"/>
    <s v="Valeria Moreno"/>
    <s v="Resolved"/>
    <n v="112"/>
    <d v="2025-04-28T00:00:00"/>
    <n v="78"/>
    <s v="Full Credit"/>
    <n v="13592.42"/>
  </r>
  <r>
    <s v="DIS-0003"/>
    <s v="INV-1003"/>
    <s v="VND-001"/>
    <s v="Acero Nacional SA"/>
    <s v="Materials"/>
    <s v="North"/>
    <d v="2025-05-28T00:00:00"/>
    <x v="1"/>
    <n v="77086.7"/>
    <n v="13085.04"/>
    <s v="Medium"/>
    <s v="Sofia Ruiz"/>
    <s v="Open"/>
    <n v="4"/>
    <m/>
    <m/>
    <s v="Pending"/>
    <n v="0"/>
  </r>
  <r>
    <s v="DIS-0004"/>
    <s v="INV-1004"/>
    <s v="VND-001"/>
    <s v="Acero Nacional SA"/>
    <s v="Materials"/>
    <s v="North"/>
    <d v="2024-12-10T00:00:00"/>
    <x v="1"/>
    <n v="14709.98"/>
    <n v="4927.04"/>
    <s v="Medium"/>
    <s v="Marta Lopez"/>
    <s v="Closed"/>
    <n v="173"/>
    <d v="2025-03-16T00:00:00"/>
    <n v="96"/>
    <s v="Partial Credit"/>
    <n v="1354.42"/>
  </r>
  <r>
    <s v="DIS-0005"/>
    <s v="INV-1005"/>
    <s v="VND-001"/>
    <s v="Acero Nacional SA"/>
    <s v="Materials"/>
    <s v="North"/>
    <d v="2024-11-19T00:00:00"/>
    <x v="1"/>
    <n v="12486.02"/>
    <n v="3369.77"/>
    <s v="Medium"/>
    <s v="Luis Herrera"/>
    <s v="Escalated"/>
    <n v="194"/>
    <d v="2024-11-27T00:00:00"/>
    <n v="8"/>
    <s v="Payment Adjusted"/>
    <n v="1379"/>
  </r>
  <r>
    <s v="DIS-0006"/>
    <s v="INV-1006"/>
    <s v="VND-001"/>
    <s v="Acero Nacional SA"/>
    <s v="Materials"/>
    <s v="North"/>
    <d v="2025-04-21T00:00:00"/>
    <x v="2"/>
    <n v="86255.18"/>
    <n v="60366.79"/>
    <s v="Medium"/>
    <s v="Diego Castillo"/>
    <s v="In Progress"/>
    <n v="41"/>
    <m/>
    <m/>
    <s v="Pending"/>
    <n v="0"/>
  </r>
  <r>
    <s v="DIS-0007"/>
    <s v="INV-1007"/>
    <s v="VND-001"/>
    <s v="Acero Nacional SA"/>
    <s v="Materials"/>
    <s v="North"/>
    <d v="2024-12-01T00:00:00"/>
    <x v="0"/>
    <n v="24903.17"/>
    <n v="6231.6"/>
    <s v="Critical"/>
    <s v="Carlos Mendez"/>
    <s v="Resolved"/>
    <n v="182"/>
    <d v="2024-12-25T00:00:00"/>
    <n v="24"/>
    <s v="Partial Credit"/>
    <n v="2161.66"/>
  </r>
  <r>
    <s v="DIS-0008"/>
    <s v="INV-1008"/>
    <s v="VND-001"/>
    <s v="Acero Nacional SA"/>
    <s v="Materials"/>
    <s v="North"/>
    <d v="2024-10-07T00:00:00"/>
    <x v="3"/>
    <n v="41048.269999999997"/>
    <n v="32516.080000000002"/>
    <s v="Medium"/>
    <s v="Luis Herrera"/>
    <s v="Escalated"/>
    <n v="237"/>
    <d v="2025-01-25T00:00:00"/>
    <n v="110"/>
    <s v="Payment Adjusted"/>
    <n v="3979.16"/>
  </r>
  <r>
    <s v="DIS-0009"/>
    <s v="INV-1009"/>
    <s v="VND-001"/>
    <s v="Acero Nacional SA"/>
    <s v="Materials"/>
    <s v="North"/>
    <d v="2025-05-15T00:00:00"/>
    <x v="3"/>
    <n v="81479.350000000006"/>
    <n v="28588.95"/>
    <s v="Low"/>
    <s v="Diego Castillo"/>
    <s v="Open"/>
    <n v="17"/>
    <m/>
    <m/>
    <s v="Pending"/>
    <n v="0"/>
  </r>
  <r>
    <s v="DIS-0010"/>
    <s v="INV-1010"/>
    <s v="VND-001"/>
    <s v="Acero Nacional SA"/>
    <s v="Materials"/>
    <s v="North"/>
    <d v="2024-09-18T00:00:00"/>
    <x v="1"/>
    <n v="42585.03"/>
    <n v="31338.78"/>
    <s v="Medium"/>
    <s v="Sofia Ruiz"/>
    <s v="Resolved"/>
    <n v="256"/>
    <d v="2024-12-01T00:00:00"/>
    <n v="74"/>
    <s v="Partial Credit"/>
    <n v="20314.060000000001"/>
  </r>
  <r>
    <s v="DIS-0011"/>
    <s v="INV-1011"/>
    <s v="VND-001"/>
    <s v="Acero Nacional SA"/>
    <s v="Materials"/>
    <s v="North"/>
    <d v="2024-10-24T00:00:00"/>
    <x v="4"/>
    <n v="90293.17"/>
    <n v="31562.01"/>
    <s v="Low"/>
    <s v="Juan Vargas"/>
    <s v="In Progress"/>
    <n v="220"/>
    <m/>
    <m/>
    <s v="Pending"/>
    <n v="0"/>
  </r>
  <r>
    <s v="DIS-0012"/>
    <s v="INV-1012"/>
    <s v="VND-001"/>
    <s v="Acero Nacional SA"/>
    <s v="Materials"/>
    <s v="North"/>
    <d v="2025-05-07T00:00:00"/>
    <x v="0"/>
    <n v="86804.78"/>
    <n v="14290.76"/>
    <s v="Low"/>
    <s v="Valeria Moreno"/>
    <s v="In Progress"/>
    <n v="25"/>
    <m/>
    <m/>
    <s v="Pending"/>
    <n v="0"/>
  </r>
  <r>
    <s v="DIS-0013"/>
    <s v="INV-1013"/>
    <s v="VND-001"/>
    <s v="Acero Nacional SA"/>
    <s v="Materials"/>
    <s v="North"/>
    <d v="2024-11-15T00:00:00"/>
    <x v="3"/>
    <n v="41253.83"/>
    <n v="32883.06"/>
    <s v="Medium"/>
    <s v="Ana Torres"/>
    <s v="Escalated"/>
    <n v="198"/>
    <d v="2024-12-02T00:00:00"/>
    <n v="17"/>
    <s v="Payment Adjusted"/>
    <n v="10351.200000000001"/>
  </r>
  <r>
    <s v="DIS-0014"/>
    <s v="INV-1014"/>
    <s v="VND-001"/>
    <s v="Acero Nacional SA"/>
    <s v="Materials"/>
    <s v="North"/>
    <d v="2025-01-15T00:00:00"/>
    <x v="4"/>
    <n v="78016.88"/>
    <n v="23805.42"/>
    <s v="Medium"/>
    <s v="Juan Vargas"/>
    <s v="Open"/>
    <n v="137"/>
    <m/>
    <m/>
    <s v="Pending"/>
    <n v="0"/>
  </r>
  <r>
    <s v="DIS-0015"/>
    <s v="INV-1015"/>
    <s v="VND-001"/>
    <s v="Acero Nacional SA"/>
    <s v="Materials"/>
    <s v="North"/>
    <d v="2025-01-17T00:00:00"/>
    <x v="5"/>
    <n v="97329.37"/>
    <n v="60487.44"/>
    <s v="Medium"/>
    <s v="Marta Lopez"/>
    <s v="Closed"/>
    <n v="135"/>
    <d v="2025-03-25T00:00:00"/>
    <n v="67"/>
    <s v="Partial Credit"/>
    <n v="17644.400000000001"/>
  </r>
  <r>
    <s v="DIS-0016"/>
    <s v="INV-1016"/>
    <s v="VND-001"/>
    <s v="Acero Nacional SA"/>
    <s v="Materials"/>
    <s v="North"/>
    <d v="2025-03-10T00:00:00"/>
    <x v="5"/>
    <n v="56241.01"/>
    <n v="35655.11"/>
    <s v="Medium"/>
    <s v="Diego Castillo"/>
    <s v="Resolved"/>
    <n v="83"/>
    <d v="2025-03-27T00:00:00"/>
    <n v="17"/>
    <s v="Pending"/>
    <n v="0"/>
  </r>
  <r>
    <s v="DIS-0017"/>
    <s v="INV-1017"/>
    <s v="VND-001"/>
    <s v="Acero Nacional SA"/>
    <s v="Materials"/>
    <s v="North"/>
    <d v="2024-12-25T00:00:00"/>
    <x v="5"/>
    <n v="27747.97"/>
    <n v="6400.17"/>
    <s v="Medium"/>
    <s v="Carlos Mendez"/>
    <s v="Escalated"/>
    <n v="158"/>
    <d v="2025-04-11T00:00:00"/>
    <n v="107"/>
    <s v="Full Credit"/>
    <n v="6400.17"/>
  </r>
  <r>
    <s v="DIS-0018"/>
    <s v="INV-1018"/>
    <s v="VND-001"/>
    <s v="Acero Nacional SA"/>
    <s v="Materials"/>
    <s v="North"/>
    <d v="2024-09-01T00:00:00"/>
    <x v="3"/>
    <n v="77754.27"/>
    <n v="11374.95"/>
    <s v="Medium"/>
    <s v="Sofia Ruiz"/>
    <s v="Resolved"/>
    <n v="273"/>
    <d v="2024-12-24T00:00:00"/>
    <n v="114"/>
    <s v="Partial Credit"/>
    <n v="8856.74"/>
  </r>
  <r>
    <s v="DIS-0019"/>
    <s v="INV-1019"/>
    <s v="VND-001"/>
    <s v="Acero Nacional SA"/>
    <s v="Materials"/>
    <s v="North"/>
    <d v="2024-08-28T00:00:00"/>
    <x v="2"/>
    <n v="76750.19"/>
    <n v="43548.11"/>
    <s v="High"/>
    <s v="Diego Castillo"/>
    <s v="Resolved"/>
    <n v="277"/>
    <d v="2024-11-05T00:00:00"/>
    <n v="69"/>
    <s v="Partial Credit"/>
    <n v="15187.11"/>
  </r>
  <r>
    <s v="DIS-0020"/>
    <s v="INV-1020"/>
    <s v="VND-001"/>
    <s v="Acero Nacional SA"/>
    <s v="Materials"/>
    <s v="North"/>
    <d v="2025-04-29T00:00:00"/>
    <x v="4"/>
    <n v="37118.129999999997"/>
    <n v="18233.599999999999"/>
    <s v="Low"/>
    <s v="Ana Torres"/>
    <s v="Open"/>
    <n v="33"/>
    <m/>
    <m/>
    <s v="Pending"/>
    <n v="0"/>
  </r>
  <r>
    <s v="DIS-0021"/>
    <s v="INV-1021"/>
    <s v="VND-002"/>
    <s v="TechSupplies Inc"/>
    <s v="IT"/>
    <s v="North"/>
    <d v="2025-04-27T00:00:00"/>
    <x v="4"/>
    <n v="91014.9"/>
    <n v="63230.47"/>
    <s v="Low"/>
    <s v="Marta Lopez"/>
    <s v="Resolved"/>
    <n v="35"/>
    <d v="2025-05-13T00:00:00"/>
    <n v="16"/>
    <s v="Partial Credit"/>
    <n v="40088.85"/>
  </r>
  <r>
    <s v="DIS-0022"/>
    <s v="INV-1022"/>
    <s v="VND-002"/>
    <s v="TechSupplies Inc"/>
    <s v="IT"/>
    <s v="North"/>
    <d v="2024-08-12T00:00:00"/>
    <x v="2"/>
    <n v="59740.11"/>
    <n v="13874.52"/>
    <s v="Medium"/>
    <s v="Luis Herrera"/>
    <s v="In Progress"/>
    <n v="293"/>
    <m/>
    <m/>
    <s v="Pending"/>
    <n v="0"/>
  </r>
  <r>
    <s v="DIS-0023"/>
    <s v="INV-1023"/>
    <s v="VND-002"/>
    <s v="TechSupplies Inc"/>
    <s v="IT"/>
    <s v="North"/>
    <d v="2024-06-28T00:00:00"/>
    <x v="0"/>
    <n v="45949.86"/>
    <n v="16895.03"/>
    <s v="Medium"/>
    <s v="Ana Torres"/>
    <s v="Escalated"/>
    <n v="338"/>
    <d v="2024-09-21T00:00:00"/>
    <n v="85"/>
    <s v="Full Credit"/>
    <n v="16895.03"/>
  </r>
  <r>
    <s v="DIS-0024"/>
    <s v="INV-1024"/>
    <s v="VND-002"/>
    <s v="TechSupplies Inc"/>
    <s v="IT"/>
    <s v="North"/>
    <d v="2024-11-06T00:00:00"/>
    <x v="4"/>
    <n v="74180.289999999994"/>
    <n v="48250.15"/>
    <s v="Low"/>
    <s v="Luis Herrera"/>
    <s v="Resolved"/>
    <n v="207"/>
    <d v="2024-11-26T00:00:00"/>
    <n v="20"/>
    <s v="Partial Credit"/>
    <n v="17713.939999999999"/>
  </r>
  <r>
    <s v="DIS-0025"/>
    <s v="INV-1025"/>
    <s v="VND-002"/>
    <s v="TechSupplies Inc"/>
    <s v="IT"/>
    <s v="North"/>
    <d v="2025-01-24T00:00:00"/>
    <x v="3"/>
    <n v="88076.17"/>
    <n v="9383.52"/>
    <s v="High"/>
    <s v="Carlos Mendez"/>
    <s v="In Progress"/>
    <n v="128"/>
    <m/>
    <m/>
    <s v="Pending"/>
    <n v="0"/>
  </r>
  <r>
    <s v="DIS-0026"/>
    <s v="INV-1026"/>
    <s v="VND-002"/>
    <s v="TechSupplies Inc"/>
    <s v="IT"/>
    <s v="North"/>
    <d v="2024-08-28T00:00:00"/>
    <x v="4"/>
    <n v="84422.62"/>
    <n v="65575.03"/>
    <s v="Critical"/>
    <s v="Sofia Ruiz"/>
    <s v="Resolved"/>
    <n v="277"/>
    <d v="2024-10-31T00:00:00"/>
    <n v="64"/>
    <s v="Full Credit"/>
    <n v="65575.03"/>
  </r>
  <r>
    <s v="DIS-0027"/>
    <s v="INV-1027"/>
    <s v="VND-002"/>
    <s v="TechSupplies Inc"/>
    <s v="IT"/>
    <s v="North"/>
    <d v="2024-11-07T00:00:00"/>
    <x v="2"/>
    <n v="90732.07"/>
    <n v="15740"/>
    <s v="Low"/>
    <s v="Marta Lopez"/>
    <s v="Closed"/>
    <n v="206"/>
    <d v="2025-02-18T00:00:00"/>
    <n v="103"/>
    <s v="Partial Credit"/>
    <n v="7142.88"/>
  </r>
  <r>
    <s v="DIS-0028"/>
    <s v="INV-1028"/>
    <s v="VND-002"/>
    <s v="TechSupplies Inc"/>
    <s v="IT"/>
    <s v="North"/>
    <d v="2024-08-20T00:00:00"/>
    <x v="4"/>
    <n v="67877.77"/>
    <n v="28169.52"/>
    <s v="Low"/>
    <s v="Ana Torres"/>
    <s v="Resolved"/>
    <n v="285"/>
    <d v="2024-10-31T00:00:00"/>
    <n v="72"/>
    <s v="Full Credit"/>
    <n v="28169.52"/>
  </r>
  <r>
    <s v="DIS-0029"/>
    <s v="INV-1029"/>
    <s v="VND-002"/>
    <s v="TechSupplies Inc"/>
    <s v="IT"/>
    <s v="North"/>
    <d v="2024-12-22T00:00:00"/>
    <x v="3"/>
    <n v="10430.700000000001"/>
    <n v="5091.57"/>
    <s v="Medium"/>
    <s v="Sofia Ruiz"/>
    <s v="In Progress"/>
    <n v="161"/>
    <m/>
    <m/>
    <s v="Pending"/>
    <n v="0"/>
  </r>
  <r>
    <s v="DIS-0030"/>
    <s v="INV-1030"/>
    <s v="VND-002"/>
    <s v="TechSupplies Inc"/>
    <s v="IT"/>
    <s v="North"/>
    <d v="2024-09-13T00:00:00"/>
    <x v="0"/>
    <n v="12610.59"/>
    <n v="2388.0500000000002"/>
    <s v="Medium"/>
    <s v="Luis Herrera"/>
    <s v="Resolved"/>
    <n v="261"/>
    <d v="2025-01-07T00:00:00"/>
    <n v="116"/>
    <s v="Partial Credit"/>
    <n v="1307.0999999999999"/>
  </r>
  <r>
    <s v="DIS-0031"/>
    <s v="INV-1031"/>
    <s v="VND-002"/>
    <s v="TechSupplies Inc"/>
    <s v="IT"/>
    <s v="North"/>
    <d v="2025-05-11T00:00:00"/>
    <x v="3"/>
    <n v="63841.24"/>
    <n v="23264.94"/>
    <s v="Medium"/>
    <s v="Diego Castillo"/>
    <s v="Closed"/>
    <n v="21"/>
    <d v="2025-05-20T00:00:00"/>
    <n v="9"/>
    <s v="Payment Adjusted"/>
    <n v="5250.28"/>
  </r>
  <r>
    <s v="DIS-0032"/>
    <s v="INV-1032"/>
    <s v="VND-002"/>
    <s v="TechSupplies Inc"/>
    <s v="IT"/>
    <s v="North"/>
    <d v="2025-01-16T00:00:00"/>
    <x v="1"/>
    <n v="42599.66"/>
    <n v="23590.31"/>
    <s v="Medium"/>
    <s v="Carlos Mendez"/>
    <s v="Open"/>
    <n v="136"/>
    <m/>
    <m/>
    <s v="Pending"/>
    <n v="0"/>
  </r>
  <r>
    <s v="DIS-0033"/>
    <s v="INV-1033"/>
    <s v="VND-002"/>
    <s v="TechSupplies Inc"/>
    <s v="IT"/>
    <s v="North"/>
    <d v="2024-07-17T00:00:00"/>
    <x v="4"/>
    <n v="99853.17"/>
    <n v="79590.2"/>
    <s v="Low"/>
    <s v="Marta Lopez"/>
    <s v="Resolved"/>
    <n v="319"/>
    <d v="2024-09-02T00:00:00"/>
    <n v="47"/>
    <s v="No Action"/>
    <n v="0"/>
  </r>
  <r>
    <s v="DIS-0034"/>
    <s v="INV-1034"/>
    <s v="VND-002"/>
    <s v="TechSupplies Inc"/>
    <s v="IT"/>
    <s v="North"/>
    <d v="2025-01-26T00:00:00"/>
    <x v="0"/>
    <n v="40105.07"/>
    <n v="6750.09"/>
    <s v="High"/>
    <s v="Marta Lopez"/>
    <s v="Resolved"/>
    <n v="126"/>
    <d v="2025-05-12T00:00:00"/>
    <n v="106"/>
    <s v="Payment Adjusted"/>
    <n v="696.13"/>
  </r>
  <r>
    <s v="DIS-0035"/>
    <s v="INV-1035"/>
    <s v="VND-002"/>
    <s v="TechSupplies Inc"/>
    <s v="IT"/>
    <s v="North"/>
    <d v="2024-08-21T00:00:00"/>
    <x v="4"/>
    <n v="33440.980000000003"/>
    <n v="18310.330000000002"/>
    <s v="Critical"/>
    <s v="Marta Lopez"/>
    <s v="Resolved"/>
    <n v="284"/>
    <d v="2024-09-06T00:00:00"/>
    <n v="16"/>
    <s v="Payment Adjusted"/>
    <n v="2969.55"/>
  </r>
  <r>
    <s v="DIS-0036"/>
    <s v="INV-1036"/>
    <s v="VND-002"/>
    <s v="TechSupplies Inc"/>
    <s v="IT"/>
    <s v="North"/>
    <d v="2025-01-07T00:00:00"/>
    <x v="0"/>
    <n v="62458.83"/>
    <n v="36738.85"/>
    <s v="Low"/>
    <s v="Marta Lopez"/>
    <s v="Resolved"/>
    <n v="145"/>
    <d v="2025-02-11T00:00:00"/>
    <n v="35"/>
    <s v="No Action"/>
    <n v="0"/>
  </r>
  <r>
    <s v="DIS-0037"/>
    <s v="INV-1037"/>
    <s v="VND-002"/>
    <s v="TechSupplies Inc"/>
    <s v="IT"/>
    <s v="North"/>
    <d v="2025-05-05T00:00:00"/>
    <x v="5"/>
    <n v="13768.35"/>
    <n v="5062.37"/>
    <s v="Medium"/>
    <s v="Diego Castillo"/>
    <s v="Resolved"/>
    <n v="27"/>
    <d v="2025-05-28T00:00:00"/>
    <n v="23"/>
    <s v="Pending"/>
    <n v="0"/>
  </r>
  <r>
    <s v="DIS-0038"/>
    <s v="INV-1038"/>
    <s v="VND-002"/>
    <s v="TechSupplies Inc"/>
    <s v="IT"/>
    <s v="North"/>
    <d v="2025-03-10T00:00:00"/>
    <x v="5"/>
    <n v="75416.94"/>
    <n v="34975.379999999997"/>
    <s v="Medium"/>
    <s v="Carlos Mendez"/>
    <s v="Open"/>
    <n v="83"/>
    <m/>
    <m/>
    <s v="Pending"/>
    <n v="0"/>
  </r>
  <r>
    <s v="DIS-0039"/>
    <s v="INV-1039"/>
    <s v="VND-002"/>
    <s v="TechSupplies Inc"/>
    <s v="IT"/>
    <s v="North"/>
    <d v="2024-06-12T00:00:00"/>
    <x v="3"/>
    <n v="90873.21"/>
    <n v="41728.32"/>
    <s v="High"/>
    <s v="Sofia Ruiz"/>
    <s v="Resolved"/>
    <n v="354"/>
    <d v="2024-06-20T00:00:00"/>
    <n v="8"/>
    <s v="Full Credit"/>
    <n v="41728.32"/>
  </r>
  <r>
    <s v="DIS-0040"/>
    <s v="INV-1040"/>
    <s v="VND-002"/>
    <s v="TechSupplies Inc"/>
    <s v="IT"/>
    <s v="North"/>
    <d v="2025-05-11T00:00:00"/>
    <x v="5"/>
    <n v="90397.84"/>
    <n v="18762.740000000002"/>
    <s v="Low"/>
    <s v="Diego Castillo"/>
    <s v="Resolved"/>
    <n v="21"/>
    <d v="2025-05-27T00:00:00"/>
    <n v="16"/>
    <s v="Pending"/>
    <n v="0"/>
  </r>
  <r>
    <s v="DIS-0041"/>
    <s v="INV-1041"/>
    <s v="VND-002"/>
    <s v="TechSupplies Inc"/>
    <s v="IT"/>
    <s v="North"/>
    <d v="2025-03-13T00:00:00"/>
    <x v="4"/>
    <n v="92947.56"/>
    <n v="21150.5"/>
    <s v="Low"/>
    <s v="Valeria Moreno"/>
    <s v="Open"/>
    <n v="80"/>
    <m/>
    <m/>
    <s v="Pending"/>
    <n v="0"/>
  </r>
  <r>
    <s v="DIS-0042"/>
    <s v="INV-1042"/>
    <s v="VND-002"/>
    <s v="TechSupplies Inc"/>
    <s v="IT"/>
    <s v="North"/>
    <d v="2024-12-12T00:00:00"/>
    <x v="0"/>
    <n v="79326.720000000001"/>
    <n v="28461.23"/>
    <s v="High"/>
    <s v="Luis Herrera"/>
    <s v="Resolved"/>
    <n v="171"/>
    <d v="2025-03-25T00:00:00"/>
    <n v="103"/>
    <s v="Payment Adjusted"/>
    <n v="7201.17"/>
  </r>
  <r>
    <s v="DIS-0043"/>
    <s v="INV-1043"/>
    <s v="VND-002"/>
    <s v="TechSupplies Inc"/>
    <s v="IT"/>
    <s v="North"/>
    <d v="2025-05-12T00:00:00"/>
    <x v="2"/>
    <n v="86566.36"/>
    <n v="18769.78"/>
    <s v="High"/>
    <s v="Diego Castillo"/>
    <s v="Open"/>
    <n v="20"/>
    <m/>
    <m/>
    <s v="Pending"/>
    <n v="0"/>
  </r>
  <r>
    <s v="DIS-0044"/>
    <s v="INV-1044"/>
    <s v="VND-002"/>
    <s v="TechSupplies Inc"/>
    <s v="IT"/>
    <s v="North"/>
    <d v="2025-02-04T00:00:00"/>
    <x v="1"/>
    <n v="26177.74"/>
    <n v="14267.52"/>
    <s v="Medium"/>
    <s v="Carlos Mendez"/>
    <s v="Closed"/>
    <n v="117"/>
    <d v="2025-03-14T00:00:00"/>
    <n v="38"/>
    <s v="Full Credit"/>
    <n v="14267.52"/>
  </r>
  <r>
    <s v="DIS-0045"/>
    <s v="INV-1045"/>
    <s v="VND-002"/>
    <s v="TechSupplies Inc"/>
    <s v="IT"/>
    <s v="North"/>
    <d v="2024-09-13T00:00:00"/>
    <x v="5"/>
    <n v="42969.45"/>
    <n v="33768.07"/>
    <s v="Medium"/>
    <s v="Carlos Mendez"/>
    <s v="Closed"/>
    <n v="261"/>
    <d v="2024-10-19T00:00:00"/>
    <n v="36"/>
    <s v="Full Credit"/>
    <n v="33768.07"/>
  </r>
  <r>
    <s v="DIS-0046"/>
    <s v="INV-1046"/>
    <s v="VND-002"/>
    <s v="TechSupplies Inc"/>
    <s v="IT"/>
    <s v="North"/>
    <d v="2025-01-16T00:00:00"/>
    <x v="1"/>
    <n v="8634.43"/>
    <n v="4295.01"/>
    <s v="Medium"/>
    <s v="Valeria Moreno"/>
    <s v="Resolved"/>
    <n v="136"/>
    <d v="2025-03-25T00:00:00"/>
    <n v="68"/>
    <s v="Full Credit"/>
    <n v="4295.01"/>
  </r>
  <r>
    <s v="DIS-0047"/>
    <s v="INV-1047"/>
    <s v="VND-002"/>
    <s v="TechSupplies Inc"/>
    <s v="IT"/>
    <s v="North"/>
    <d v="2024-08-09T00:00:00"/>
    <x v="3"/>
    <n v="23057.48"/>
    <n v="1920.46"/>
    <s v="Medium"/>
    <s v="Luis Herrera"/>
    <s v="Resolved"/>
    <n v="296"/>
    <d v="2024-08-20T00:00:00"/>
    <n v="11"/>
    <s v="Pending"/>
    <n v="0"/>
  </r>
  <r>
    <s v="DIS-0048"/>
    <s v="INV-1048"/>
    <s v="VND-003"/>
    <s v="LogiExpress"/>
    <s v="Logistics"/>
    <s v="East"/>
    <d v="2024-06-26T00:00:00"/>
    <x v="1"/>
    <n v="85561.45"/>
    <n v="50465.49"/>
    <s v="Medium"/>
    <s v="Valeria Moreno"/>
    <s v="Resolved"/>
    <n v="340"/>
    <d v="2024-09-26T00:00:00"/>
    <n v="92"/>
    <s v="Full Credit"/>
    <n v="50465.49"/>
  </r>
  <r>
    <s v="DIS-0049"/>
    <s v="INV-1049"/>
    <s v="VND-003"/>
    <s v="LogiExpress"/>
    <s v="Logistics"/>
    <s v="East"/>
    <d v="2025-03-27T00:00:00"/>
    <x v="0"/>
    <n v="23224.81"/>
    <n v="12743.39"/>
    <s v="Medium"/>
    <s v="Sofia Ruiz"/>
    <s v="Resolved"/>
    <n v="66"/>
    <d v="2025-05-07T00:00:00"/>
    <n v="41"/>
    <s v="Partial Credit"/>
    <n v="8923.3700000000008"/>
  </r>
  <r>
    <s v="DIS-0050"/>
    <s v="INV-1050"/>
    <s v="VND-003"/>
    <s v="LogiExpress"/>
    <s v="Logistics"/>
    <s v="East"/>
    <d v="2024-12-27T00:00:00"/>
    <x v="0"/>
    <n v="32256.799999999999"/>
    <n v="12012.95"/>
    <s v="Medium"/>
    <s v="Diego Castillo"/>
    <s v="Resolved"/>
    <n v="156"/>
    <d v="2025-02-24T00:00:00"/>
    <n v="59"/>
    <s v="Payment Adjusted"/>
    <n v="3657.58"/>
  </r>
  <r>
    <s v="DIS-0051"/>
    <s v="INV-1051"/>
    <s v="VND-003"/>
    <s v="LogiExpress"/>
    <s v="Logistics"/>
    <s v="East"/>
    <d v="2025-03-06T00:00:00"/>
    <x v="3"/>
    <n v="67590.820000000007"/>
    <n v="17765.560000000001"/>
    <s v="High"/>
    <s v="Diego Castillo"/>
    <s v="Open"/>
    <n v="87"/>
    <m/>
    <m/>
    <s v="Pending"/>
    <n v="0"/>
  </r>
  <r>
    <s v="DIS-0052"/>
    <s v="INV-1052"/>
    <s v="VND-003"/>
    <s v="LogiExpress"/>
    <s v="Logistics"/>
    <s v="East"/>
    <d v="2025-01-31T00:00:00"/>
    <x v="5"/>
    <n v="68915.59"/>
    <n v="15056.71"/>
    <s v="Low"/>
    <s v="Ana Torres"/>
    <s v="Resolved"/>
    <n v="121"/>
    <d v="2025-04-04T00:00:00"/>
    <n v="63"/>
    <s v="Partial Credit"/>
    <n v="9953.89"/>
  </r>
  <r>
    <s v="DIS-0053"/>
    <s v="INV-1053"/>
    <s v="VND-003"/>
    <s v="LogiExpress"/>
    <s v="Logistics"/>
    <s v="East"/>
    <d v="2024-10-10T00:00:00"/>
    <x v="0"/>
    <n v="44371.9"/>
    <n v="23176.51"/>
    <s v="Low"/>
    <s v="Valeria Moreno"/>
    <s v="Resolved"/>
    <n v="234"/>
    <d v="2024-11-13T00:00:00"/>
    <n v="34"/>
    <s v="Full Credit"/>
    <n v="23176.51"/>
  </r>
  <r>
    <s v="DIS-0054"/>
    <s v="INV-1054"/>
    <s v="VND-003"/>
    <s v="LogiExpress"/>
    <s v="Logistics"/>
    <s v="East"/>
    <d v="2024-06-13T00:00:00"/>
    <x v="5"/>
    <n v="5526.76"/>
    <n v="3389.14"/>
    <s v="High"/>
    <s v="Valeria Moreno"/>
    <s v="Resolved"/>
    <n v="353"/>
    <d v="2024-09-26T00:00:00"/>
    <n v="105"/>
    <s v="Pending"/>
    <n v="0"/>
  </r>
  <r>
    <s v="DIS-0055"/>
    <s v="INV-1055"/>
    <s v="VND-003"/>
    <s v="LogiExpress"/>
    <s v="Logistics"/>
    <s v="East"/>
    <d v="2024-09-08T00:00:00"/>
    <x v="5"/>
    <n v="49132.24"/>
    <n v="22996.560000000001"/>
    <s v="Critical"/>
    <s v="Juan Vargas"/>
    <s v="Resolved"/>
    <n v="266"/>
    <d v="2024-11-09T00:00:00"/>
    <n v="62"/>
    <s v="Payment Adjusted"/>
    <n v="11386.91"/>
  </r>
  <r>
    <s v="DIS-0056"/>
    <s v="INV-1056"/>
    <s v="VND-003"/>
    <s v="LogiExpress"/>
    <s v="Logistics"/>
    <s v="East"/>
    <d v="2024-07-31T00:00:00"/>
    <x v="0"/>
    <n v="35143.31"/>
    <n v="21663.65"/>
    <s v="Medium"/>
    <s v="Valeria Moreno"/>
    <s v="Closed"/>
    <n v="305"/>
    <d v="2024-10-12T00:00:00"/>
    <n v="73"/>
    <s v="Partial Credit"/>
    <n v="6401.49"/>
  </r>
  <r>
    <s v="DIS-0057"/>
    <s v="INV-1057"/>
    <s v="VND-003"/>
    <s v="LogiExpress"/>
    <s v="Logistics"/>
    <s v="East"/>
    <d v="2024-09-30T00:00:00"/>
    <x v="1"/>
    <n v="47756.63"/>
    <n v="29314.58"/>
    <s v="High"/>
    <s v="Juan Vargas"/>
    <s v="Resolved"/>
    <n v="244"/>
    <d v="2024-11-07T00:00:00"/>
    <n v="38"/>
    <s v="Partial Credit"/>
    <n v="18413.28"/>
  </r>
  <r>
    <s v="DIS-0058"/>
    <s v="INV-1058"/>
    <s v="VND-003"/>
    <s v="LogiExpress"/>
    <s v="Logistics"/>
    <s v="East"/>
    <d v="2025-01-31T00:00:00"/>
    <x v="4"/>
    <n v="30812.94"/>
    <n v="8929.0400000000009"/>
    <s v="Medium"/>
    <s v="Sofia Ruiz"/>
    <s v="Resolved"/>
    <n v="121"/>
    <d v="2025-05-02T00:00:00"/>
    <n v="91"/>
    <s v="Full Credit"/>
    <n v="8929.0400000000009"/>
  </r>
  <r>
    <s v="DIS-0059"/>
    <s v="INV-1059"/>
    <s v="VND-003"/>
    <s v="LogiExpress"/>
    <s v="Logistics"/>
    <s v="East"/>
    <d v="2025-02-11T00:00:00"/>
    <x v="2"/>
    <n v="11101.74"/>
    <n v="3948.88"/>
    <s v="Medium"/>
    <s v="Ana Torres"/>
    <s v="Resolved"/>
    <n v="110"/>
    <d v="2025-04-08T00:00:00"/>
    <n v="56"/>
    <s v="Full Credit"/>
    <n v="3948.88"/>
  </r>
  <r>
    <s v="DIS-0060"/>
    <s v="INV-1060"/>
    <s v="VND-003"/>
    <s v="LogiExpress"/>
    <s v="Logistics"/>
    <s v="East"/>
    <d v="2024-08-05T00:00:00"/>
    <x v="3"/>
    <n v="94875.89"/>
    <n v="6133.63"/>
    <s v="High"/>
    <s v="Valeria Moreno"/>
    <s v="Resolved"/>
    <n v="300"/>
    <d v="2024-09-22T00:00:00"/>
    <n v="48"/>
    <s v="Full Credit"/>
    <n v="6133.63"/>
  </r>
  <r>
    <s v="DIS-0061"/>
    <s v="INV-1061"/>
    <s v="VND-003"/>
    <s v="LogiExpress"/>
    <s v="Logistics"/>
    <s v="East"/>
    <d v="2024-11-13T00:00:00"/>
    <x v="0"/>
    <n v="86077.56"/>
    <n v="65855.600000000006"/>
    <s v="Medium"/>
    <s v="Luis Herrera"/>
    <s v="Resolved"/>
    <n v="200"/>
    <d v="2024-12-20T00:00:00"/>
    <n v="37"/>
    <s v="Partial Credit"/>
    <n v="14317.99"/>
  </r>
  <r>
    <s v="DIS-0062"/>
    <s v="INV-1062"/>
    <s v="VND-003"/>
    <s v="LogiExpress"/>
    <s v="Logistics"/>
    <s v="East"/>
    <d v="2024-12-10T00:00:00"/>
    <x v="2"/>
    <n v="68542.990000000005"/>
    <n v="44457.45"/>
    <s v="High"/>
    <s v="Sofia Ruiz"/>
    <s v="Closed"/>
    <n v="173"/>
    <d v="2025-02-19T00:00:00"/>
    <n v="71"/>
    <s v="Full Credit"/>
    <n v="44457.45"/>
  </r>
  <r>
    <s v="DIS-0063"/>
    <s v="INV-1063"/>
    <s v="VND-003"/>
    <s v="LogiExpress"/>
    <s v="Logistics"/>
    <s v="East"/>
    <d v="2024-11-11T00:00:00"/>
    <x v="2"/>
    <n v="61229.81"/>
    <n v="33508"/>
    <s v="Low"/>
    <s v="Sofia Ruiz"/>
    <s v="Closed"/>
    <n v="202"/>
    <d v="2024-12-07T00:00:00"/>
    <n v="26"/>
    <s v="Full Credit"/>
    <n v="33508"/>
  </r>
  <r>
    <s v="DIS-0064"/>
    <s v="INV-1064"/>
    <s v="VND-003"/>
    <s v="LogiExpress"/>
    <s v="Logistics"/>
    <s v="East"/>
    <d v="2024-11-18T00:00:00"/>
    <x v="2"/>
    <n v="36098.5"/>
    <n v="14115.4"/>
    <s v="Medium"/>
    <s v="Marta Lopez"/>
    <s v="Escalated"/>
    <n v="195"/>
    <d v="2025-03-07T00:00:00"/>
    <n v="109"/>
    <s v="Partial Credit"/>
    <n v="9894.14"/>
  </r>
  <r>
    <s v="DIS-0065"/>
    <s v="INV-1065"/>
    <s v="VND-003"/>
    <s v="LogiExpress"/>
    <s v="Logistics"/>
    <s v="East"/>
    <d v="2024-10-03T00:00:00"/>
    <x v="1"/>
    <n v="6841.41"/>
    <n v="3109.86"/>
    <s v="Critical"/>
    <s v="Luis Herrera"/>
    <s v="Escalated"/>
    <n v="241"/>
    <d v="2025-01-13T00:00:00"/>
    <n v="102"/>
    <s v="Pending"/>
    <n v="0"/>
  </r>
  <r>
    <s v="DIS-0066"/>
    <s v="INV-1066"/>
    <s v="VND-003"/>
    <s v="LogiExpress"/>
    <s v="Logistics"/>
    <s v="East"/>
    <d v="2025-05-11T00:00:00"/>
    <x v="5"/>
    <n v="76652.149999999994"/>
    <n v="58424.94"/>
    <s v="Low"/>
    <s v="Sofia Ruiz"/>
    <s v="Open"/>
    <n v="21"/>
    <m/>
    <m/>
    <s v="Pending"/>
    <n v="0"/>
  </r>
  <r>
    <s v="DIS-0067"/>
    <s v="INV-1067"/>
    <s v="VND-003"/>
    <s v="LogiExpress"/>
    <s v="Logistics"/>
    <s v="East"/>
    <d v="2024-10-01T00:00:00"/>
    <x v="0"/>
    <n v="68598.59"/>
    <n v="32445.57"/>
    <s v="Low"/>
    <s v="Marta Lopez"/>
    <s v="Escalated"/>
    <n v="243"/>
    <d v="2024-10-25T00:00:00"/>
    <n v="24"/>
    <s v="Partial Credit"/>
    <n v="25250.47"/>
  </r>
  <r>
    <s v="DIS-0068"/>
    <s v="INV-1068"/>
    <s v="VND-003"/>
    <s v="LogiExpress"/>
    <s v="Logistics"/>
    <s v="East"/>
    <d v="2025-04-03T00:00:00"/>
    <x v="3"/>
    <n v="78890.23"/>
    <n v="13634.15"/>
    <s v="Medium"/>
    <s v="Ana Torres"/>
    <s v="Closed"/>
    <n v="59"/>
    <d v="2025-05-12T00:00:00"/>
    <n v="39"/>
    <s v="Payment Adjusted"/>
    <n v="6588.96"/>
  </r>
  <r>
    <s v="DIS-0069"/>
    <s v="INV-1069"/>
    <s v="VND-003"/>
    <s v="LogiExpress"/>
    <s v="Logistics"/>
    <s v="East"/>
    <d v="2024-11-09T00:00:00"/>
    <x v="0"/>
    <n v="94439.71"/>
    <n v="18769.64"/>
    <s v="Medium"/>
    <s v="Luis Herrera"/>
    <s v="Resolved"/>
    <n v="204"/>
    <d v="2025-02-18T00:00:00"/>
    <n v="101"/>
    <s v="Full Credit"/>
    <n v="18769.64"/>
  </r>
  <r>
    <s v="DIS-0070"/>
    <s v="INV-1070"/>
    <s v="VND-003"/>
    <s v="LogiExpress"/>
    <s v="Logistics"/>
    <s v="East"/>
    <d v="2024-06-15T00:00:00"/>
    <x v="5"/>
    <n v="62039.1"/>
    <n v="8734.57"/>
    <s v="Critical"/>
    <s v="Diego Castillo"/>
    <s v="Resolved"/>
    <n v="351"/>
    <d v="2024-09-10T00:00:00"/>
    <n v="87"/>
    <s v="Full Credit"/>
    <n v="8734.57"/>
  </r>
  <r>
    <s v="DIS-0071"/>
    <s v="INV-1071"/>
    <s v="VND-003"/>
    <s v="LogiExpress"/>
    <s v="Logistics"/>
    <s v="East"/>
    <d v="2024-09-14T00:00:00"/>
    <x v="2"/>
    <n v="66516.61"/>
    <n v="3957.01"/>
    <s v="Medium"/>
    <s v="Carlos Mendez"/>
    <s v="Resolved"/>
    <n v="260"/>
    <d v="2024-11-02T00:00:00"/>
    <n v="49"/>
    <s v="Partial Credit"/>
    <n v="2758.92"/>
  </r>
  <r>
    <s v="DIS-0072"/>
    <s v="INV-1072"/>
    <s v="VND-003"/>
    <s v="LogiExpress"/>
    <s v="Logistics"/>
    <s v="East"/>
    <d v="2024-06-03T00:00:00"/>
    <x v="0"/>
    <n v="19534.16"/>
    <n v="3557.22"/>
    <s v="Medium"/>
    <s v="Marta Lopez"/>
    <s v="Resolved"/>
    <n v="363"/>
    <d v="2024-10-01T00:00:00"/>
    <n v="120"/>
    <s v="Partial Credit"/>
    <n v="1743.39"/>
  </r>
  <r>
    <s v="DIS-0073"/>
    <s v="INV-1073"/>
    <s v="VND-003"/>
    <s v="LogiExpress"/>
    <s v="Logistics"/>
    <s v="East"/>
    <d v="2024-10-20T00:00:00"/>
    <x v="4"/>
    <n v="83444.789999999994"/>
    <n v="41251.43"/>
    <s v="Medium"/>
    <s v="Carlos Mendez"/>
    <s v="Resolved"/>
    <n v="224"/>
    <d v="2024-12-19T00:00:00"/>
    <n v="60"/>
    <s v="Full Credit"/>
    <n v="41251.43"/>
  </r>
  <r>
    <s v="DIS-0074"/>
    <s v="INV-1074"/>
    <s v="VND-003"/>
    <s v="LogiExpress"/>
    <s v="Logistics"/>
    <s v="East"/>
    <d v="2024-10-06T00:00:00"/>
    <x v="2"/>
    <n v="59135.72"/>
    <n v="32592.14"/>
    <s v="Medium"/>
    <s v="Diego Castillo"/>
    <s v="Resolved"/>
    <n v="238"/>
    <d v="2024-11-05T00:00:00"/>
    <n v="30"/>
    <s v="Full Credit"/>
    <n v="32592.14"/>
  </r>
  <r>
    <s v="DIS-0075"/>
    <s v="INV-1075"/>
    <s v="VND-003"/>
    <s v="LogiExpress"/>
    <s v="Logistics"/>
    <s v="East"/>
    <d v="2025-01-19T00:00:00"/>
    <x v="1"/>
    <n v="37332.19"/>
    <n v="26514.81"/>
    <s v="High"/>
    <s v="Ana Torres"/>
    <s v="Resolved"/>
    <n v="133"/>
    <d v="2025-02-15T00:00:00"/>
    <n v="27"/>
    <s v="Full Credit"/>
    <n v="26514.81"/>
  </r>
  <r>
    <s v="DIS-0076"/>
    <s v="INV-1076"/>
    <s v="VND-003"/>
    <s v="LogiExpress"/>
    <s v="Logistics"/>
    <s v="East"/>
    <d v="2024-11-04T00:00:00"/>
    <x v="0"/>
    <n v="51414.9"/>
    <n v="31806.46"/>
    <s v="High"/>
    <s v="Juan Vargas"/>
    <s v="Resolved"/>
    <n v="209"/>
    <d v="2024-11-09T00:00:00"/>
    <n v="5"/>
    <s v="Full Credit"/>
    <n v="31806.46"/>
  </r>
  <r>
    <s v="DIS-0077"/>
    <s v="INV-1077"/>
    <s v="VND-003"/>
    <s v="LogiExpress"/>
    <s v="Logistics"/>
    <s v="East"/>
    <d v="2025-02-07T00:00:00"/>
    <x v="1"/>
    <n v="43418.11"/>
    <n v="10093.790000000001"/>
    <s v="High"/>
    <s v="Juan Vargas"/>
    <s v="Resolved"/>
    <n v="114"/>
    <d v="2025-03-26T00:00:00"/>
    <n v="47"/>
    <s v="Partial Credit"/>
    <n v="6536.35"/>
  </r>
  <r>
    <s v="DIS-0078"/>
    <s v="INV-1078"/>
    <s v="VND-004"/>
    <s v="Grupo Servicios Pro"/>
    <s v="Services"/>
    <s v="East"/>
    <d v="2024-06-06T00:00:00"/>
    <x v="0"/>
    <n v="48105.8"/>
    <n v="13468.05"/>
    <s v="Low"/>
    <s v="Luis Herrera"/>
    <s v="Resolved"/>
    <n v="360"/>
    <d v="2024-09-12T00:00:00"/>
    <n v="98"/>
    <s v="Partial Credit"/>
    <n v="8852.73"/>
  </r>
  <r>
    <s v="DIS-0079"/>
    <s v="INV-1079"/>
    <s v="VND-004"/>
    <s v="Grupo Servicios Pro"/>
    <s v="Services"/>
    <s v="East"/>
    <d v="2025-02-26T00:00:00"/>
    <x v="3"/>
    <n v="23196.39"/>
    <n v="14009.54"/>
    <s v="Medium"/>
    <s v="Marta Lopez"/>
    <s v="Closed"/>
    <n v="95"/>
    <d v="2025-03-25T00:00:00"/>
    <n v="27"/>
    <s v="Full Credit"/>
    <n v="14009.54"/>
  </r>
  <r>
    <s v="DIS-0080"/>
    <s v="INV-1080"/>
    <s v="VND-004"/>
    <s v="Grupo Servicios Pro"/>
    <s v="Services"/>
    <s v="East"/>
    <d v="2024-11-28T00:00:00"/>
    <x v="1"/>
    <n v="22046.95"/>
    <n v="1336.29"/>
    <s v="Medium"/>
    <s v="Ana Torres"/>
    <s v="Closed"/>
    <n v="185"/>
    <d v="2025-02-09T00:00:00"/>
    <n v="73"/>
    <s v="Full Credit"/>
    <n v="1336.29"/>
  </r>
  <r>
    <s v="DIS-0081"/>
    <s v="INV-1081"/>
    <s v="VND-004"/>
    <s v="Grupo Servicios Pro"/>
    <s v="Services"/>
    <s v="East"/>
    <d v="2025-03-28T00:00:00"/>
    <x v="5"/>
    <n v="65597.62"/>
    <n v="40315.910000000003"/>
    <s v="Low"/>
    <s v="Marta Lopez"/>
    <s v="Resolved"/>
    <n v="65"/>
    <d v="2025-04-28T00:00:00"/>
    <n v="31"/>
    <s v="Full Credit"/>
    <n v="40315.910000000003"/>
  </r>
  <r>
    <s v="DIS-0082"/>
    <s v="INV-1082"/>
    <s v="VND-004"/>
    <s v="Grupo Servicios Pro"/>
    <s v="Services"/>
    <s v="East"/>
    <d v="2025-05-05T00:00:00"/>
    <x v="5"/>
    <n v="28985.45"/>
    <n v="20182.34"/>
    <s v="Low"/>
    <s v="Valeria Moreno"/>
    <s v="In Progress"/>
    <n v="27"/>
    <m/>
    <m/>
    <s v="Pending"/>
    <n v="0"/>
  </r>
  <r>
    <s v="DIS-0083"/>
    <s v="INV-1083"/>
    <s v="VND-004"/>
    <s v="Grupo Servicios Pro"/>
    <s v="Services"/>
    <s v="East"/>
    <d v="2024-08-09T00:00:00"/>
    <x v="3"/>
    <n v="64797.34"/>
    <n v="5845.16"/>
    <s v="Low"/>
    <s v="Marta Lopez"/>
    <s v="In Progress"/>
    <n v="296"/>
    <m/>
    <m/>
    <s v="Pending"/>
    <n v="0"/>
  </r>
  <r>
    <s v="DIS-0084"/>
    <s v="INV-1084"/>
    <s v="VND-004"/>
    <s v="Grupo Servicios Pro"/>
    <s v="Services"/>
    <s v="East"/>
    <d v="2025-01-24T00:00:00"/>
    <x v="3"/>
    <n v="16252.9"/>
    <n v="10130.959999999999"/>
    <s v="Medium"/>
    <s v="Luis Herrera"/>
    <s v="Escalated"/>
    <n v="128"/>
    <d v="2025-03-16T00:00:00"/>
    <n v="51"/>
    <s v="Partial Credit"/>
    <n v="4717.3100000000004"/>
  </r>
  <r>
    <s v="DIS-0085"/>
    <s v="INV-1085"/>
    <s v="VND-004"/>
    <s v="Grupo Servicios Pro"/>
    <s v="Services"/>
    <s v="East"/>
    <d v="2024-08-03T00:00:00"/>
    <x v="3"/>
    <n v="99052.97"/>
    <n v="27639.26"/>
    <s v="Medium"/>
    <s v="Carlos Mendez"/>
    <s v="Closed"/>
    <n v="302"/>
    <d v="2024-09-01T00:00:00"/>
    <n v="29"/>
    <s v="Partial Credit"/>
    <n v="9916.6299999999992"/>
  </r>
  <r>
    <s v="DIS-0086"/>
    <s v="INV-1086"/>
    <s v="VND-004"/>
    <s v="Grupo Servicios Pro"/>
    <s v="Services"/>
    <s v="East"/>
    <d v="2025-04-20T00:00:00"/>
    <x v="5"/>
    <n v="19920.419999999998"/>
    <n v="3592.85"/>
    <s v="Low"/>
    <s v="Valeria Moreno"/>
    <s v="Resolved"/>
    <n v="42"/>
    <d v="2025-05-31T00:00:00"/>
    <n v="41"/>
    <s v="Partial Credit"/>
    <n v="788.93"/>
  </r>
  <r>
    <s v="DIS-0087"/>
    <s v="INV-1087"/>
    <s v="VND-004"/>
    <s v="Grupo Servicios Pro"/>
    <s v="Services"/>
    <s v="East"/>
    <d v="2025-01-04T00:00:00"/>
    <x v="0"/>
    <n v="72160.800000000003"/>
    <n v="41654.15"/>
    <s v="Medium"/>
    <s v="Luis Herrera"/>
    <s v="Closed"/>
    <n v="148"/>
    <d v="2025-04-17T00:00:00"/>
    <n v="103"/>
    <s v="Payment Adjusted"/>
    <n v="13992.29"/>
  </r>
  <r>
    <s v="DIS-0088"/>
    <s v="INV-1088"/>
    <s v="VND-004"/>
    <s v="Grupo Servicios Pro"/>
    <s v="Services"/>
    <s v="East"/>
    <d v="2025-02-19T00:00:00"/>
    <x v="1"/>
    <n v="45388.2"/>
    <n v="20806.939999999999"/>
    <s v="Medium"/>
    <s v="Sofia Ruiz"/>
    <s v="In Progress"/>
    <n v="102"/>
    <m/>
    <m/>
    <s v="Pending"/>
    <n v="0"/>
  </r>
  <r>
    <s v="DIS-0089"/>
    <s v="INV-1089"/>
    <s v="VND-004"/>
    <s v="Grupo Servicios Pro"/>
    <s v="Services"/>
    <s v="East"/>
    <d v="2025-03-08T00:00:00"/>
    <x v="1"/>
    <n v="80299.710000000006"/>
    <n v="39851.379999999997"/>
    <s v="High"/>
    <s v="Juan Vargas"/>
    <s v="Open"/>
    <n v="85"/>
    <m/>
    <m/>
    <s v="Pending"/>
    <n v="0"/>
  </r>
  <r>
    <s v="DIS-0090"/>
    <s v="INV-1090"/>
    <s v="VND-004"/>
    <s v="Grupo Servicios Pro"/>
    <s v="Services"/>
    <s v="East"/>
    <d v="2024-06-13T00:00:00"/>
    <x v="3"/>
    <n v="33888.660000000003"/>
    <n v="11924.79"/>
    <s v="Medium"/>
    <s v="Juan Vargas"/>
    <s v="Resolved"/>
    <n v="353"/>
    <d v="2024-08-31T00:00:00"/>
    <n v="79"/>
    <s v="Full Credit"/>
    <n v="11924.79"/>
  </r>
  <r>
    <s v="DIS-0091"/>
    <s v="INV-1091"/>
    <s v="VND-004"/>
    <s v="Grupo Servicios Pro"/>
    <s v="Services"/>
    <s v="East"/>
    <d v="2024-10-22T00:00:00"/>
    <x v="4"/>
    <n v="74780.72"/>
    <n v="37598.639999999999"/>
    <s v="Low"/>
    <s v="Ana Torres"/>
    <s v="Closed"/>
    <n v="222"/>
    <d v="2025-01-19T00:00:00"/>
    <n v="89"/>
    <s v="No Action"/>
    <n v="0"/>
  </r>
  <r>
    <s v="DIS-0092"/>
    <s v="INV-1092"/>
    <s v="VND-004"/>
    <s v="Grupo Servicios Pro"/>
    <s v="Services"/>
    <s v="East"/>
    <d v="2024-08-09T00:00:00"/>
    <x v="0"/>
    <n v="8822.01"/>
    <n v="5444.96"/>
    <s v="Medium"/>
    <s v="Juan Vargas"/>
    <s v="Closed"/>
    <n v="296"/>
    <d v="2024-09-04T00:00:00"/>
    <n v="26"/>
    <s v="Pending"/>
    <n v="0"/>
  </r>
  <r>
    <s v="DIS-0093"/>
    <s v="INV-1093"/>
    <s v="VND-004"/>
    <s v="Grupo Servicios Pro"/>
    <s v="Services"/>
    <s v="East"/>
    <d v="2024-10-20T00:00:00"/>
    <x v="1"/>
    <n v="65304.55"/>
    <n v="27349.18"/>
    <s v="Low"/>
    <s v="Valeria Moreno"/>
    <s v="Resolved"/>
    <n v="224"/>
    <d v="2025-01-16T00:00:00"/>
    <n v="88"/>
    <s v="Full Credit"/>
    <n v="27349.18"/>
  </r>
  <r>
    <s v="DIS-0094"/>
    <s v="INV-1094"/>
    <s v="VND-004"/>
    <s v="Grupo Servicios Pro"/>
    <s v="Services"/>
    <s v="East"/>
    <d v="2025-03-10T00:00:00"/>
    <x v="2"/>
    <n v="36331.35"/>
    <n v="20718.14"/>
    <s v="Medium"/>
    <s v="Ana Torres"/>
    <s v="Resolved"/>
    <n v="83"/>
    <d v="2025-04-22T00:00:00"/>
    <n v="43"/>
    <s v="Full Credit"/>
    <n v="20718.14"/>
  </r>
  <r>
    <s v="DIS-0095"/>
    <s v="INV-1095"/>
    <s v="VND-004"/>
    <s v="Grupo Servicios Pro"/>
    <s v="Services"/>
    <s v="East"/>
    <d v="2025-04-02T00:00:00"/>
    <x v="5"/>
    <n v="97167.55"/>
    <n v="34312.9"/>
    <s v="Medium"/>
    <s v="Juan Vargas"/>
    <s v="Resolved"/>
    <n v="60"/>
    <d v="2025-04-17T00:00:00"/>
    <n v="15"/>
    <s v="Partial Credit"/>
    <n v="19681.2"/>
  </r>
  <r>
    <s v="DIS-0096"/>
    <s v="INV-1096"/>
    <s v="VND-004"/>
    <s v="Grupo Servicios Pro"/>
    <s v="Services"/>
    <s v="East"/>
    <d v="2024-09-18T00:00:00"/>
    <x v="3"/>
    <n v="64413.83"/>
    <n v="39936.120000000003"/>
    <s v="Low"/>
    <s v="Sofia Ruiz"/>
    <s v="Closed"/>
    <n v="256"/>
    <d v="2024-11-16T00:00:00"/>
    <n v="59"/>
    <s v="No Action"/>
    <n v="0"/>
  </r>
  <r>
    <s v="DIS-0097"/>
    <s v="INV-1097"/>
    <s v="VND-004"/>
    <s v="Grupo Servicios Pro"/>
    <s v="Services"/>
    <s v="East"/>
    <d v="2024-09-25T00:00:00"/>
    <x v="4"/>
    <n v="16535.48"/>
    <n v="12895.36"/>
    <s v="Medium"/>
    <s v="Sofia Ruiz"/>
    <s v="Resolved"/>
    <n v="249"/>
    <d v="2024-09-29T00:00:00"/>
    <n v="4"/>
    <s v="Partial Credit"/>
    <n v="3300.25"/>
  </r>
  <r>
    <s v="DIS-0098"/>
    <s v="INV-1098"/>
    <s v="VND-004"/>
    <s v="Grupo Servicios Pro"/>
    <s v="Services"/>
    <s v="East"/>
    <d v="2025-04-03T00:00:00"/>
    <x v="2"/>
    <n v="48837.55"/>
    <n v="6744.45"/>
    <s v="High"/>
    <s v="Marta Lopez"/>
    <s v="Resolved"/>
    <n v="59"/>
    <d v="2025-04-23T00:00:00"/>
    <n v="20"/>
    <s v="Partial Credit"/>
    <n v="3301.41"/>
  </r>
  <r>
    <s v="DIS-0099"/>
    <s v="INV-1099"/>
    <s v="VND-004"/>
    <s v="Grupo Servicios Pro"/>
    <s v="Services"/>
    <s v="East"/>
    <d v="2024-10-02T00:00:00"/>
    <x v="3"/>
    <n v="28154.44"/>
    <n v="13048.14"/>
    <s v="Medium"/>
    <s v="Sofia Ruiz"/>
    <s v="Closed"/>
    <n v="242"/>
    <d v="2024-11-09T00:00:00"/>
    <n v="38"/>
    <s v="Payment Adjusted"/>
    <n v="5764.21"/>
  </r>
  <r>
    <s v="DIS-0100"/>
    <s v="INV-1100"/>
    <s v="VND-004"/>
    <s v="Grupo Servicios Pro"/>
    <s v="Services"/>
    <s v="East"/>
    <d v="2024-12-08T00:00:00"/>
    <x v="1"/>
    <n v="93753.600000000006"/>
    <n v="40389.360000000001"/>
    <s v="High"/>
    <s v="Marta Lopez"/>
    <s v="Closed"/>
    <n v="175"/>
    <d v="2025-02-23T00:00:00"/>
    <n v="77"/>
    <s v="Pending"/>
    <n v="0"/>
  </r>
  <r>
    <s v="DIS-0101"/>
    <s v="INV-1101"/>
    <s v="VND-004"/>
    <s v="Grupo Servicios Pro"/>
    <s v="Services"/>
    <s v="East"/>
    <d v="2024-09-23T00:00:00"/>
    <x v="1"/>
    <n v="87199.76"/>
    <n v="33564.11"/>
    <s v="Medium"/>
    <s v="Valeria Moreno"/>
    <s v="Resolved"/>
    <n v="251"/>
    <d v="2024-11-06T00:00:00"/>
    <n v="44"/>
    <s v="No Action"/>
    <n v="0"/>
  </r>
  <r>
    <s v="DIS-0102"/>
    <s v="INV-1102"/>
    <s v="VND-004"/>
    <s v="Grupo Servicios Pro"/>
    <s v="Services"/>
    <s v="East"/>
    <d v="2024-06-08T00:00:00"/>
    <x v="2"/>
    <n v="27686.53"/>
    <n v="9336.68"/>
    <s v="High"/>
    <s v="Ana Torres"/>
    <s v="Resolved"/>
    <n v="358"/>
    <d v="2024-08-10T00:00:00"/>
    <n v="63"/>
    <s v="Payment Adjusted"/>
    <n v="3964.01"/>
  </r>
  <r>
    <s v="DIS-0103"/>
    <s v="INV-1103"/>
    <s v="VND-004"/>
    <s v="Grupo Servicios Pro"/>
    <s v="Services"/>
    <s v="East"/>
    <d v="2024-11-15T00:00:00"/>
    <x v="4"/>
    <n v="98899.33"/>
    <n v="63720.37"/>
    <s v="High"/>
    <s v="Juan Vargas"/>
    <s v="Closed"/>
    <n v="198"/>
    <d v="2024-12-04T00:00:00"/>
    <n v="19"/>
    <s v="Partial Credit"/>
    <n v="35307.980000000003"/>
  </r>
  <r>
    <s v="DIS-0104"/>
    <s v="INV-1104"/>
    <s v="VND-004"/>
    <s v="Grupo Servicios Pro"/>
    <s v="Services"/>
    <s v="East"/>
    <d v="2025-04-10T00:00:00"/>
    <x v="2"/>
    <n v="88048.09"/>
    <n v="33478.5"/>
    <s v="Medium"/>
    <s v="Ana Torres"/>
    <s v="Escalated"/>
    <n v="52"/>
    <d v="2025-05-09T00:00:00"/>
    <n v="29"/>
    <s v="No Action"/>
    <n v="0"/>
  </r>
  <r>
    <s v="DIS-0105"/>
    <s v="INV-1105"/>
    <s v="VND-004"/>
    <s v="Grupo Servicios Pro"/>
    <s v="Services"/>
    <s v="East"/>
    <d v="2025-03-13T00:00:00"/>
    <x v="3"/>
    <n v="12108.68"/>
    <n v="7702.86"/>
    <s v="Medium"/>
    <s v="Valeria Moreno"/>
    <s v="Resolved"/>
    <n v="80"/>
    <d v="2025-04-27T00:00:00"/>
    <n v="45"/>
    <s v="No Action"/>
    <n v="0"/>
  </r>
  <r>
    <s v="DIS-0106"/>
    <s v="INV-1106"/>
    <s v="VND-004"/>
    <s v="Grupo Servicios Pro"/>
    <s v="Services"/>
    <s v="East"/>
    <d v="2024-08-31T00:00:00"/>
    <x v="2"/>
    <n v="41100.89"/>
    <n v="11816.34"/>
    <s v="High"/>
    <s v="Ana Torres"/>
    <s v="Resolved"/>
    <n v="274"/>
    <d v="2024-10-03T00:00:00"/>
    <n v="33"/>
    <s v="Partial Credit"/>
    <n v="8892.4699999999993"/>
  </r>
  <r>
    <s v="DIS-0107"/>
    <s v="INV-1107"/>
    <s v="VND-004"/>
    <s v="Grupo Servicios Pro"/>
    <s v="Services"/>
    <s v="East"/>
    <d v="2025-02-04T00:00:00"/>
    <x v="0"/>
    <n v="75942.8"/>
    <n v="28514.9"/>
    <s v="Low"/>
    <s v="Carlos Mendez"/>
    <s v="Resolved"/>
    <n v="117"/>
    <d v="2025-05-06T00:00:00"/>
    <n v="91"/>
    <s v="Full Credit"/>
    <n v="28514.9"/>
  </r>
  <r>
    <s v="DIS-0108"/>
    <s v="INV-1108"/>
    <s v="VND-004"/>
    <s v="Grupo Servicios Pro"/>
    <s v="Services"/>
    <s v="East"/>
    <d v="2025-05-17T00:00:00"/>
    <x v="1"/>
    <n v="9369.14"/>
    <n v="6062.84"/>
    <s v="Medium"/>
    <s v="Valeria Moreno"/>
    <s v="Open"/>
    <n v="15"/>
    <m/>
    <m/>
    <s v="Pending"/>
    <n v="0"/>
  </r>
  <r>
    <s v="DIS-0109"/>
    <s v="INV-1109"/>
    <s v="VND-005"/>
    <s v="EnergyPlus Corp"/>
    <s v="Utilities"/>
    <s v="Central"/>
    <d v="2024-08-15T00:00:00"/>
    <x v="3"/>
    <n v="69771.039999999994"/>
    <n v="12910.62"/>
    <s v="Low"/>
    <s v="Valeria Moreno"/>
    <s v="Resolved"/>
    <n v="290"/>
    <d v="2024-09-17T00:00:00"/>
    <n v="33"/>
    <s v="Partial Credit"/>
    <n v="7099.48"/>
  </r>
  <r>
    <s v="DIS-0110"/>
    <s v="INV-1110"/>
    <s v="VND-005"/>
    <s v="EnergyPlus Corp"/>
    <s v="Utilities"/>
    <s v="Central"/>
    <d v="2025-02-02T00:00:00"/>
    <x v="5"/>
    <n v="48809.24"/>
    <n v="11737.79"/>
    <s v="Medium"/>
    <s v="Juan Vargas"/>
    <s v="Closed"/>
    <n v="119"/>
    <d v="2025-05-02T00:00:00"/>
    <n v="89"/>
    <s v="Partial Credit"/>
    <n v="2867.74"/>
  </r>
  <r>
    <s v="DIS-0111"/>
    <s v="INV-1111"/>
    <s v="VND-005"/>
    <s v="EnergyPlus Corp"/>
    <s v="Utilities"/>
    <s v="Central"/>
    <d v="2024-12-06T00:00:00"/>
    <x v="0"/>
    <n v="98826.91"/>
    <n v="27114.71"/>
    <s v="Critical"/>
    <s v="Marta Lopez"/>
    <s v="Resolved"/>
    <n v="177"/>
    <d v="2025-01-16T00:00:00"/>
    <n v="41"/>
    <s v="Full Credit"/>
    <n v="27114.71"/>
  </r>
  <r>
    <s v="DIS-0112"/>
    <s v="INV-1112"/>
    <s v="VND-005"/>
    <s v="EnergyPlus Corp"/>
    <s v="Utilities"/>
    <s v="Central"/>
    <d v="2024-11-16T00:00:00"/>
    <x v="1"/>
    <n v="86066.87"/>
    <n v="11187.83"/>
    <s v="Medium"/>
    <s v="Marta Lopez"/>
    <s v="Closed"/>
    <n v="197"/>
    <d v="2024-12-26T00:00:00"/>
    <n v="40"/>
    <s v="Full Credit"/>
    <n v="11187.83"/>
  </r>
  <r>
    <s v="DIS-0113"/>
    <s v="INV-1113"/>
    <s v="VND-005"/>
    <s v="EnergyPlus Corp"/>
    <s v="Utilities"/>
    <s v="Central"/>
    <d v="2024-06-28T00:00:00"/>
    <x v="0"/>
    <n v="42601.55"/>
    <n v="2388.8200000000002"/>
    <s v="High"/>
    <s v="Ana Torres"/>
    <s v="Closed"/>
    <n v="338"/>
    <d v="2024-10-04T00:00:00"/>
    <n v="98"/>
    <s v="Partial Credit"/>
    <n v="1773.68"/>
  </r>
  <r>
    <s v="DIS-0114"/>
    <s v="INV-1114"/>
    <s v="VND-005"/>
    <s v="EnergyPlus Corp"/>
    <s v="Utilities"/>
    <s v="Central"/>
    <d v="2025-01-05T00:00:00"/>
    <x v="4"/>
    <n v="78695.39"/>
    <n v="17516.71"/>
    <s v="High"/>
    <s v="Luis Herrera"/>
    <s v="Resolved"/>
    <n v="147"/>
    <d v="2025-04-04T00:00:00"/>
    <n v="89"/>
    <s v="Payment Adjusted"/>
    <n v="7129.1"/>
  </r>
  <r>
    <s v="DIS-0115"/>
    <s v="INV-1115"/>
    <s v="VND-005"/>
    <s v="EnergyPlus Corp"/>
    <s v="Utilities"/>
    <s v="Central"/>
    <d v="2024-06-17T00:00:00"/>
    <x v="0"/>
    <n v="84642.03"/>
    <n v="44114.25"/>
    <s v="Critical"/>
    <s v="Ana Torres"/>
    <s v="Resolved"/>
    <n v="349"/>
    <d v="2024-08-15T00:00:00"/>
    <n v="59"/>
    <s v="Full Credit"/>
    <n v="44114.25"/>
  </r>
  <r>
    <s v="DIS-0116"/>
    <s v="INV-1116"/>
    <s v="VND-005"/>
    <s v="EnergyPlus Corp"/>
    <s v="Utilities"/>
    <s v="Central"/>
    <d v="2024-11-26T00:00:00"/>
    <x v="0"/>
    <n v="74574.179999999993"/>
    <n v="8769.93"/>
    <s v="Medium"/>
    <s v="Valeria Moreno"/>
    <s v="Resolved"/>
    <n v="187"/>
    <d v="2024-12-15T00:00:00"/>
    <n v="19"/>
    <s v="Payment Adjusted"/>
    <n v="3951.59"/>
  </r>
  <r>
    <s v="DIS-0117"/>
    <s v="INV-1117"/>
    <s v="VND-005"/>
    <s v="EnergyPlus Corp"/>
    <s v="Utilities"/>
    <s v="Central"/>
    <d v="2024-11-25T00:00:00"/>
    <x v="1"/>
    <n v="55430.98"/>
    <n v="40748.160000000003"/>
    <s v="High"/>
    <s v="Juan Vargas"/>
    <s v="Closed"/>
    <n v="188"/>
    <d v="2025-01-04T00:00:00"/>
    <n v="40"/>
    <s v="Payment Adjusted"/>
    <n v="9595.6299999999992"/>
  </r>
  <r>
    <s v="DIS-0118"/>
    <s v="INV-1118"/>
    <s v="VND-005"/>
    <s v="EnergyPlus Corp"/>
    <s v="Utilities"/>
    <s v="Central"/>
    <d v="2025-04-03T00:00:00"/>
    <x v="4"/>
    <n v="49491.48"/>
    <n v="5269.58"/>
    <s v="High"/>
    <s v="Valeria Moreno"/>
    <s v="Closed"/>
    <n v="59"/>
    <d v="2025-05-27T00:00:00"/>
    <n v="54"/>
    <s v="Partial Credit"/>
    <n v="1339.43"/>
  </r>
  <r>
    <s v="DIS-0119"/>
    <s v="INV-1119"/>
    <s v="VND-005"/>
    <s v="EnergyPlus Corp"/>
    <s v="Utilities"/>
    <s v="Central"/>
    <d v="2024-11-10T00:00:00"/>
    <x v="0"/>
    <n v="6322.27"/>
    <n v="2860.38"/>
    <s v="Medium"/>
    <s v="Marta Lopez"/>
    <s v="Resolved"/>
    <n v="203"/>
    <d v="2025-02-26T00:00:00"/>
    <n v="108"/>
    <s v="Partial Credit"/>
    <n v="1209.6099999999999"/>
  </r>
  <r>
    <s v="DIS-0120"/>
    <s v="INV-1120"/>
    <s v="VND-005"/>
    <s v="EnergyPlus Corp"/>
    <s v="Utilities"/>
    <s v="Central"/>
    <d v="2024-06-20T00:00:00"/>
    <x v="3"/>
    <n v="27213.08"/>
    <n v="1871.4"/>
    <s v="High"/>
    <s v="Diego Castillo"/>
    <s v="Closed"/>
    <n v="346"/>
    <d v="2024-07-21T00:00:00"/>
    <n v="31"/>
    <s v="Partial Credit"/>
    <n v="1087.74"/>
  </r>
  <r>
    <s v="DIS-0121"/>
    <s v="INV-1121"/>
    <s v="VND-005"/>
    <s v="EnergyPlus Corp"/>
    <s v="Utilities"/>
    <s v="Central"/>
    <d v="2024-10-06T00:00:00"/>
    <x v="4"/>
    <n v="91391.83"/>
    <n v="25282.880000000001"/>
    <s v="Medium"/>
    <s v="Ana Torres"/>
    <s v="Closed"/>
    <n v="238"/>
    <d v="2024-11-16T00:00:00"/>
    <n v="41"/>
    <s v="Pending"/>
    <n v="0"/>
  </r>
  <r>
    <s v="DIS-0122"/>
    <s v="INV-1122"/>
    <s v="VND-005"/>
    <s v="EnergyPlus Corp"/>
    <s v="Utilities"/>
    <s v="Central"/>
    <d v="2025-04-02T00:00:00"/>
    <x v="2"/>
    <n v="14233.24"/>
    <n v="10183.09"/>
    <s v="Low"/>
    <s v="Diego Castillo"/>
    <s v="Resolved"/>
    <n v="60"/>
    <d v="2025-05-22T00:00:00"/>
    <n v="50"/>
    <s v="Payment Adjusted"/>
    <n v="3218.64"/>
  </r>
  <r>
    <s v="DIS-0123"/>
    <s v="INV-1123"/>
    <s v="VND-005"/>
    <s v="EnergyPlus Corp"/>
    <s v="Utilities"/>
    <s v="Central"/>
    <d v="2024-08-04T00:00:00"/>
    <x v="5"/>
    <n v="75515.56"/>
    <n v="12527.44"/>
    <s v="Medium"/>
    <s v="Juan Vargas"/>
    <s v="Resolved"/>
    <n v="301"/>
    <d v="2024-09-11T00:00:00"/>
    <n v="38"/>
    <s v="Full Credit"/>
    <n v="12527.44"/>
  </r>
  <r>
    <s v="DIS-0124"/>
    <s v="INV-1124"/>
    <s v="VND-005"/>
    <s v="EnergyPlus Corp"/>
    <s v="Utilities"/>
    <s v="Central"/>
    <d v="2024-11-23T00:00:00"/>
    <x v="1"/>
    <n v="25640.62"/>
    <n v="9833.74"/>
    <s v="Low"/>
    <s v="Carlos Mendez"/>
    <s v="Closed"/>
    <n v="190"/>
    <d v="2025-01-12T00:00:00"/>
    <n v="50"/>
    <s v="Partial Credit"/>
    <n v="7736.26"/>
  </r>
  <r>
    <s v="DIS-0125"/>
    <s v="INV-1125"/>
    <s v="VND-005"/>
    <s v="EnergyPlus Corp"/>
    <s v="Utilities"/>
    <s v="Central"/>
    <d v="2024-11-29T00:00:00"/>
    <x v="2"/>
    <n v="10752.26"/>
    <n v="2762.37"/>
    <s v="Critical"/>
    <s v="Carlos Mendez"/>
    <s v="Escalated"/>
    <n v="184"/>
    <d v="2025-02-22T00:00:00"/>
    <n v="85"/>
    <s v="Partial Credit"/>
    <n v="2161.9899999999998"/>
  </r>
  <r>
    <s v="DIS-0126"/>
    <s v="INV-1126"/>
    <s v="VND-005"/>
    <s v="EnergyPlus Corp"/>
    <s v="Utilities"/>
    <s v="Central"/>
    <d v="2025-05-06T00:00:00"/>
    <x v="3"/>
    <n v="79745.490000000005"/>
    <n v="18554.919999999998"/>
    <s v="Low"/>
    <s v="Luis Herrera"/>
    <s v="Open"/>
    <n v="26"/>
    <m/>
    <m/>
    <s v="Pending"/>
    <n v="0"/>
  </r>
  <r>
    <s v="DIS-0127"/>
    <s v="INV-1127"/>
    <s v="VND-005"/>
    <s v="EnergyPlus Corp"/>
    <s v="Utilities"/>
    <s v="Central"/>
    <d v="2024-08-21T00:00:00"/>
    <x v="1"/>
    <n v="24679.95"/>
    <n v="5231.25"/>
    <s v="High"/>
    <s v="Sofia Ruiz"/>
    <s v="Escalated"/>
    <n v="284"/>
    <d v="2024-11-08T00:00:00"/>
    <n v="79"/>
    <s v="Full Credit"/>
    <n v="5231.25"/>
  </r>
  <r>
    <s v="DIS-0128"/>
    <s v="INV-1128"/>
    <s v="VND-005"/>
    <s v="EnergyPlus Corp"/>
    <s v="Utilities"/>
    <s v="Central"/>
    <d v="2025-03-18T00:00:00"/>
    <x v="5"/>
    <n v="98815.09"/>
    <n v="44976.83"/>
    <s v="High"/>
    <s v="Ana Torres"/>
    <s v="Open"/>
    <n v="75"/>
    <m/>
    <m/>
    <s v="Pending"/>
    <n v="0"/>
  </r>
  <r>
    <s v="DIS-0129"/>
    <s v="INV-1129"/>
    <s v="VND-005"/>
    <s v="EnergyPlus Corp"/>
    <s v="Utilities"/>
    <s v="Central"/>
    <d v="2024-11-29T00:00:00"/>
    <x v="4"/>
    <n v="80048.539999999994"/>
    <n v="18286.990000000002"/>
    <s v="Medium"/>
    <s v="Marta Lopez"/>
    <s v="In Progress"/>
    <n v="184"/>
    <m/>
    <m/>
    <s v="Pending"/>
    <n v="0"/>
  </r>
  <r>
    <s v="DIS-0130"/>
    <s v="INV-1130"/>
    <s v="VND-005"/>
    <s v="EnergyPlus Corp"/>
    <s v="Utilities"/>
    <s v="Central"/>
    <d v="2024-10-28T00:00:00"/>
    <x v="1"/>
    <n v="54978.13"/>
    <n v="33495.370000000003"/>
    <s v="Medium"/>
    <s v="Carlos Mendez"/>
    <s v="Resolved"/>
    <n v="216"/>
    <d v="2024-11-28T00:00:00"/>
    <n v="31"/>
    <s v="Pending"/>
    <n v="0"/>
  </r>
  <r>
    <s v="DIS-0131"/>
    <s v="INV-1131"/>
    <s v="VND-005"/>
    <s v="EnergyPlus Corp"/>
    <s v="Utilities"/>
    <s v="Central"/>
    <d v="2025-05-09T00:00:00"/>
    <x v="1"/>
    <n v="74088.08"/>
    <n v="54200.15"/>
    <s v="High"/>
    <s v="Juan Vargas"/>
    <s v="In Progress"/>
    <n v="23"/>
    <m/>
    <m/>
    <s v="Pending"/>
    <n v="0"/>
  </r>
  <r>
    <s v="DIS-0132"/>
    <s v="INV-1132"/>
    <s v="VND-005"/>
    <s v="EnergyPlus Corp"/>
    <s v="Utilities"/>
    <s v="Central"/>
    <d v="2025-05-16T00:00:00"/>
    <x v="0"/>
    <n v="10778.41"/>
    <n v="4410.92"/>
    <s v="Medium"/>
    <s v="Carlos Mendez"/>
    <s v="In Progress"/>
    <n v="16"/>
    <m/>
    <m/>
    <s v="Pending"/>
    <n v="0"/>
  </r>
  <r>
    <s v="DIS-0133"/>
    <s v="INV-1133"/>
    <s v="VND-005"/>
    <s v="EnergyPlus Corp"/>
    <s v="Utilities"/>
    <s v="Central"/>
    <d v="2024-10-16T00:00:00"/>
    <x v="5"/>
    <n v="11981.62"/>
    <n v="1325.08"/>
    <s v="Medium"/>
    <s v="Sofia Ruiz"/>
    <s v="Resolved"/>
    <n v="228"/>
    <d v="2025-01-08T00:00:00"/>
    <n v="84"/>
    <s v="Partial Credit"/>
    <n v="831.21"/>
  </r>
  <r>
    <s v="DIS-0134"/>
    <s v="INV-1134"/>
    <s v="VND-005"/>
    <s v="EnergyPlus Corp"/>
    <s v="Utilities"/>
    <s v="Central"/>
    <d v="2024-11-17T00:00:00"/>
    <x v="3"/>
    <n v="99489.64"/>
    <n v="44563.16"/>
    <s v="Medium"/>
    <s v="Valeria Moreno"/>
    <s v="In Progress"/>
    <n v="196"/>
    <m/>
    <m/>
    <s v="Pending"/>
    <n v="0"/>
  </r>
  <r>
    <s v="DIS-0135"/>
    <s v="INV-1135"/>
    <s v="VND-005"/>
    <s v="EnergyPlus Corp"/>
    <s v="Utilities"/>
    <s v="Central"/>
    <d v="2024-06-06T00:00:00"/>
    <x v="3"/>
    <n v="15869.34"/>
    <n v="8585.86"/>
    <s v="High"/>
    <s v="Luis Herrera"/>
    <s v="Resolved"/>
    <n v="360"/>
    <d v="2024-09-30T00:00:00"/>
    <n v="116"/>
    <s v="Full Credit"/>
    <n v="8585.86"/>
  </r>
  <r>
    <s v="DIS-0136"/>
    <s v="INV-1136"/>
    <s v="VND-005"/>
    <s v="EnergyPlus Corp"/>
    <s v="Utilities"/>
    <s v="Central"/>
    <d v="2024-12-09T00:00:00"/>
    <x v="1"/>
    <n v="83604.83"/>
    <n v="29182.07"/>
    <s v="High"/>
    <s v="Valeria Moreno"/>
    <s v="Resolved"/>
    <n v="174"/>
    <d v="2025-01-13T00:00:00"/>
    <n v="35"/>
    <s v="Full Credit"/>
    <n v="29182.07"/>
  </r>
  <r>
    <s v="DIS-0137"/>
    <s v="INV-1137"/>
    <s v="VND-005"/>
    <s v="EnergyPlus Corp"/>
    <s v="Utilities"/>
    <s v="Central"/>
    <d v="2025-03-14T00:00:00"/>
    <x v="5"/>
    <n v="70248"/>
    <n v="28499.68"/>
    <s v="Low"/>
    <s v="Carlos Mendez"/>
    <s v="Resolved"/>
    <n v="79"/>
    <d v="2025-05-03T00:00:00"/>
    <n v="50"/>
    <s v="No Action"/>
    <n v="0"/>
  </r>
  <r>
    <s v="DIS-0138"/>
    <s v="INV-1138"/>
    <s v="VND-005"/>
    <s v="EnergyPlus Corp"/>
    <s v="Utilities"/>
    <s v="Central"/>
    <d v="2024-08-20T00:00:00"/>
    <x v="0"/>
    <n v="10698.19"/>
    <n v="8210.52"/>
    <s v="Medium"/>
    <s v="Carlos Mendez"/>
    <s v="Resolved"/>
    <n v="285"/>
    <d v="2024-12-12T00:00:00"/>
    <n v="114"/>
    <s v="Payment Adjusted"/>
    <n v="3285.14"/>
  </r>
  <r>
    <s v="DIS-0139"/>
    <s v="INV-1139"/>
    <s v="VND-005"/>
    <s v="EnergyPlus Corp"/>
    <s v="Utilities"/>
    <s v="Central"/>
    <d v="2025-05-05T00:00:00"/>
    <x v="3"/>
    <n v="96997.87"/>
    <n v="48528.77"/>
    <s v="Medium"/>
    <s v="Luis Herrera"/>
    <s v="Open"/>
    <n v="27"/>
    <m/>
    <m/>
    <s v="Pending"/>
    <n v="0"/>
  </r>
  <r>
    <s v="DIS-0140"/>
    <s v="INV-1140"/>
    <s v="VND-005"/>
    <s v="EnergyPlus Corp"/>
    <s v="Utilities"/>
    <s v="Central"/>
    <d v="2024-09-27T00:00:00"/>
    <x v="1"/>
    <n v="26303.26"/>
    <n v="3450.04"/>
    <s v="High"/>
    <s v="Carlos Mendez"/>
    <s v="Escalated"/>
    <n v="247"/>
    <d v="2024-12-12T00:00:00"/>
    <n v="76"/>
    <s v="Full Credit"/>
    <n v="3450.04"/>
  </r>
  <r>
    <s v="DIS-0141"/>
    <s v="INV-1141"/>
    <s v="VND-005"/>
    <s v="EnergyPlus Corp"/>
    <s v="Utilities"/>
    <s v="Central"/>
    <d v="2024-10-24T00:00:00"/>
    <x v="3"/>
    <n v="85289.74"/>
    <n v="66603.61"/>
    <s v="High"/>
    <s v="Ana Torres"/>
    <s v="Resolved"/>
    <n v="220"/>
    <d v="2025-01-19T00:00:00"/>
    <n v="87"/>
    <s v="No Action"/>
    <n v="0"/>
  </r>
  <r>
    <s v="DIS-0142"/>
    <s v="INV-1142"/>
    <s v="VND-006"/>
    <s v="MegaParts Ltd"/>
    <s v="Materials"/>
    <s v="East"/>
    <d v="2025-02-28T00:00:00"/>
    <x v="1"/>
    <n v="30960.69"/>
    <n v="19251.580000000002"/>
    <s v="Critical"/>
    <s v="Ana Torres"/>
    <s v="Resolved"/>
    <n v="93"/>
    <d v="2025-03-21T00:00:00"/>
    <n v="21"/>
    <s v="Partial Credit"/>
    <n v="8479.76"/>
  </r>
  <r>
    <s v="DIS-0143"/>
    <s v="INV-1143"/>
    <s v="VND-006"/>
    <s v="MegaParts Ltd"/>
    <s v="Materials"/>
    <s v="East"/>
    <d v="2025-03-20T00:00:00"/>
    <x v="3"/>
    <n v="75392.06"/>
    <n v="58719.69"/>
    <s v="Low"/>
    <s v="Luis Herrera"/>
    <s v="Resolved"/>
    <n v="73"/>
    <d v="2025-05-20T00:00:00"/>
    <n v="61"/>
    <s v="Full Credit"/>
    <n v="58719.69"/>
  </r>
  <r>
    <s v="DIS-0144"/>
    <s v="INV-1144"/>
    <s v="VND-006"/>
    <s v="MegaParts Ltd"/>
    <s v="Materials"/>
    <s v="East"/>
    <d v="2024-11-23T00:00:00"/>
    <x v="3"/>
    <n v="34605.550000000003"/>
    <n v="10149.36"/>
    <s v="Critical"/>
    <s v="Carlos Mendez"/>
    <s v="Closed"/>
    <n v="190"/>
    <d v="2024-12-15T00:00:00"/>
    <n v="22"/>
    <s v="Full Credit"/>
    <n v="10149.36"/>
  </r>
  <r>
    <s v="DIS-0145"/>
    <s v="INV-1145"/>
    <s v="VND-006"/>
    <s v="MegaParts Ltd"/>
    <s v="Materials"/>
    <s v="East"/>
    <d v="2024-07-19T00:00:00"/>
    <x v="2"/>
    <n v="9727.44"/>
    <n v="1081.56"/>
    <s v="Medium"/>
    <s v="Juan Vargas"/>
    <s v="Resolved"/>
    <n v="317"/>
    <d v="2024-09-13T00:00:00"/>
    <n v="56"/>
    <s v="Full Credit"/>
    <n v="1081.56"/>
  </r>
  <r>
    <s v="DIS-0146"/>
    <s v="INV-1146"/>
    <s v="VND-006"/>
    <s v="MegaParts Ltd"/>
    <s v="Materials"/>
    <s v="East"/>
    <d v="2024-09-11T00:00:00"/>
    <x v="0"/>
    <n v="15812.66"/>
    <n v="5889.19"/>
    <s v="Medium"/>
    <s v="Juan Vargas"/>
    <s v="Resolved"/>
    <n v="263"/>
    <d v="2024-10-23T00:00:00"/>
    <n v="42"/>
    <s v="Full Credit"/>
    <n v="5889.19"/>
  </r>
  <r>
    <s v="DIS-0147"/>
    <s v="INV-1147"/>
    <s v="VND-006"/>
    <s v="MegaParts Ltd"/>
    <s v="Materials"/>
    <s v="East"/>
    <d v="2024-11-10T00:00:00"/>
    <x v="4"/>
    <n v="98522.34"/>
    <n v="8974.0499999999993"/>
    <s v="Low"/>
    <s v="Sofia Ruiz"/>
    <s v="Escalated"/>
    <n v="203"/>
    <d v="2024-12-20T00:00:00"/>
    <n v="40"/>
    <s v="Full Credit"/>
    <n v="8974.0499999999993"/>
  </r>
  <r>
    <s v="DIS-0148"/>
    <s v="INV-1148"/>
    <s v="VND-006"/>
    <s v="MegaParts Ltd"/>
    <s v="Materials"/>
    <s v="East"/>
    <d v="2025-05-28T00:00:00"/>
    <x v="3"/>
    <n v="52251.61"/>
    <n v="19489.39"/>
    <s v="Low"/>
    <s v="Luis Herrera"/>
    <s v="Open"/>
    <n v="4"/>
    <m/>
    <m/>
    <s v="Pending"/>
    <n v="0"/>
  </r>
  <r>
    <s v="DIS-0149"/>
    <s v="INV-1149"/>
    <s v="VND-006"/>
    <s v="MegaParts Ltd"/>
    <s v="Materials"/>
    <s v="East"/>
    <d v="2024-06-23T00:00:00"/>
    <x v="5"/>
    <n v="81589.02"/>
    <n v="8489.8799999999992"/>
    <s v="High"/>
    <s v="Valeria Moreno"/>
    <s v="Open"/>
    <n v="343"/>
    <m/>
    <m/>
    <s v="Pending"/>
    <n v="0"/>
  </r>
  <r>
    <s v="DIS-0150"/>
    <s v="INV-1150"/>
    <s v="VND-006"/>
    <s v="MegaParts Ltd"/>
    <s v="Materials"/>
    <s v="East"/>
    <d v="2025-04-22T00:00:00"/>
    <x v="0"/>
    <n v="86900.45"/>
    <n v="41870.32"/>
    <s v="Medium"/>
    <s v="Valeria Moreno"/>
    <s v="In Progress"/>
    <n v="40"/>
    <m/>
    <m/>
    <s v="Pending"/>
    <n v="0"/>
  </r>
  <r>
    <s v="DIS-0151"/>
    <s v="INV-1151"/>
    <s v="VND-006"/>
    <s v="MegaParts Ltd"/>
    <s v="Materials"/>
    <s v="East"/>
    <d v="2024-11-05T00:00:00"/>
    <x v="3"/>
    <n v="6981.37"/>
    <n v="2049.56"/>
    <s v="High"/>
    <s v="Juan Vargas"/>
    <s v="Closed"/>
    <n v="208"/>
    <d v="2025-03-05T00:00:00"/>
    <n v="120"/>
    <s v="Full Credit"/>
    <n v="2049.56"/>
  </r>
  <r>
    <s v="DIS-0152"/>
    <s v="INV-1152"/>
    <s v="VND-006"/>
    <s v="MegaParts Ltd"/>
    <s v="Materials"/>
    <s v="East"/>
    <d v="2024-10-20T00:00:00"/>
    <x v="3"/>
    <n v="85226.01"/>
    <n v="19813.97"/>
    <s v="Medium"/>
    <s v="Carlos Mendez"/>
    <s v="Resolved"/>
    <n v="224"/>
    <d v="2024-12-01T00:00:00"/>
    <n v="42"/>
    <s v="Payment Adjusted"/>
    <n v="3737.49"/>
  </r>
  <r>
    <s v="DIS-0153"/>
    <s v="INV-1153"/>
    <s v="VND-006"/>
    <s v="MegaParts Ltd"/>
    <s v="Materials"/>
    <s v="East"/>
    <d v="2025-03-06T00:00:00"/>
    <x v="4"/>
    <n v="12256.04"/>
    <n v="6433.42"/>
    <s v="Medium"/>
    <s v="Diego Castillo"/>
    <s v="Resolved"/>
    <n v="87"/>
    <d v="2025-05-30T00:00:00"/>
    <n v="85"/>
    <s v="No Action"/>
    <n v="0"/>
  </r>
  <r>
    <s v="DIS-0154"/>
    <s v="INV-1154"/>
    <s v="VND-006"/>
    <s v="MegaParts Ltd"/>
    <s v="Materials"/>
    <s v="East"/>
    <d v="2025-01-31T00:00:00"/>
    <x v="4"/>
    <n v="14766.43"/>
    <n v="3573.12"/>
    <s v="Low"/>
    <s v="Carlos Mendez"/>
    <s v="Resolved"/>
    <n v="121"/>
    <d v="2025-05-12T00:00:00"/>
    <n v="101"/>
    <s v="Partial Credit"/>
    <n v="1709.28"/>
  </r>
  <r>
    <s v="DIS-0155"/>
    <s v="INV-1155"/>
    <s v="VND-006"/>
    <s v="MegaParts Ltd"/>
    <s v="Materials"/>
    <s v="East"/>
    <d v="2024-08-16T00:00:00"/>
    <x v="3"/>
    <n v="77188.33"/>
    <n v="29847.1"/>
    <s v="Critical"/>
    <s v="Diego Castillo"/>
    <s v="Closed"/>
    <n v="289"/>
    <d v="2024-11-07T00:00:00"/>
    <n v="83"/>
    <s v="Full Credit"/>
    <n v="29847.1"/>
  </r>
  <r>
    <s v="DIS-0156"/>
    <s v="INV-1156"/>
    <s v="VND-006"/>
    <s v="MegaParts Ltd"/>
    <s v="Materials"/>
    <s v="East"/>
    <d v="2024-10-18T00:00:00"/>
    <x v="1"/>
    <n v="11487.19"/>
    <n v="4384.16"/>
    <s v="Medium"/>
    <s v="Ana Torres"/>
    <s v="Resolved"/>
    <n v="226"/>
    <d v="2024-10-30T00:00:00"/>
    <n v="12"/>
    <s v="Full Credit"/>
    <n v="4384.16"/>
  </r>
  <r>
    <s v="DIS-0157"/>
    <s v="INV-1157"/>
    <s v="VND-006"/>
    <s v="MegaParts Ltd"/>
    <s v="Materials"/>
    <s v="East"/>
    <d v="2024-10-12T00:00:00"/>
    <x v="0"/>
    <n v="8572.69"/>
    <n v="2799.44"/>
    <s v="Medium"/>
    <s v="Carlos Mendez"/>
    <s v="Resolved"/>
    <n v="232"/>
    <d v="2024-12-18T00:00:00"/>
    <n v="67"/>
    <s v="Full Credit"/>
    <n v="2799.44"/>
  </r>
  <r>
    <s v="DIS-0158"/>
    <s v="INV-1158"/>
    <s v="VND-006"/>
    <s v="MegaParts Ltd"/>
    <s v="Materials"/>
    <s v="East"/>
    <d v="2024-08-07T00:00:00"/>
    <x v="2"/>
    <n v="57660.06"/>
    <n v="37125.199999999997"/>
    <s v="High"/>
    <s v="Luis Herrera"/>
    <s v="Resolved"/>
    <n v="298"/>
    <d v="2024-10-09T00:00:00"/>
    <n v="63"/>
    <s v="Partial Credit"/>
    <n v="28758.42"/>
  </r>
  <r>
    <s v="DIS-0159"/>
    <s v="INV-1159"/>
    <s v="VND-006"/>
    <s v="MegaParts Ltd"/>
    <s v="Materials"/>
    <s v="East"/>
    <d v="2024-10-13T00:00:00"/>
    <x v="0"/>
    <n v="14832.68"/>
    <n v="10743.98"/>
    <s v="Medium"/>
    <s v="Carlos Mendez"/>
    <s v="Resolved"/>
    <n v="231"/>
    <d v="2024-11-07T00:00:00"/>
    <n v="25"/>
    <s v="Full Credit"/>
    <n v="10743.98"/>
  </r>
  <r>
    <s v="DIS-0160"/>
    <s v="INV-1160"/>
    <s v="VND-006"/>
    <s v="MegaParts Ltd"/>
    <s v="Materials"/>
    <s v="East"/>
    <d v="2024-06-03T00:00:00"/>
    <x v="4"/>
    <n v="46587.040000000001"/>
    <n v="17682.87"/>
    <s v="Medium"/>
    <s v="Diego Castillo"/>
    <s v="Resolved"/>
    <n v="363"/>
    <d v="2024-07-12T00:00:00"/>
    <n v="39"/>
    <s v="Full Credit"/>
    <n v="17682.87"/>
  </r>
  <r>
    <s v="DIS-0161"/>
    <s v="INV-1161"/>
    <s v="VND-006"/>
    <s v="MegaParts Ltd"/>
    <s v="Materials"/>
    <s v="East"/>
    <d v="2024-12-09T00:00:00"/>
    <x v="1"/>
    <n v="69495.28"/>
    <n v="6204.13"/>
    <s v="Medium"/>
    <s v="Carlos Mendez"/>
    <s v="Resolved"/>
    <n v="174"/>
    <d v="2025-02-21T00:00:00"/>
    <n v="74"/>
    <s v="Payment Adjusted"/>
    <n v="1325.57"/>
  </r>
  <r>
    <s v="DIS-0162"/>
    <s v="INV-1162"/>
    <s v="VND-007"/>
    <s v="CloudSoft Solutions"/>
    <s v="IT"/>
    <s v="Central"/>
    <d v="2024-12-12T00:00:00"/>
    <x v="1"/>
    <n v="12742.69"/>
    <n v="6979.29"/>
    <s v="Critical"/>
    <s v="Valeria Moreno"/>
    <s v="Resolved"/>
    <n v="171"/>
    <d v="2025-03-15T00:00:00"/>
    <n v="93"/>
    <s v="Pending"/>
    <n v="0"/>
  </r>
  <r>
    <s v="DIS-0163"/>
    <s v="INV-1163"/>
    <s v="VND-007"/>
    <s v="CloudSoft Solutions"/>
    <s v="IT"/>
    <s v="Central"/>
    <d v="2024-12-24T00:00:00"/>
    <x v="4"/>
    <n v="58097.599999999999"/>
    <n v="30943.94"/>
    <s v="Medium"/>
    <s v="Carlos Mendez"/>
    <s v="Resolved"/>
    <n v="159"/>
    <d v="2025-02-19T00:00:00"/>
    <n v="57"/>
    <s v="Partial Credit"/>
    <n v="6527.26"/>
  </r>
  <r>
    <s v="DIS-0164"/>
    <s v="INV-1164"/>
    <s v="VND-007"/>
    <s v="CloudSoft Solutions"/>
    <s v="IT"/>
    <s v="Central"/>
    <d v="2024-12-24T00:00:00"/>
    <x v="2"/>
    <n v="22124.98"/>
    <n v="4660.51"/>
    <s v="Critical"/>
    <s v="Luis Herrera"/>
    <s v="Resolved"/>
    <n v="159"/>
    <d v="2025-01-13T00:00:00"/>
    <n v="20"/>
    <s v="Full Credit"/>
    <n v="4660.51"/>
  </r>
  <r>
    <s v="DIS-0165"/>
    <s v="INV-1165"/>
    <s v="VND-007"/>
    <s v="CloudSoft Solutions"/>
    <s v="IT"/>
    <s v="Central"/>
    <d v="2024-12-31T00:00:00"/>
    <x v="0"/>
    <n v="85220.7"/>
    <n v="10725.5"/>
    <s v="High"/>
    <s v="Ana Torres"/>
    <s v="Escalated"/>
    <n v="152"/>
    <d v="2025-04-25T00:00:00"/>
    <n v="115"/>
    <s v="Payment Adjusted"/>
    <n v="1634.78"/>
  </r>
  <r>
    <s v="DIS-0166"/>
    <s v="INV-1166"/>
    <s v="VND-007"/>
    <s v="CloudSoft Solutions"/>
    <s v="IT"/>
    <s v="Central"/>
    <d v="2024-11-20T00:00:00"/>
    <x v="3"/>
    <n v="19654.009999999998"/>
    <n v="3648.46"/>
    <s v="High"/>
    <s v="Sofia Ruiz"/>
    <s v="Escalated"/>
    <n v="193"/>
    <d v="2024-11-28T00:00:00"/>
    <n v="8"/>
    <s v="Partial Credit"/>
    <n v="2210.3000000000002"/>
  </r>
  <r>
    <s v="DIS-0167"/>
    <s v="INV-1167"/>
    <s v="VND-007"/>
    <s v="CloudSoft Solutions"/>
    <s v="IT"/>
    <s v="Central"/>
    <d v="2025-01-30T00:00:00"/>
    <x v="2"/>
    <n v="97110.92"/>
    <n v="49327.16"/>
    <s v="High"/>
    <s v="Luis Herrera"/>
    <s v="Resolved"/>
    <n v="122"/>
    <d v="2025-03-13T00:00:00"/>
    <n v="42"/>
    <s v="Pending"/>
    <n v="0"/>
  </r>
  <r>
    <s v="DIS-0168"/>
    <s v="INV-1168"/>
    <s v="VND-007"/>
    <s v="CloudSoft Solutions"/>
    <s v="IT"/>
    <s v="Central"/>
    <d v="2024-10-03T00:00:00"/>
    <x v="3"/>
    <n v="90877.56"/>
    <n v="17767.669999999998"/>
    <s v="High"/>
    <s v="Juan Vargas"/>
    <s v="Resolved"/>
    <n v="241"/>
    <d v="2024-11-11T00:00:00"/>
    <n v="39"/>
    <s v="Payment Adjusted"/>
    <n v="5350.96"/>
  </r>
  <r>
    <s v="DIS-0169"/>
    <s v="INV-1169"/>
    <s v="VND-007"/>
    <s v="CloudSoft Solutions"/>
    <s v="IT"/>
    <s v="Central"/>
    <d v="2024-10-29T00:00:00"/>
    <x v="4"/>
    <n v="96795.47"/>
    <n v="64143.3"/>
    <s v="High"/>
    <s v="Marta Lopez"/>
    <s v="In Progress"/>
    <n v="215"/>
    <m/>
    <m/>
    <s v="Pending"/>
    <n v="0"/>
  </r>
  <r>
    <s v="DIS-0170"/>
    <s v="INV-1170"/>
    <s v="VND-007"/>
    <s v="CloudSoft Solutions"/>
    <s v="IT"/>
    <s v="Central"/>
    <d v="2024-09-27T00:00:00"/>
    <x v="3"/>
    <n v="88041.11"/>
    <n v="41018.839999999997"/>
    <s v="Low"/>
    <s v="Carlos Mendez"/>
    <s v="Resolved"/>
    <n v="247"/>
    <d v="2025-01-05T00:00:00"/>
    <n v="100"/>
    <s v="Full Credit"/>
    <n v="41018.839999999997"/>
  </r>
  <r>
    <s v="DIS-0171"/>
    <s v="INV-1171"/>
    <s v="VND-007"/>
    <s v="CloudSoft Solutions"/>
    <s v="IT"/>
    <s v="Central"/>
    <d v="2024-10-13T00:00:00"/>
    <x v="4"/>
    <n v="91004.09"/>
    <n v="14607.2"/>
    <s v="Medium"/>
    <s v="Juan Vargas"/>
    <s v="Closed"/>
    <n v="231"/>
    <d v="2024-10-19T00:00:00"/>
    <n v="6"/>
    <s v="Partial Credit"/>
    <n v="6396.09"/>
  </r>
  <r>
    <s v="DIS-0172"/>
    <s v="INV-1172"/>
    <s v="VND-007"/>
    <s v="CloudSoft Solutions"/>
    <s v="IT"/>
    <s v="Central"/>
    <d v="2024-11-21T00:00:00"/>
    <x v="5"/>
    <n v="27398.92"/>
    <n v="21806.639999999999"/>
    <s v="Medium"/>
    <s v="Diego Castillo"/>
    <s v="Closed"/>
    <n v="192"/>
    <d v="2025-03-11T00:00:00"/>
    <n v="110"/>
    <s v="Payment Adjusted"/>
    <n v="5105.29"/>
  </r>
  <r>
    <s v="DIS-0173"/>
    <s v="INV-1173"/>
    <s v="VND-007"/>
    <s v="CloudSoft Solutions"/>
    <s v="IT"/>
    <s v="Central"/>
    <d v="2025-03-18T00:00:00"/>
    <x v="0"/>
    <n v="18071.96"/>
    <n v="4791.95"/>
    <s v="High"/>
    <s v="Sofia Ruiz"/>
    <s v="Escalated"/>
    <n v="75"/>
    <d v="2025-05-20T00:00:00"/>
    <n v="63"/>
    <s v="Partial Credit"/>
    <n v="973.49"/>
  </r>
  <r>
    <s v="DIS-0174"/>
    <s v="INV-1174"/>
    <s v="VND-007"/>
    <s v="CloudSoft Solutions"/>
    <s v="IT"/>
    <s v="Central"/>
    <d v="2025-04-21T00:00:00"/>
    <x v="0"/>
    <n v="6805.37"/>
    <n v="1440.98"/>
    <s v="Low"/>
    <s v="Valeria Moreno"/>
    <s v="Open"/>
    <n v="41"/>
    <m/>
    <m/>
    <s v="Pending"/>
    <n v="0"/>
  </r>
  <r>
    <s v="DIS-0175"/>
    <s v="INV-1175"/>
    <s v="VND-007"/>
    <s v="CloudSoft Solutions"/>
    <s v="IT"/>
    <s v="Central"/>
    <d v="2025-01-04T00:00:00"/>
    <x v="0"/>
    <n v="27575.82"/>
    <n v="3898.84"/>
    <s v="Low"/>
    <s v="Juan Vargas"/>
    <s v="In Progress"/>
    <n v="148"/>
    <m/>
    <m/>
    <s v="Pending"/>
    <n v="0"/>
  </r>
  <r>
    <s v="DIS-0176"/>
    <s v="INV-1176"/>
    <s v="VND-007"/>
    <s v="CloudSoft Solutions"/>
    <s v="IT"/>
    <s v="Central"/>
    <d v="2024-09-18T00:00:00"/>
    <x v="4"/>
    <n v="61690.21"/>
    <n v="3844.94"/>
    <s v="Medium"/>
    <s v="Sofia Ruiz"/>
    <s v="Resolved"/>
    <n v="256"/>
    <d v="2024-09-21T00:00:00"/>
    <n v="3"/>
    <s v="Partial Credit"/>
    <n v="1323.96"/>
  </r>
  <r>
    <s v="DIS-0177"/>
    <s v="INV-1177"/>
    <s v="VND-007"/>
    <s v="CloudSoft Solutions"/>
    <s v="IT"/>
    <s v="Central"/>
    <d v="2024-10-30T00:00:00"/>
    <x v="1"/>
    <n v="22794.82"/>
    <n v="12563.62"/>
    <s v="Medium"/>
    <s v="Carlos Mendez"/>
    <s v="Closed"/>
    <n v="214"/>
    <d v="2025-01-10T00:00:00"/>
    <n v="72"/>
    <s v="Partial Credit"/>
    <n v="9962.94"/>
  </r>
  <r>
    <s v="DIS-0178"/>
    <s v="INV-1178"/>
    <s v="VND-007"/>
    <s v="CloudSoft Solutions"/>
    <s v="IT"/>
    <s v="Central"/>
    <d v="2024-08-21T00:00:00"/>
    <x v="2"/>
    <n v="6931.76"/>
    <n v="4886.88"/>
    <s v="Low"/>
    <s v="Diego Castillo"/>
    <s v="Resolved"/>
    <n v="284"/>
    <d v="2024-08-26T00:00:00"/>
    <n v="5"/>
    <s v="Full Credit"/>
    <n v="4886.88"/>
  </r>
  <r>
    <s v="DIS-0179"/>
    <s v="INV-1179"/>
    <s v="VND-007"/>
    <s v="CloudSoft Solutions"/>
    <s v="IT"/>
    <s v="Central"/>
    <d v="2025-04-27T00:00:00"/>
    <x v="3"/>
    <n v="37756.239999999998"/>
    <n v="22642.63"/>
    <s v="Medium"/>
    <s v="Diego Castillo"/>
    <s v="Open"/>
    <n v="35"/>
    <m/>
    <m/>
    <s v="Pending"/>
    <n v="0"/>
  </r>
  <r>
    <s v="DIS-0180"/>
    <s v="INV-1180"/>
    <s v="VND-007"/>
    <s v="CloudSoft Solutions"/>
    <s v="IT"/>
    <s v="Central"/>
    <d v="2024-12-02T00:00:00"/>
    <x v="0"/>
    <n v="56871.31"/>
    <n v="37542.550000000003"/>
    <s v="Low"/>
    <s v="Juan Vargas"/>
    <s v="Closed"/>
    <n v="181"/>
    <d v="2025-02-04T00:00:00"/>
    <n v="64"/>
    <s v="Partial Credit"/>
    <n v="25787.93"/>
  </r>
  <r>
    <s v="DIS-0181"/>
    <s v="INV-1181"/>
    <s v="VND-007"/>
    <s v="CloudSoft Solutions"/>
    <s v="IT"/>
    <s v="Central"/>
    <d v="2025-04-29T00:00:00"/>
    <x v="4"/>
    <n v="73024.28"/>
    <n v="55330.78"/>
    <s v="Low"/>
    <s v="Ana Torres"/>
    <s v="Escalated"/>
    <n v="33"/>
    <d v="2025-05-30T00:00:00"/>
    <n v="31"/>
    <s v="Full Credit"/>
    <n v="55330.78"/>
  </r>
  <r>
    <s v="DIS-0182"/>
    <s v="INV-1182"/>
    <s v="VND-007"/>
    <s v="CloudSoft Solutions"/>
    <s v="IT"/>
    <s v="Central"/>
    <d v="2024-12-24T00:00:00"/>
    <x v="1"/>
    <n v="53961.440000000002"/>
    <n v="42728.94"/>
    <s v="Medium"/>
    <s v="Ana Torres"/>
    <s v="Escalated"/>
    <n v="159"/>
    <d v="2025-01-20T00:00:00"/>
    <n v="27"/>
    <s v="Full Credit"/>
    <n v="42728.94"/>
  </r>
  <r>
    <s v="DIS-0183"/>
    <s v="INV-1183"/>
    <s v="VND-007"/>
    <s v="CloudSoft Solutions"/>
    <s v="IT"/>
    <s v="Central"/>
    <d v="2025-05-07T00:00:00"/>
    <x v="1"/>
    <n v="87250.84"/>
    <n v="26083.07"/>
    <s v="Low"/>
    <s v="Valeria Moreno"/>
    <s v="Escalated"/>
    <n v="25"/>
    <d v="2025-05-24T00:00:00"/>
    <n v="17"/>
    <s v="No Action"/>
    <n v="0"/>
  </r>
  <r>
    <s v="DIS-0184"/>
    <s v="INV-1184"/>
    <s v="VND-007"/>
    <s v="CloudSoft Solutions"/>
    <s v="IT"/>
    <s v="Central"/>
    <d v="2024-11-15T00:00:00"/>
    <x v="1"/>
    <n v="37208.480000000003"/>
    <n v="7073.81"/>
    <s v="High"/>
    <s v="Marta Lopez"/>
    <s v="Closed"/>
    <n v="198"/>
    <d v="2025-02-19T00:00:00"/>
    <n v="96"/>
    <s v="Partial Credit"/>
    <n v="3242.38"/>
  </r>
  <r>
    <s v="DIS-0185"/>
    <s v="INV-1185"/>
    <s v="VND-007"/>
    <s v="CloudSoft Solutions"/>
    <s v="IT"/>
    <s v="Central"/>
    <d v="2025-02-28T00:00:00"/>
    <x v="0"/>
    <n v="56820.07"/>
    <n v="16529.45"/>
    <s v="Low"/>
    <s v="Marta Lopez"/>
    <s v="Resolved"/>
    <n v="93"/>
    <d v="2025-05-19T00:00:00"/>
    <n v="80"/>
    <s v="Payment Adjusted"/>
    <n v="2754.76"/>
  </r>
  <r>
    <s v="DIS-0186"/>
    <s v="INV-1186"/>
    <s v="VND-008"/>
    <s v="Rapi Cargo SA"/>
    <s v="Logistics"/>
    <s v="West"/>
    <d v="2024-10-15T00:00:00"/>
    <x v="2"/>
    <n v="9023.74"/>
    <n v="6339.43"/>
    <s v="Medium"/>
    <s v="Marta Lopez"/>
    <s v="Resolved"/>
    <n v="229"/>
    <d v="2025-01-27T00:00:00"/>
    <n v="104"/>
    <s v="Pending"/>
    <n v="0"/>
  </r>
  <r>
    <s v="DIS-0187"/>
    <s v="INV-1187"/>
    <s v="VND-008"/>
    <s v="Rapi Cargo SA"/>
    <s v="Logistics"/>
    <s v="West"/>
    <d v="2025-04-23T00:00:00"/>
    <x v="0"/>
    <n v="68762.47"/>
    <n v="24387.14"/>
    <s v="Medium"/>
    <s v="Sofia Ruiz"/>
    <s v="Closed"/>
    <n v="39"/>
    <d v="2025-05-05T00:00:00"/>
    <n v="12"/>
    <s v="No Action"/>
    <n v="0"/>
  </r>
  <r>
    <s v="DIS-0188"/>
    <s v="INV-1188"/>
    <s v="VND-008"/>
    <s v="Rapi Cargo SA"/>
    <s v="Logistics"/>
    <s v="West"/>
    <d v="2024-06-18T00:00:00"/>
    <x v="0"/>
    <n v="79224.639999999999"/>
    <n v="6028.93"/>
    <s v="Low"/>
    <s v="Diego Castillo"/>
    <s v="Resolved"/>
    <n v="348"/>
    <d v="2024-09-01T00:00:00"/>
    <n v="75"/>
    <s v="Full Credit"/>
    <n v="6028.93"/>
  </r>
  <r>
    <s v="DIS-0189"/>
    <s v="INV-1189"/>
    <s v="VND-008"/>
    <s v="Rapi Cargo SA"/>
    <s v="Logistics"/>
    <s v="West"/>
    <d v="2025-03-14T00:00:00"/>
    <x v="5"/>
    <n v="69510.899999999994"/>
    <n v="52940.73"/>
    <s v="Medium"/>
    <s v="Sofia Ruiz"/>
    <s v="Resolved"/>
    <n v="79"/>
    <d v="2025-05-06T00:00:00"/>
    <n v="53"/>
    <s v="Full Credit"/>
    <n v="52940.73"/>
  </r>
  <r>
    <s v="DIS-0190"/>
    <s v="INV-1190"/>
    <s v="VND-008"/>
    <s v="Rapi Cargo SA"/>
    <s v="Logistics"/>
    <s v="West"/>
    <d v="2025-01-09T00:00:00"/>
    <x v="2"/>
    <n v="28713.11"/>
    <n v="3878.75"/>
    <s v="High"/>
    <s v="Valeria Moreno"/>
    <s v="Closed"/>
    <n v="143"/>
    <d v="2025-01-27T00:00:00"/>
    <n v="18"/>
    <s v="Full Credit"/>
    <n v="3878.75"/>
  </r>
  <r>
    <s v="DIS-0191"/>
    <s v="INV-1191"/>
    <s v="VND-008"/>
    <s v="Rapi Cargo SA"/>
    <s v="Logistics"/>
    <s v="West"/>
    <d v="2025-01-18T00:00:00"/>
    <x v="0"/>
    <n v="71883.59"/>
    <n v="15162.25"/>
    <s v="Medium"/>
    <s v="Juan Vargas"/>
    <s v="Resolved"/>
    <n v="134"/>
    <d v="2025-02-07T00:00:00"/>
    <n v="20"/>
    <s v="No Action"/>
    <n v="0"/>
  </r>
  <r>
    <s v="DIS-0192"/>
    <s v="INV-1192"/>
    <s v="VND-008"/>
    <s v="Rapi Cargo SA"/>
    <s v="Logistics"/>
    <s v="West"/>
    <d v="2024-10-12T00:00:00"/>
    <x v="0"/>
    <n v="21402.35"/>
    <n v="12520.96"/>
    <s v="Critical"/>
    <s v="Diego Castillo"/>
    <s v="Escalated"/>
    <n v="232"/>
    <d v="2025-01-13T00:00:00"/>
    <n v="93"/>
    <s v="Full Credit"/>
    <n v="12520.96"/>
  </r>
  <r>
    <s v="DIS-0193"/>
    <s v="INV-1193"/>
    <s v="VND-008"/>
    <s v="Rapi Cargo SA"/>
    <s v="Logistics"/>
    <s v="West"/>
    <d v="2024-08-27T00:00:00"/>
    <x v="0"/>
    <n v="32584.42"/>
    <n v="8959.66"/>
    <s v="Low"/>
    <s v="Sofia Ruiz"/>
    <s v="Escalated"/>
    <n v="278"/>
    <d v="2024-11-03T00:00:00"/>
    <n v="68"/>
    <s v="Full Credit"/>
    <n v="8959.66"/>
  </r>
  <r>
    <s v="DIS-0194"/>
    <s v="INV-1194"/>
    <s v="VND-008"/>
    <s v="Rapi Cargo SA"/>
    <s v="Logistics"/>
    <s v="West"/>
    <d v="2025-02-18T00:00:00"/>
    <x v="1"/>
    <n v="80246.240000000005"/>
    <n v="18260.2"/>
    <s v="Medium"/>
    <s v="Diego Castillo"/>
    <s v="Resolved"/>
    <n v="103"/>
    <d v="2025-05-02T00:00:00"/>
    <n v="73"/>
    <s v="Full Credit"/>
    <n v="18260.2"/>
  </r>
  <r>
    <s v="DIS-0195"/>
    <s v="INV-1195"/>
    <s v="VND-008"/>
    <s v="Rapi Cargo SA"/>
    <s v="Logistics"/>
    <s v="West"/>
    <d v="2025-04-17T00:00:00"/>
    <x v="2"/>
    <n v="11246.07"/>
    <n v="3920.6"/>
    <s v="High"/>
    <s v="Valeria Moreno"/>
    <s v="Escalated"/>
    <n v="45"/>
    <d v="2025-05-26T00:00:00"/>
    <n v="39"/>
    <s v="Full Credit"/>
    <n v="3920.6"/>
  </r>
  <r>
    <s v="DIS-0196"/>
    <s v="INV-1196"/>
    <s v="VND-008"/>
    <s v="Rapi Cargo SA"/>
    <s v="Logistics"/>
    <s v="West"/>
    <d v="2024-12-20T00:00:00"/>
    <x v="1"/>
    <n v="66022.17"/>
    <n v="25582.33"/>
    <s v="High"/>
    <s v="Sofia Ruiz"/>
    <s v="Closed"/>
    <n v="163"/>
    <d v="2025-04-01T00:00:00"/>
    <n v="102"/>
    <s v="Partial Credit"/>
    <n v="14138.63"/>
  </r>
  <r>
    <s v="DIS-0197"/>
    <s v="INV-1197"/>
    <s v="VND-008"/>
    <s v="Rapi Cargo SA"/>
    <s v="Logistics"/>
    <s v="West"/>
    <d v="2025-03-26T00:00:00"/>
    <x v="5"/>
    <n v="46098.74"/>
    <n v="33791.949999999997"/>
    <s v="Low"/>
    <s v="Sofia Ruiz"/>
    <s v="Resolved"/>
    <n v="67"/>
    <d v="2025-04-18T00:00:00"/>
    <n v="23"/>
    <s v="Full Credit"/>
    <n v="33791.949999999997"/>
  </r>
  <r>
    <s v="DIS-0198"/>
    <s v="INV-1198"/>
    <s v="VND-008"/>
    <s v="Rapi Cargo SA"/>
    <s v="Logistics"/>
    <s v="West"/>
    <d v="2024-06-02T00:00:00"/>
    <x v="1"/>
    <n v="26419.68"/>
    <n v="20095.13"/>
    <s v="Medium"/>
    <s v="Carlos Mendez"/>
    <s v="Resolved"/>
    <n v="364"/>
    <d v="2024-08-25T00:00:00"/>
    <n v="84"/>
    <s v="Pending"/>
    <n v="0"/>
  </r>
  <r>
    <s v="DIS-0199"/>
    <s v="INV-1199"/>
    <s v="VND-008"/>
    <s v="Rapi Cargo SA"/>
    <s v="Logistics"/>
    <s v="West"/>
    <d v="2025-01-11T00:00:00"/>
    <x v="3"/>
    <n v="16891.18"/>
    <n v="4680.8599999999997"/>
    <s v="Medium"/>
    <s v="Sofia Ruiz"/>
    <s v="Resolved"/>
    <n v="141"/>
    <d v="2025-03-29T00:00:00"/>
    <n v="77"/>
    <s v="Full Credit"/>
    <n v="4680.8599999999997"/>
  </r>
  <r>
    <s v="DIS-0200"/>
    <s v="INV-1200"/>
    <s v="VND-008"/>
    <s v="Rapi Cargo SA"/>
    <s v="Logistics"/>
    <s v="West"/>
    <d v="2024-06-28T00:00:00"/>
    <x v="3"/>
    <n v="64325.52"/>
    <n v="46732.53"/>
    <s v="Medium"/>
    <s v="Ana Torres"/>
    <s v="Closed"/>
    <n v="338"/>
    <d v="2024-07-04T00:00:00"/>
    <n v="6"/>
    <s v="Full Credit"/>
    <n v="46732.53"/>
  </r>
  <r>
    <s v="DIS-0201"/>
    <s v="INV-1201"/>
    <s v="VND-008"/>
    <s v="Rapi Cargo SA"/>
    <s v="Logistics"/>
    <s v="West"/>
    <d v="2024-07-07T00:00:00"/>
    <x v="3"/>
    <n v="78247.13"/>
    <n v="19443.78"/>
    <s v="Low"/>
    <s v="Valeria Moreno"/>
    <s v="Resolved"/>
    <n v="329"/>
    <d v="2024-07-13T00:00:00"/>
    <n v="6"/>
    <s v="Partial Credit"/>
    <n v="11205.42"/>
  </r>
  <r>
    <s v="DIS-0202"/>
    <s v="INV-1202"/>
    <s v="VND-008"/>
    <s v="Rapi Cargo SA"/>
    <s v="Logistics"/>
    <s v="West"/>
    <d v="2025-01-03T00:00:00"/>
    <x v="0"/>
    <n v="65981.19"/>
    <n v="18248.46"/>
    <s v="Low"/>
    <s v="Valeria Moreno"/>
    <s v="Resolved"/>
    <n v="149"/>
    <d v="2025-01-15T00:00:00"/>
    <n v="12"/>
    <s v="Payment Adjusted"/>
    <n v="2978.74"/>
  </r>
  <r>
    <s v="DIS-0203"/>
    <s v="INV-1203"/>
    <s v="VND-008"/>
    <s v="Rapi Cargo SA"/>
    <s v="Logistics"/>
    <s v="West"/>
    <d v="2024-10-31T00:00:00"/>
    <x v="1"/>
    <n v="51003.86"/>
    <n v="10354.66"/>
    <s v="Medium"/>
    <s v="Diego Castillo"/>
    <s v="Escalated"/>
    <n v="213"/>
    <d v="2025-02-21T00:00:00"/>
    <n v="113"/>
    <s v="Full Credit"/>
    <n v="10354.66"/>
  </r>
  <r>
    <s v="DIS-0204"/>
    <s v="INV-1204"/>
    <s v="VND-008"/>
    <s v="Rapi Cargo SA"/>
    <s v="Logistics"/>
    <s v="West"/>
    <d v="2024-11-08T00:00:00"/>
    <x v="1"/>
    <n v="17422.78"/>
    <n v="5713.02"/>
    <s v="Medium"/>
    <s v="Luis Herrera"/>
    <s v="Resolved"/>
    <n v="205"/>
    <d v="2024-12-15T00:00:00"/>
    <n v="37"/>
    <s v="Partial Credit"/>
    <n v="1625.51"/>
  </r>
  <r>
    <s v="DIS-0205"/>
    <s v="INV-1205"/>
    <s v="VND-008"/>
    <s v="Rapi Cargo SA"/>
    <s v="Logistics"/>
    <s v="West"/>
    <d v="2025-05-06T00:00:00"/>
    <x v="4"/>
    <n v="32570.14"/>
    <n v="11012.37"/>
    <s v="Medium"/>
    <s v="Sofia Ruiz"/>
    <s v="Escalated"/>
    <n v="26"/>
    <d v="2025-05-27T00:00:00"/>
    <n v="21"/>
    <s v="Payment Adjusted"/>
    <n v="1937.45"/>
  </r>
  <r>
    <s v="DIS-0206"/>
    <s v="INV-1206"/>
    <s v="VND-008"/>
    <s v="Rapi Cargo SA"/>
    <s v="Logistics"/>
    <s v="West"/>
    <d v="2025-03-11T00:00:00"/>
    <x v="1"/>
    <n v="52335.23"/>
    <n v="22820.44"/>
    <s v="Medium"/>
    <s v="Juan Vargas"/>
    <s v="Open"/>
    <n v="82"/>
    <m/>
    <m/>
    <s v="Pending"/>
    <n v="0"/>
  </r>
  <r>
    <s v="DIS-0207"/>
    <s v="INV-1207"/>
    <s v="VND-008"/>
    <s v="Rapi Cargo SA"/>
    <s v="Logistics"/>
    <s v="West"/>
    <d v="2024-11-11T00:00:00"/>
    <x v="1"/>
    <n v="53017.22"/>
    <n v="41089.14"/>
    <s v="Low"/>
    <s v="Ana Torres"/>
    <s v="In Progress"/>
    <n v="202"/>
    <m/>
    <m/>
    <s v="Pending"/>
    <n v="0"/>
  </r>
  <r>
    <s v="DIS-0208"/>
    <s v="INV-1208"/>
    <s v="VND-008"/>
    <s v="Rapi Cargo SA"/>
    <s v="Logistics"/>
    <s v="West"/>
    <d v="2024-09-20T00:00:00"/>
    <x v="1"/>
    <n v="61764.28"/>
    <n v="42131.72"/>
    <s v="High"/>
    <s v="Ana Torres"/>
    <s v="Closed"/>
    <n v="254"/>
    <d v="2024-11-17T00:00:00"/>
    <n v="58"/>
    <s v="Full Credit"/>
    <n v="42131.72"/>
  </r>
  <r>
    <s v="DIS-0209"/>
    <s v="INV-1209"/>
    <s v="VND-008"/>
    <s v="Rapi Cargo SA"/>
    <s v="Logistics"/>
    <s v="West"/>
    <d v="2025-01-16T00:00:00"/>
    <x v="2"/>
    <n v="74113.27"/>
    <n v="46164.61"/>
    <s v="Medium"/>
    <s v="Ana Torres"/>
    <s v="Resolved"/>
    <n v="136"/>
    <d v="2025-02-12T00:00:00"/>
    <n v="27"/>
    <s v="Full Credit"/>
    <n v="46164.61"/>
  </r>
  <r>
    <s v="DIS-0210"/>
    <s v="INV-1210"/>
    <s v="VND-008"/>
    <s v="Rapi Cargo SA"/>
    <s v="Logistics"/>
    <s v="West"/>
    <d v="2025-01-04T00:00:00"/>
    <x v="1"/>
    <n v="11985.52"/>
    <n v="5132.1000000000004"/>
    <s v="High"/>
    <s v="Carlos Mendez"/>
    <s v="Resolved"/>
    <n v="148"/>
    <d v="2025-01-19T00:00:00"/>
    <n v="15"/>
    <s v="Full Credit"/>
    <n v="5132.1000000000004"/>
  </r>
  <r>
    <s v="DIS-0211"/>
    <s v="INV-1211"/>
    <s v="VND-008"/>
    <s v="Rapi Cargo SA"/>
    <s v="Logistics"/>
    <s v="West"/>
    <d v="2024-12-09T00:00:00"/>
    <x v="3"/>
    <n v="57994.02"/>
    <n v="18801.939999999999"/>
    <s v="Low"/>
    <s v="Valeria Moreno"/>
    <s v="Resolved"/>
    <n v="174"/>
    <d v="2024-12-17T00:00:00"/>
    <n v="8"/>
    <s v="Full Credit"/>
    <n v="18801.939999999999"/>
  </r>
  <r>
    <s v="DIS-0212"/>
    <s v="INV-1212"/>
    <s v="VND-008"/>
    <s v="Rapi Cargo SA"/>
    <s v="Logistics"/>
    <s v="West"/>
    <d v="2024-12-12T00:00:00"/>
    <x v="3"/>
    <n v="81376.759999999995"/>
    <n v="35765.050000000003"/>
    <s v="Low"/>
    <s v="Sofia Ruiz"/>
    <s v="Resolved"/>
    <n v="171"/>
    <d v="2025-03-03T00:00:00"/>
    <n v="81"/>
    <s v="Full Credit"/>
    <n v="35765.050000000003"/>
  </r>
  <r>
    <s v="DIS-0213"/>
    <s v="INV-1213"/>
    <s v="VND-008"/>
    <s v="Rapi Cargo SA"/>
    <s v="Logistics"/>
    <s v="West"/>
    <d v="2024-11-11T00:00:00"/>
    <x v="1"/>
    <n v="99108.5"/>
    <n v="59910.05"/>
    <s v="Medium"/>
    <s v="Juan Vargas"/>
    <s v="Escalated"/>
    <n v="202"/>
    <d v="2024-12-22T00:00:00"/>
    <n v="41"/>
    <s v="Partial Credit"/>
    <n v="12580.04"/>
  </r>
  <r>
    <s v="DIS-0214"/>
    <s v="INV-1214"/>
    <s v="VND-008"/>
    <s v="Rapi Cargo SA"/>
    <s v="Logistics"/>
    <s v="West"/>
    <d v="2024-12-13T00:00:00"/>
    <x v="0"/>
    <n v="69011.61"/>
    <n v="54168.84"/>
    <s v="Medium"/>
    <s v="Ana Torres"/>
    <s v="Resolved"/>
    <n v="170"/>
    <d v="2025-01-18T00:00:00"/>
    <n v="36"/>
    <s v="Pending"/>
    <n v="0"/>
  </r>
  <r>
    <s v="DIS-0215"/>
    <s v="INV-1215"/>
    <s v="VND-008"/>
    <s v="Rapi Cargo SA"/>
    <s v="Logistics"/>
    <s v="West"/>
    <d v="2024-08-08T00:00:00"/>
    <x v="4"/>
    <n v="59875.27"/>
    <n v="35389.279999999999"/>
    <s v="Medium"/>
    <s v="Valeria Moreno"/>
    <s v="Resolved"/>
    <n v="297"/>
    <d v="2024-11-06T00:00:00"/>
    <n v="90"/>
    <s v="Full Credit"/>
    <n v="35389.279999999999"/>
  </r>
  <r>
    <s v="DIS-0216"/>
    <s v="INV-1216"/>
    <s v="VND-008"/>
    <s v="Rapi Cargo SA"/>
    <s v="Logistics"/>
    <s v="West"/>
    <d v="2024-08-11T00:00:00"/>
    <x v="1"/>
    <n v="95079.49"/>
    <n v="12590.58"/>
    <s v="Low"/>
    <s v="Valeria Moreno"/>
    <s v="Resolved"/>
    <n v="294"/>
    <d v="2024-11-10T00:00:00"/>
    <n v="91"/>
    <s v="Full Credit"/>
    <n v="12590.58"/>
  </r>
  <r>
    <s v="DIS-0217"/>
    <s v="INV-1217"/>
    <s v="VND-009"/>
    <s v="Consulting Masters"/>
    <s v="Services"/>
    <s v="Central"/>
    <d v="2025-04-30T00:00:00"/>
    <x v="0"/>
    <n v="72048.649999999994"/>
    <n v="31630.25"/>
    <s v="Medium"/>
    <s v="Juan Vargas"/>
    <s v="Resolved"/>
    <n v="32"/>
    <d v="2025-05-13T00:00:00"/>
    <n v="13"/>
    <s v="Pending"/>
    <n v="0"/>
  </r>
  <r>
    <s v="DIS-0218"/>
    <s v="INV-1218"/>
    <s v="VND-009"/>
    <s v="Consulting Masters"/>
    <s v="Services"/>
    <s v="Central"/>
    <d v="2024-10-08T00:00:00"/>
    <x v="0"/>
    <n v="91651.8"/>
    <n v="28113.759999999998"/>
    <s v="Medium"/>
    <s v="Marta Lopez"/>
    <s v="Resolved"/>
    <n v="236"/>
    <d v="2024-11-04T00:00:00"/>
    <n v="27"/>
    <s v="Pending"/>
    <n v="0"/>
  </r>
  <r>
    <s v="DIS-0219"/>
    <s v="INV-1219"/>
    <s v="VND-009"/>
    <s v="Consulting Masters"/>
    <s v="Services"/>
    <s v="Central"/>
    <d v="2025-01-09T00:00:00"/>
    <x v="1"/>
    <n v="58018.23"/>
    <n v="12685.7"/>
    <s v="Critical"/>
    <s v="Marta Lopez"/>
    <s v="Escalated"/>
    <n v="143"/>
    <d v="2025-04-10T00:00:00"/>
    <n v="91"/>
    <s v="Payment Adjusted"/>
    <n v="2877.32"/>
  </r>
  <r>
    <s v="DIS-0220"/>
    <s v="INV-1220"/>
    <s v="VND-009"/>
    <s v="Consulting Masters"/>
    <s v="Services"/>
    <s v="Central"/>
    <d v="2024-12-04T00:00:00"/>
    <x v="1"/>
    <n v="58246.32"/>
    <n v="43735.07"/>
    <s v="High"/>
    <s v="Carlos Mendez"/>
    <s v="Resolved"/>
    <n v="179"/>
    <d v="2025-02-14T00:00:00"/>
    <n v="72"/>
    <s v="Full Credit"/>
    <n v="43735.07"/>
  </r>
  <r>
    <s v="DIS-0221"/>
    <s v="INV-1221"/>
    <s v="VND-009"/>
    <s v="Consulting Masters"/>
    <s v="Services"/>
    <s v="Central"/>
    <d v="2024-11-10T00:00:00"/>
    <x v="1"/>
    <n v="82745.86"/>
    <n v="63379.74"/>
    <s v="High"/>
    <s v="Ana Torres"/>
    <s v="Resolved"/>
    <n v="203"/>
    <d v="2025-02-12T00:00:00"/>
    <n v="94"/>
    <s v="Full Credit"/>
    <n v="63379.74"/>
  </r>
  <r>
    <s v="DIS-0222"/>
    <s v="INV-1222"/>
    <s v="VND-009"/>
    <s v="Consulting Masters"/>
    <s v="Services"/>
    <s v="Central"/>
    <d v="2024-10-17T00:00:00"/>
    <x v="3"/>
    <n v="67317.34"/>
    <n v="41097.5"/>
    <s v="Low"/>
    <s v="Marta Lopez"/>
    <s v="Closed"/>
    <n v="227"/>
    <d v="2025-01-17T00:00:00"/>
    <n v="92"/>
    <s v="Full Credit"/>
    <n v="41097.5"/>
  </r>
  <r>
    <s v="DIS-0223"/>
    <s v="INV-1223"/>
    <s v="VND-009"/>
    <s v="Consulting Masters"/>
    <s v="Services"/>
    <s v="Central"/>
    <d v="2025-04-06T00:00:00"/>
    <x v="0"/>
    <n v="63489.32"/>
    <n v="31117.57"/>
    <s v="Low"/>
    <s v="Luis Herrera"/>
    <s v="Resolved"/>
    <n v="56"/>
    <d v="2025-04-12T00:00:00"/>
    <n v="6"/>
    <s v="Full Credit"/>
    <n v="31117.57"/>
  </r>
  <r>
    <s v="DIS-0224"/>
    <s v="INV-1224"/>
    <s v="VND-009"/>
    <s v="Consulting Masters"/>
    <s v="Services"/>
    <s v="Central"/>
    <d v="2024-12-13T00:00:00"/>
    <x v="5"/>
    <n v="73149.02"/>
    <n v="9173.52"/>
    <s v="High"/>
    <s v="Sofia Ruiz"/>
    <s v="Resolved"/>
    <n v="170"/>
    <d v="2025-04-07T00:00:00"/>
    <n v="115"/>
    <s v="No Action"/>
    <n v="0"/>
  </r>
  <r>
    <s v="DIS-0225"/>
    <s v="INV-1225"/>
    <s v="VND-009"/>
    <s v="Consulting Masters"/>
    <s v="Services"/>
    <s v="Central"/>
    <d v="2024-09-29T00:00:00"/>
    <x v="1"/>
    <n v="66801.179999999993"/>
    <n v="41211.870000000003"/>
    <s v="Medium"/>
    <s v="Ana Torres"/>
    <s v="Closed"/>
    <n v="245"/>
    <d v="2024-10-13T00:00:00"/>
    <n v="14"/>
    <s v="Payment Adjusted"/>
    <n v="7949.28"/>
  </r>
  <r>
    <s v="DIS-0226"/>
    <s v="INV-1226"/>
    <s v="VND-009"/>
    <s v="Consulting Masters"/>
    <s v="Services"/>
    <s v="Central"/>
    <d v="2025-05-12T00:00:00"/>
    <x v="4"/>
    <n v="91756.82"/>
    <n v="16635.38"/>
    <s v="High"/>
    <s v="Ana Torres"/>
    <s v="Closed"/>
    <n v="20"/>
    <d v="2025-05-27T00:00:00"/>
    <n v="15"/>
    <s v="Payment Adjusted"/>
    <n v="2903.28"/>
  </r>
  <r>
    <s v="DIS-0227"/>
    <s v="INV-1227"/>
    <s v="VND-009"/>
    <s v="Consulting Masters"/>
    <s v="Services"/>
    <s v="Central"/>
    <d v="2025-01-03T00:00:00"/>
    <x v="5"/>
    <n v="88290.6"/>
    <n v="5028.18"/>
    <s v="Medium"/>
    <s v="Diego Castillo"/>
    <s v="Resolved"/>
    <n v="149"/>
    <d v="2025-03-29T00:00:00"/>
    <n v="85"/>
    <s v="Partial Credit"/>
    <n v="2495.7199999999998"/>
  </r>
  <r>
    <s v="DIS-0228"/>
    <s v="INV-1228"/>
    <s v="VND-009"/>
    <s v="Consulting Masters"/>
    <s v="Services"/>
    <s v="Central"/>
    <d v="2025-03-24T00:00:00"/>
    <x v="5"/>
    <n v="85850.68"/>
    <n v="34427.46"/>
    <s v="Low"/>
    <s v="Diego Castillo"/>
    <s v="In Progress"/>
    <n v="69"/>
    <m/>
    <m/>
    <s v="Pending"/>
    <n v="0"/>
  </r>
  <r>
    <s v="DIS-0229"/>
    <s v="INV-1229"/>
    <s v="VND-009"/>
    <s v="Consulting Masters"/>
    <s v="Services"/>
    <s v="Central"/>
    <d v="2024-10-09T00:00:00"/>
    <x v="1"/>
    <n v="66587.11"/>
    <n v="39216.39"/>
    <s v="Low"/>
    <s v="Marta Lopez"/>
    <s v="Resolved"/>
    <n v="235"/>
    <d v="2025-01-16T00:00:00"/>
    <n v="99"/>
    <s v="Full Credit"/>
    <n v="39216.39"/>
  </r>
  <r>
    <s v="DIS-0230"/>
    <s v="INV-1230"/>
    <s v="VND-009"/>
    <s v="Consulting Masters"/>
    <s v="Services"/>
    <s v="Central"/>
    <d v="2024-07-23T00:00:00"/>
    <x v="3"/>
    <n v="86333.92"/>
    <n v="62400.61"/>
    <s v="High"/>
    <s v="Diego Castillo"/>
    <s v="In Progress"/>
    <n v="313"/>
    <m/>
    <m/>
    <s v="Pending"/>
    <n v="0"/>
  </r>
  <r>
    <s v="DIS-0231"/>
    <s v="INV-1231"/>
    <s v="VND-009"/>
    <s v="Consulting Masters"/>
    <s v="Services"/>
    <s v="Central"/>
    <d v="2024-06-23T00:00:00"/>
    <x v="4"/>
    <n v="14061.59"/>
    <n v="11056.12"/>
    <s v="Medium"/>
    <s v="Ana Torres"/>
    <s v="Resolved"/>
    <n v="343"/>
    <d v="2024-07-26T00:00:00"/>
    <n v="33"/>
    <s v="Partial Credit"/>
    <n v="3982.38"/>
  </r>
  <r>
    <s v="DIS-0232"/>
    <s v="INV-1232"/>
    <s v="VND-009"/>
    <s v="Consulting Masters"/>
    <s v="Services"/>
    <s v="Central"/>
    <d v="2024-12-14T00:00:00"/>
    <x v="0"/>
    <n v="33684.85"/>
    <n v="19946.88"/>
    <s v="Low"/>
    <s v="Diego Castillo"/>
    <s v="Escalated"/>
    <n v="169"/>
    <d v="2024-12-24T00:00:00"/>
    <n v="10"/>
    <s v="Payment Adjusted"/>
    <n v="5707.96"/>
  </r>
  <r>
    <s v="DIS-0233"/>
    <s v="INV-1233"/>
    <s v="VND-009"/>
    <s v="Consulting Masters"/>
    <s v="Services"/>
    <s v="Central"/>
    <d v="2025-03-11T00:00:00"/>
    <x v="0"/>
    <n v="43514.58"/>
    <n v="18575.95"/>
    <s v="High"/>
    <s v="Marta Lopez"/>
    <s v="Resolved"/>
    <n v="82"/>
    <d v="2025-04-20T00:00:00"/>
    <n v="40"/>
    <s v="Full Credit"/>
    <n v="18575.95"/>
  </r>
  <r>
    <s v="DIS-0234"/>
    <s v="INV-1234"/>
    <s v="VND-009"/>
    <s v="Consulting Masters"/>
    <s v="Services"/>
    <s v="Central"/>
    <d v="2025-02-07T00:00:00"/>
    <x v="0"/>
    <n v="25817.22"/>
    <n v="3877.14"/>
    <s v="Low"/>
    <s v="Diego Castillo"/>
    <s v="Resolved"/>
    <n v="114"/>
    <d v="2025-04-21T00:00:00"/>
    <n v="73"/>
    <s v="No Action"/>
    <n v="0"/>
  </r>
  <r>
    <s v="DIS-0235"/>
    <s v="INV-1235"/>
    <s v="VND-009"/>
    <s v="Consulting Masters"/>
    <s v="Services"/>
    <s v="Central"/>
    <d v="2024-08-29T00:00:00"/>
    <x v="0"/>
    <n v="81189.52"/>
    <n v="54332.24"/>
    <s v="High"/>
    <s v="Carlos Mendez"/>
    <s v="Resolved"/>
    <n v="276"/>
    <d v="2024-11-07T00:00:00"/>
    <n v="70"/>
    <s v="Payment Adjusted"/>
    <n v="7130.62"/>
  </r>
  <r>
    <s v="DIS-0236"/>
    <s v="INV-1236"/>
    <s v="VND-009"/>
    <s v="Consulting Masters"/>
    <s v="Services"/>
    <s v="Central"/>
    <d v="2024-08-16T00:00:00"/>
    <x v="4"/>
    <n v="15659.84"/>
    <n v="10516.84"/>
    <s v="Critical"/>
    <s v="Sofia Ruiz"/>
    <s v="Resolved"/>
    <n v="289"/>
    <d v="2024-12-06T00:00:00"/>
    <n v="112"/>
    <s v="Partial Credit"/>
    <n v="2836.85"/>
  </r>
  <r>
    <s v="DIS-0237"/>
    <s v="INV-1237"/>
    <s v="VND-009"/>
    <s v="Consulting Masters"/>
    <s v="Services"/>
    <s v="Central"/>
    <d v="2025-02-15T00:00:00"/>
    <x v="2"/>
    <n v="73107.210000000006"/>
    <n v="30458"/>
    <s v="High"/>
    <s v="Ana Torres"/>
    <s v="Resolved"/>
    <n v="106"/>
    <d v="2025-04-24T00:00:00"/>
    <n v="68"/>
    <s v="Partial Credit"/>
    <n v="16396.96"/>
  </r>
  <r>
    <s v="DIS-0238"/>
    <s v="INV-1238"/>
    <s v="VND-009"/>
    <s v="Consulting Masters"/>
    <s v="Services"/>
    <s v="Central"/>
    <d v="2024-08-18T00:00:00"/>
    <x v="2"/>
    <n v="48925.94"/>
    <n v="32055.62"/>
    <s v="High"/>
    <s v="Marta Lopez"/>
    <s v="Closed"/>
    <n v="287"/>
    <d v="2024-11-24T00:00:00"/>
    <n v="98"/>
    <s v="Full Credit"/>
    <n v="32055.62"/>
  </r>
  <r>
    <s v="DIS-0239"/>
    <s v="INV-1239"/>
    <s v="VND-009"/>
    <s v="Consulting Masters"/>
    <s v="Services"/>
    <s v="Central"/>
    <d v="2025-04-24T00:00:00"/>
    <x v="5"/>
    <n v="9302.5300000000007"/>
    <n v="2868.87"/>
    <s v="Low"/>
    <s v="Carlos Mendez"/>
    <s v="Closed"/>
    <n v="38"/>
    <d v="2025-05-27T00:00:00"/>
    <n v="33"/>
    <s v="Full Credit"/>
    <n v="2868.87"/>
  </r>
  <r>
    <s v="DIS-0240"/>
    <s v="INV-1240"/>
    <s v="VND-009"/>
    <s v="Consulting Masters"/>
    <s v="Services"/>
    <s v="Central"/>
    <d v="2024-11-03T00:00:00"/>
    <x v="0"/>
    <n v="22098.23"/>
    <n v="3349.47"/>
    <s v="Medium"/>
    <s v="Valeria Moreno"/>
    <s v="Resolved"/>
    <n v="210"/>
    <d v="2025-02-28T00:00:00"/>
    <n v="117"/>
    <s v="Full Credit"/>
    <n v="3349.47"/>
  </r>
  <r>
    <s v="DIS-0241"/>
    <s v="INV-1241"/>
    <s v="VND-009"/>
    <s v="Consulting Masters"/>
    <s v="Services"/>
    <s v="Central"/>
    <d v="2024-11-19T00:00:00"/>
    <x v="3"/>
    <n v="40686.33"/>
    <n v="22867.66"/>
    <s v="High"/>
    <s v="Sofia Ruiz"/>
    <s v="Escalated"/>
    <n v="194"/>
    <d v="2025-01-05T00:00:00"/>
    <n v="47"/>
    <s v="Full Credit"/>
    <n v="22867.66"/>
  </r>
  <r>
    <s v="DIS-0242"/>
    <s v="INV-1242"/>
    <s v="VND-009"/>
    <s v="Consulting Masters"/>
    <s v="Services"/>
    <s v="Central"/>
    <d v="2024-08-29T00:00:00"/>
    <x v="5"/>
    <n v="42340.57"/>
    <n v="6160.99"/>
    <s v="Critical"/>
    <s v="Ana Torres"/>
    <s v="Closed"/>
    <n v="276"/>
    <d v="2024-10-30T00:00:00"/>
    <n v="62"/>
    <s v="Payment Adjusted"/>
    <n v="1957.83"/>
  </r>
  <r>
    <s v="DIS-0243"/>
    <s v="INV-1243"/>
    <s v="VND-009"/>
    <s v="Consulting Masters"/>
    <s v="Services"/>
    <s v="Central"/>
    <d v="2024-09-01T00:00:00"/>
    <x v="4"/>
    <n v="41031.26"/>
    <n v="9119.1200000000008"/>
    <s v="Medium"/>
    <s v="Marta Lopez"/>
    <s v="Resolved"/>
    <n v="273"/>
    <d v="2024-12-25T00:00:00"/>
    <n v="115"/>
    <s v="Payment Adjusted"/>
    <n v="1323.53"/>
  </r>
  <r>
    <s v="DIS-0244"/>
    <s v="INV-1244"/>
    <s v="VND-009"/>
    <s v="Consulting Masters"/>
    <s v="Services"/>
    <s v="Central"/>
    <d v="2024-06-27T00:00:00"/>
    <x v="5"/>
    <n v="44827.86"/>
    <n v="27996.799999999999"/>
    <s v="High"/>
    <s v="Luis Herrera"/>
    <s v="Resolved"/>
    <n v="339"/>
    <d v="2024-07-12T00:00:00"/>
    <n v="15"/>
    <s v="Partial Credit"/>
    <n v="13098.71"/>
  </r>
  <r>
    <s v="DIS-0245"/>
    <s v="INV-1245"/>
    <s v="VND-009"/>
    <s v="Consulting Masters"/>
    <s v="Services"/>
    <s v="Central"/>
    <d v="2024-06-21T00:00:00"/>
    <x v="2"/>
    <n v="71812.2"/>
    <n v="6212.28"/>
    <s v="High"/>
    <s v="Juan Vargas"/>
    <s v="Resolved"/>
    <n v="345"/>
    <d v="2024-07-21T00:00:00"/>
    <n v="30"/>
    <s v="Payment Adjusted"/>
    <n v="2549.6799999999998"/>
  </r>
  <r>
    <s v="DIS-0246"/>
    <s v="INV-1246"/>
    <s v="VND-009"/>
    <s v="Consulting Masters"/>
    <s v="Services"/>
    <s v="Central"/>
    <d v="2025-03-21T00:00:00"/>
    <x v="0"/>
    <n v="52870.11"/>
    <n v="14113.55"/>
    <s v="High"/>
    <s v="Diego Castillo"/>
    <s v="Resolved"/>
    <n v="72"/>
    <d v="2025-05-04T00:00:00"/>
    <n v="44"/>
    <s v="Full Credit"/>
    <n v="14113.55"/>
  </r>
  <r>
    <s v="DIS-0247"/>
    <s v="INV-1247"/>
    <s v="VND-009"/>
    <s v="Consulting Masters"/>
    <s v="Services"/>
    <s v="Central"/>
    <d v="2025-03-19T00:00:00"/>
    <x v="1"/>
    <n v="98641.08"/>
    <n v="43494.63"/>
    <s v="Medium"/>
    <s v="Ana Torres"/>
    <s v="Resolved"/>
    <n v="74"/>
    <d v="2025-04-13T00:00:00"/>
    <n v="25"/>
    <s v="Partial Credit"/>
    <n v="19847.48"/>
  </r>
  <r>
    <s v="DIS-0248"/>
    <s v="INV-1248"/>
    <s v="VND-009"/>
    <s v="Consulting Masters"/>
    <s v="Services"/>
    <s v="Central"/>
    <d v="2024-09-20T00:00:00"/>
    <x v="2"/>
    <n v="9453.99"/>
    <n v="2914.77"/>
    <s v="Medium"/>
    <s v="Diego Castillo"/>
    <s v="Escalated"/>
    <n v="254"/>
    <d v="2024-11-14T00:00:00"/>
    <n v="55"/>
    <s v="Full Credit"/>
    <n v="2914.77"/>
  </r>
  <r>
    <s v="DIS-0249"/>
    <s v="INV-1249"/>
    <s v="VND-009"/>
    <s v="Consulting Masters"/>
    <s v="Services"/>
    <s v="Central"/>
    <d v="2024-11-20T00:00:00"/>
    <x v="4"/>
    <n v="22468.5"/>
    <n v="10188.26"/>
    <s v="Low"/>
    <s v="Marta Lopez"/>
    <s v="Closed"/>
    <n v="193"/>
    <d v="2024-12-11T00:00:00"/>
    <n v="21"/>
    <s v="No Action"/>
    <n v="0"/>
  </r>
  <r>
    <s v="DIS-0250"/>
    <s v="INV-1250"/>
    <s v="VND-009"/>
    <s v="Consulting Masters"/>
    <s v="Services"/>
    <s v="Central"/>
    <d v="2025-05-02T00:00:00"/>
    <x v="4"/>
    <n v="58426.67"/>
    <n v="45329.73"/>
    <s v="Medium"/>
    <s v="Valeria Moreno"/>
    <s v="Open"/>
    <n v="30"/>
    <m/>
    <m/>
    <s v="Pending"/>
    <n v="0"/>
  </r>
  <r>
    <s v="DIS-0251"/>
    <s v="INV-1251"/>
    <s v="VND-009"/>
    <s v="Consulting Masters"/>
    <s v="Services"/>
    <s v="Central"/>
    <d v="2025-02-16T00:00:00"/>
    <x v="1"/>
    <n v="36374.980000000003"/>
    <n v="3975.89"/>
    <s v="Medium"/>
    <s v="Carlos Mendez"/>
    <s v="Resolved"/>
    <n v="105"/>
    <d v="2025-03-15T00:00:00"/>
    <n v="27"/>
    <s v="Full Credit"/>
    <n v="3975.89"/>
  </r>
  <r>
    <s v="DIS-0252"/>
    <s v="INV-1252"/>
    <s v="VND-010"/>
    <s v="AquaServ"/>
    <s v="Utilities"/>
    <s v="West"/>
    <d v="2025-04-24T00:00:00"/>
    <x v="3"/>
    <n v="22875.51"/>
    <n v="14211.92"/>
    <s v="High"/>
    <s v="Luis Herrera"/>
    <s v="Resolved"/>
    <n v="38"/>
    <d v="2025-05-18T00:00:00"/>
    <n v="24"/>
    <s v="Full Credit"/>
    <n v="14211.92"/>
  </r>
  <r>
    <s v="DIS-0253"/>
    <s v="INV-1253"/>
    <s v="VND-010"/>
    <s v="AquaServ"/>
    <s v="Utilities"/>
    <s v="West"/>
    <d v="2025-05-24T00:00:00"/>
    <x v="0"/>
    <n v="25121.74"/>
    <n v="4836.38"/>
    <s v="High"/>
    <s v="Juan Vargas"/>
    <s v="In Progress"/>
    <n v="8"/>
    <m/>
    <m/>
    <s v="Pending"/>
    <n v="0"/>
  </r>
  <r>
    <s v="DIS-0254"/>
    <s v="INV-1254"/>
    <s v="VND-010"/>
    <s v="AquaServ"/>
    <s v="Utilities"/>
    <s v="West"/>
    <d v="2024-06-09T00:00:00"/>
    <x v="3"/>
    <n v="62418.15"/>
    <n v="12694.91"/>
    <s v="Critical"/>
    <s v="Diego Castillo"/>
    <s v="Escalated"/>
    <n v="357"/>
    <d v="2024-07-30T00:00:00"/>
    <n v="51"/>
    <s v="Partial Credit"/>
    <n v="7480.26"/>
  </r>
  <r>
    <s v="DIS-0255"/>
    <s v="INV-1255"/>
    <s v="VND-010"/>
    <s v="AquaServ"/>
    <s v="Utilities"/>
    <s v="West"/>
    <d v="2024-12-25T00:00:00"/>
    <x v="5"/>
    <n v="29848.35"/>
    <n v="12972.46"/>
    <s v="Medium"/>
    <s v="Juan Vargas"/>
    <s v="Escalated"/>
    <n v="158"/>
    <d v="2025-02-06T00:00:00"/>
    <n v="43"/>
    <s v="No Action"/>
    <n v="0"/>
  </r>
  <r>
    <s v="DIS-0256"/>
    <s v="INV-1256"/>
    <s v="VND-010"/>
    <s v="AquaServ"/>
    <s v="Utilities"/>
    <s v="West"/>
    <d v="2024-11-23T00:00:00"/>
    <x v="0"/>
    <n v="34727.589999999997"/>
    <n v="2927.07"/>
    <s v="High"/>
    <s v="Sofia Ruiz"/>
    <s v="Open"/>
    <n v="190"/>
    <m/>
    <m/>
    <s v="Pending"/>
    <n v="0"/>
  </r>
  <r>
    <s v="DIS-0257"/>
    <s v="INV-1257"/>
    <s v="VND-010"/>
    <s v="AquaServ"/>
    <s v="Utilities"/>
    <s v="West"/>
    <d v="2024-08-21T00:00:00"/>
    <x v="4"/>
    <n v="93802.03"/>
    <n v="45433.69"/>
    <s v="Medium"/>
    <s v="Luis Herrera"/>
    <s v="Resolved"/>
    <n v="284"/>
    <d v="2024-10-11T00:00:00"/>
    <n v="51"/>
    <s v="Partial Credit"/>
    <n v="15785.39"/>
  </r>
  <r>
    <s v="DIS-0258"/>
    <s v="INV-1258"/>
    <s v="VND-010"/>
    <s v="AquaServ"/>
    <s v="Utilities"/>
    <s v="West"/>
    <d v="2024-08-23T00:00:00"/>
    <x v="2"/>
    <n v="67187.759999999995"/>
    <n v="37869.370000000003"/>
    <s v="Medium"/>
    <s v="Juan Vargas"/>
    <s v="Resolved"/>
    <n v="282"/>
    <d v="2024-11-27T00:00:00"/>
    <n v="96"/>
    <s v="Payment Adjusted"/>
    <n v="6350.93"/>
  </r>
  <r>
    <s v="DIS-0259"/>
    <s v="INV-1259"/>
    <s v="VND-010"/>
    <s v="AquaServ"/>
    <s v="Utilities"/>
    <s v="West"/>
    <d v="2024-08-25T00:00:00"/>
    <x v="0"/>
    <n v="51390.05"/>
    <n v="37909.129999999997"/>
    <s v="Medium"/>
    <s v="Ana Torres"/>
    <s v="Resolved"/>
    <n v="280"/>
    <d v="2024-12-13T00:00:00"/>
    <n v="110"/>
    <s v="No Action"/>
    <n v="0"/>
  </r>
  <r>
    <s v="DIS-0260"/>
    <s v="INV-1260"/>
    <s v="VND-010"/>
    <s v="AquaServ"/>
    <s v="Utilities"/>
    <s v="West"/>
    <d v="2024-06-23T00:00:00"/>
    <x v="0"/>
    <n v="9608.8700000000008"/>
    <n v="526.45000000000005"/>
    <s v="Low"/>
    <s v="Luis Herrera"/>
    <s v="In Progress"/>
    <n v="343"/>
    <m/>
    <m/>
    <s v="Pending"/>
    <n v="0"/>
  </r>
  <r>
    <s v="DIS-0261"/>
    <s v="INV-1261"/>
    <s v="VND-010"/>
    <s v="AquaServ"/>
    <s v="Utilities"/>
    <s v="West"/>
    <d v="2025-03-15T00:00:00"/>
    <x v="3"/>
    <n v="5868.44"/>
    <n v="2519.3200000000002"/>
    <s v="Medium"/>
    <s v="Juan Vargas"/>
    <s v="Resolved"/>
    <n v="78"/>
    <d v="2025-03-20T00:00:00"/>
    <n v="5"/>
    <s v="Full Credit"/>
    <n v="2519.3200000000002"/>
  </r>
  <r>
    <s v="DIS-0262"/>
    <s v="INV-1262"/>
    <s v="VND-010"/>
    <s v="AquaServ"/>
    <s v="Utilities"/>
    <s v="West"/>
    <d v="2024-08-22T00:00:00"/>
    <x v="3"/>
    <n v="44077.16"/>
    <n v="2756.79"/>
    <s v="High"/>
    <s v="Marta Lopez"/>
    <s v="Open"/>
    <n v="283"/>
    <m/>
    <m/>
    <s v="Pending"/>
    <n v="0"/>
  </r>
  <r>
    <s v="DIS-0263"/>
    <s v="INV-1263"/>
    <s v="VND-010"/>
    <s v="AquaServ"/>
    <s v="Utilities"/>
    <s v="West"/>
    <d v="2024-06-08T00:00:00"/>
    <x v="5"/>
    <n v="69033.13"/>
    <n v="45190.87"/>
    <s v="Critical"/>
    <s v="Carlos Mendez"/>
    <s v="Resolved"/>
    <n v="358"/>
    <d v="2024-07-11T00:00:00"/>
    <n v="33"/>
    <s v="Full Credit"/>
    <n v="45190.87"/>
  </r>
  <r>
    <s v="DIS-0264"/>
    <s v="INV-1264"/>
    <s v="VND-010"/>
    <s v="AquaServ"/>
    <s v="Utilities"/>
    <s v="West"/>
    <d v="2024-09-04T00:00:00"/>
    <x v="5"/>
    <n v="28979.73"/>
    <n v="9152.69"/>
    <s v="High"/>
    <s v="Diego Castillo"/>
    <s v="Closed"/>
    <n v="270"/>
    <d v="2024-11-04T00:00:00"/>
    <n v="61"/>
    <s v="Partial Credit"/>
    <n v="7268.52"/>
  </r>
  <r>
    <s v="DIS-0265"/>
    <s v="INV-1265"/>
    <s v="VND-010"/>
    <s v="AquaServ"/>
    <s v="Utilities"/>
    <s v="West"/>
    <d v="2025-02-05T00:00:00"/>
    <x v="0"/>
    <n v="33497.589999999997"/>
    <n v="22478.44"/>
    <s v="Low"/>
    <s v="Ana Torres"/>
    <s v="In Progress"/>
    <n v="116"/>
    <m/>
    <m/>
    <s v="Pending"/>
    <n v="0"/>
  </r>
  <r>
    <s v="DIS-0266"/>
    <s v="INV-1266"/>
    <s v="VND-010"/>
    <s v="AquaServ"/>
    <s v="Utilities"/>
    <s v="West"/>
    <d v="2024-11-18T00:00:00"/>
    <x v="0"/>
    <n v="40831.11"/>
    <n v="16618.419999999998"/>
    <s v="Medium"/>
    <s v="Sofia Ruiz"/>
    <s v="In Progress"/>
    <n v="195"/>
    <m/>
    <m/>
    <s v="Pending"/>
    <n v="0"/>
  </r>
  <r>
    <s v="DIS-0267"/>
    <s v="INV-1267"/>
    <s v="VND-010"/>
    <s v="AquaServ"/>
    <s v="Utilities"/>
    <s v="West"/>
    <d v="2024-10-21T00:00:00"/>
    <x v="5"/>
    <n v="66266.19"/>
    <n v="19777.34"/>
    <s v="Critical"/>
    <s v="Ana Torres"/>
    <s v="Resolved"/>
    <n v="223"/>
    <d v="2025-02-16T00:00:00"/>
    <n v="118"/>
    <s v="No Action"/>
    <n v="0"/>
  </r>
  <r>
    <s v="DIS-0268"/>
    <s v="INV-1268"/>
    <s v="VND-010"/>
    <s v="AquaServ"/>
    <s v="Utilities"/>
    <s v="West"/>
    <d v="2024-08-14T00:00:00"/>
    <x v="1"/>
    <n v="50172.53"/>
    <n v="4260.7299999999996"/>
    <s v="Low"/>
    <s v="Ana Torres"/>
    <s v="Resolved"/>
    <n v="291"/>
    <d v="2024-12-03T00:00:00"/>
    <n v="111"/>
    <s v="Full Credit"/>
    <n v="4260.7299999999996"/>
  </r>
  <r>
    <s v="DIS-0269"/>
    <s v="INV-1269"/>
    <s v="VND-010"/>
    <s v="AquaServ"/>
    <s v="Utilities"/>
    <s v="West"/>
    <d v="2025-02-14T00:00:00"/>
    <x v="2"/>
    <n v="60768.43"/>
    <n v="37323.410000000003"/>
    <s v="High"/>
    <s v="Carlos Mendez"/>
    <s v="Resolved"/>
    <n v="107"/>
    <d v="2025-04-30T00:00:00"/>
    <n v="75"/>
    <s v="Full Credit"/>
    <n v="37323.410000000003"/>
  </r>
  <r>
    <s v="DIS-0270"/>
    <s v="INV-1270"/>
    <s v="VND-010"/>
    <s v="AquaServ"/>
    <s v="Utilities"/>
    <s v="West"/>
    <d v="2024-11-13T00:00:00"/>
    <x v="0"/>
    <n v="69318.320000000007"/>
    <n v="31569.08"/>
    <s v="Medium"/>
    <s v="Sofia Ruiz"/>
    <s v="Escalated"/>
    <n v="200"/>
    <d v="2025-02-12T00:00:00"/>
    <n v="91"/>
    <s v="Payment Adjusted"/>
    <n v="9480.74"/>
  </r>
  <r>
    <s v="DIS-0271"/>
    <s v="INV-1271"/>
    <s v="VND-010"/>
    <s v="AquaServ"/>
    <s v="Utilities"/>
    <s v="West"/>
    <d v="2024-12-05T00:00:00"/>
    <x v="1"/>
    <n v="10101.16"/>
    <n v="3816.38"/>
    <s v="High"/>
    <s v="Valeria Moreno"/>
    <s v="Closed"/>
    <n v="178"/>
    <d v="2025-01-18T00:00:00"/>
    <n v="44"/>
    <s v="Full Credit"/>
    <n v="3816.38"/>
  </r>
  <r>
    <s v="DIS-0272"/>
    <s v="INV-1272"/>
    <s v="VND-010"/>
    <s v="AquaServ"/>
    <s v="Utilities"/>
    <s v="West"/>
    <d v="2025-01-12T00:00:00"/>
    <x v="3"/>
    <n v="79437.070000000007"/>
    <n v="30814.639999999999"/>
    <s v="Low"/>
    <s v="Valeria Moreno"/>
    <s v="Resolved"/>
    <n v="140"/>
    <d v="2025-04-12T00:00:00"/>
    <n v="90"/>
    <s v="Partial Credit"/>
    <n v="13190.01"/>
  </r>
  <r>
    <s v="DIS-0273"/>
    <s v="INV-1273"/>
    <s v="VND-011"/>
    <s v="SteelBuild Co"/>
    <s v="Materials"/>
    <s v="Central"/>
    <d v="2025-01-25T00:00:00"/>
    <x v="0"/>
    <n v="72745.31"/>
    <n v="8113.18"/>
    <s v="Low"/>
    <s v="Sofia Ruiz"/>
    <s v="Escalated"/>
    <n v="127"/>
    <d v="2025-03-09T00:00:00"/>
    <n v="43"/>
    <s v="Full Credit"/>
    <n v="8113.18"/>
  </r>
  <r>
    <s v="DIS-0274"/>
    <s v="INV-1274"/>
    <s v="VND-011"/>
    <s v="SteelBuild Co"/>
    <s v="Materials"/>
    <s v="Central"/>
    <d v="2025-04-15T00:00:00"/>
    <x v="1"/>
    <n v="5493.55"/>
    <n v="1544.79"/>
    <s v="Medium"/>
    <s v="Carlos Mendez"/>
    <s v="Open"/>
    <n v="47"/>
    <m/>
    <m/>
    <s v="Pending"/>
    <n v="0"/>
  </r>
  <r>
    <s v="DIS-0275"/>
    <s v="INV-1275"/>
    <s v="VND-011"/>
    <s v="SteelBuild Co"/>
    <s v="Materials"/>
    <s v="Central"/>
    <d v="2025-02-25T00:00:00"/>
    <x v="5"/>
    <n v="45943.05"/>
    <n v="21489.35"/>
    <s v="Medium"/>
    <s v="Ana Torres"/>
    <s v="In Progress"/>
    <n v="96"/>
    <m/>
    <m/>
    <s v="Pending"/>
    <n v="0"/>
  </r>
  <r>
    <s v="DIS-0276"/>
    <s v="INV-1276"/>
    <s v="VND-011"/>
    <s v="SteelBuild Co"/>
    <s v="Materials"/>
    <s v="Central"/>
    <d v="2024-08-21T00:00:00"/>
    <x v="2"/>
    <n v="13841.1"/>
    <n v="6900.24"/>
    <s v="Medium"/>
    <s v="Ana Torres"/>
    <s v="Resolved"/>
    <n v="284"/>
    <d v="2024-10-12T00:00:00"/>
    <n v="52"/>
    <s v="Payment Adjusted"/>
    <n v="2690.66"/>
  </r>
  <r>
    <s v="DIS-0277"/>
    <s v="INV-1277"/>
    <s v="VND-011"/>
    <s v="SteelBuild Co"/>
    <s v="Materials"/>
    <s v="Central"/>
    <d v="2024-08-18T00:00:00"/>
    <x v="4"/>
    <n v="90994.72"/>
    <n v="71306.17"/>
    <s v="Medium"/>
    <s v="Valeria Moreno"/>
    <s v="Resolved"/>
    <n v="287"/>
    <d v="2024-09-24T00:00:00"/>
    <n v="37"/>
    <s v="Full Credit"/>
    <n v="71306.17"/>
  </r>
  <r>
    <s v="DIS-0278"/>
    <s v="INV-1278"/>
    <s v="VND-011"/>
    <s v="SteelBuild Co"/>
    <s v="Materials"/>
    <s v="Central"/>
    <d v="2024-09-21T00:00:00"/>
    <x v="1"/>
    <n v="18863.810000000001"/>
    <n v="3308.82"/>
    <s v="Medium"/>
    <s v="Juan Vargas"/>
    <s v="Escalated"/>
    <n v="253"/>
    <d v="2024-11-09T00:00:00"/>
    <n v="49"/>
    <s v="Full Credit"/>
    <n v="3308.82"/>
  </r>
  <r>
    <s v="DIS-0279"/>
    <s v="INV-1279"/>
    <s v="VND-011"/>
    <s v="SteelBuild Co"/>
    <s v="Materials"/>
    <s v="Central"/>
    <d v="2025-01-25T00:00:00"/>
    <x v="2"/>
    <n v="73485.45"/>
    <n v="30999.97"/>
    <s v="Medium"/>
    <s v="Carlos Mendez"/>
    <s v="Resolved"/>
    <n v="127"/>
    <d v="2025-01-28T00:00:00"/>
    <n v="3"/>
    <s v="Pending"/>
    <n v="0"/>
  </r>
  <r>
    <s v="DIS-0280"/>
    <s v="INV-1280"/>
    <s v="VND-011"/>
    <s v="SteelBuild Co"/>
    <s v="Materials"/>
    <s v="Central"/>
    <d v="2024-12-12T00:00:00"/>
    <x v="2"/>
    <n v="84953.27"/>
    <n v="28452.33"/>
    <s v="High"/>
    <s v="Diego Castillo"/>
    <s v="Resolved"/>
    <n v="171"/>
    <d v="2025-03-30T00:00:00"/>
    <n v="108"/>
    <s v="No Action"/>
    <n v="0"/>
  </r>
  <r>
    <s v="DIS-0281"/>
    <s v="INV-1281"/>
    <s v="VND-011"/>
    <s v="SteelBuild Co"/>
    <s v="Materials"/>
    <s v="Central"/>
    <d v="2024-07-31T00:00:00"/>
    <x v="4"/>
    <n v="17931.82"/>
    <n v="5209.17"/>
    <s v="Critical"/>
    <s v="Juan Vargas"/>
    <s v="Resolved"/>
    <n v="305"/>
    <d v="2024-09-22T00:00:00"/>
    <n v="53"/>
    <s v="Pending"/>
    <n v="0"/>
  </r>
  <r>
    <s v="DIS-0282"/>
    <s v="INV-1282"/>
    <s v="VND-011"/>
    <s v="SteelBuild Co"/>
    <s v="Materials"/>
    <s v="Central"/>
    <d v="2025-01-02T00:00:00"/>
    <x v="4"/>
    <n v="74813.06"/>
    <n v="39252.68"/>
    <s v="Critical"/>
    <s v="Diego Castillo"/>
    <s v="Resolved"/>
    <n v="150"/>
    <d v="2025-04-19T00:00:00"/>
    <n v="107"/>
    <s v="Payment Adjusted"/>
    <n v="9656.4"/>
  </r>
  <r>
    <s v="DIS-0283"/>
    <s v="INV-1283"/>
    <s v="VND-011"/>
    <s v="SteelBuild Co"/>
    <s v="Materials"/>
    <s v="Central"/>
    <d v="2024-08-16T00:00:00"/>
    <x v="3"/>
    <n v="23981"/>
    <n v="19135.61"/>
    <s v="Low"/>
    <s v="Ana Torres"/>
    <s v="Closed"/>
    <n v="289"/>
    <d v="2024-10-17T00:00:00"/>
    <n v="62"/>
    <s v="Pending"/>
    <n v="0"/>
  </r>
  <r>
    <s v="DIS-0284"/>
    <s v="INV-1284"/>
    <s v="VND-011"/>
    <s v="SteelBuild Co"/>
    <s v="Materials"/>
    <s v="Central"/>
    <d v="2025-02-13T00:00:00"/>
    <x v="2"/>
    <n v="46653.22"/>
    <n v="12526.32"/>
    <s v="High"/>
    <s v="Juan Vargas"/>
    <s v="Resolved"/>
    <n v="108"/>
    <d v="2025-03-26T00:00:00"/>
    <n v="41"/>
    <s v="Full Credit"/>
    <n v="12526.32"/>
  </r>
  <r>
    <s v="DIS-0285"/>
    <s v="INV-1285"/>
    <s v="VND-011"/>
    <s v="SteelBuild Co"/>
    <s v="Materials"/>
    <s v="Central"/>
    <d v="2024-06-28T00:00:00"/>
    <x v="2"/>
    <n v="19643.61"/>
    <n v="7216"/>
    <s v="Medium"/>
    <s v="Juan Vargas"/>
    <s v="Resolved"/>
    <n v="338"/>
    <d v="2024-09-07T00:00:00"/>
    <n v="71"/>
    <s v="Partial Credit"/>
    <n v="5428.13"/>
  </r>
  <r>
    <s v="DIS-0286"/>
    <s v="INV-1286"/>
    <s v="VND-011"/>
    <s v="SteelBuild Co"/>
    <s v="Materials"/>
    <s v="Central"/>
    <d v="2024-06-11T00:00:00"/>
    <x v="0"/>
    <n v="44738.57"/>
    <n v="3470.54"/>
    <s v="Critical"/>
    <s v="Carlos Mendez"/>
    <s v="Resolved"/>
    <n v="355"/>
    <d v="2024-07-15T00:00:00"/>
    <n v="34"/>
    <s v="Payment Adjusted"/>
    <n v="839.88"/>
  </r>
  <r>
    <s v="DIS-0287"/>
    <s v="INV-1287"/>
    <s v="VND-011"/>
    <s v="SteelBuild Co"/>
    <s v="Materials"/>
    <s v="Central"/>
    <d v="2024-07-04T00:00:00"/>
    <x v="0"/>
    <n v="63204.4"/>
    <n v="29858.720000000001"/>
    <s v="Medium"/>
    <s v="Valeria Moreno"/>
    <s v="Closed"/>
    <n v="332"/>
    <d v="2024-08-18T00:00:00"/>
    <n v="45"/>
    <s v="Pending"/>
    <n v="0"/>
  </r>
  <r>
    <s v="DIS-0288"/>
    <s v="INV-1288"/>
    <s v="VND-011"/>
    <s v="SteelBuild Co"/>
    <s v="Materials"/>
    <s v="Central"/>
    <d v="2024-10-23T00:00:00"/>
    <x v="0"/>
    <n v="15064.73"/>
    <n v="1867.35"/>
    <s v="Low"/>
    <s v="Luis Herrera"/>
    <s v="Resolved"/>
    <n v="221"/>
    <d v="2024-12-15T00:00:00"/>
    <n v="53"/>
    <s v="Partial Credit"/>
    <n v="1134.8499999999999"/>
  </r>
  <r>
    <s v="DIS-0289"/>
    <s v="INV-1289"/>
    <s v="VND-011"/>
    <s v="SteelBuild Co"/>
    <s v="Materials"/>
    <s v="Central"/>
    <d v="2024-06-12T00:00:00"/>
    <x v="5"/>
    <n v="52544.25"/>
    <n v="16221.75"/>
    <s v="Low"/>
    <s v="Marta Lopez"/>
    <s v="Resolved"/>
    <n v="354"/>
    <d v="2024-06-25T00:00:00"/>
    <n v="13"/>
    <s v="Full Credit"/>
    <n v="16221.75"/>
  </r>
  <r>
    <s v="DIS-0290"/>
    <s v="INV-1290"/>
    <s v="VND-011"/>
    <s v="SteelBuild Co"/>
    <s v="Materials"/>
    <s v="Central"/>
    <d v="2025-03-20T00:00:00"/>
    <x v="3"/>
    <n v="38091.22"/>
    <n v="11705.43"/>
    <s v="High"/>
    <s v="Juan Vargas"/>
    <s v="Resolved"/>
    <n v="73"/>
    <d v="2025-04-04T00:00:00"/>
    <n v="15"/>
    <s v="Partial Credit"/>
    <n v="7234.63"/>
  </r>
  <r>
    <s v="DIS-0291"/>
    <s v="INV-1291"/>
    <s v="VND-011"/>
    <s v="SteelBuild Co"/>
    <s v="Materials"/>
    <s v="Central"/>
    <d v="2024-12-19T00:00:00"/>
    <x v="5"/>
    <n v="11381.56"/>
    <n v="950.5"/>
    <s v="High"/>
    <s v="Diego Castillo"/>
    <s v="Resolved"/>
    <n v="164"/>
    <d v="2025-03-18T00:00:00"/>
    <n v="89"/>
    <s v="No Action"/>
    <n v="0"/>
  </r>
  <r>
    <s v="DIS-0292"/>
    <s v="INV-1292"/>
    <s v="VND-011"/>
    <s v="SteelBuild Co"/>
    <s v="Materials"/>
    <s v="Central"/>
    <d v="2025-01-27T00:00:00"/>
    <x v="2"/>
    <n v="54019.42"/>
    <n v="25061.38"/>
    <s v="Medium"/>
    <s v="Juan Vargas"/>
    <s v="Resolved"/>
    <n v="125"/>
    <d v="2025-03-22T00:00:00"/>
    <n v="54"/>
    <s v="Partial Credit"/>
    <n v="7814.94"/>
  </r>
  <r>
    <s v="DIS-0293"/>
    <s v="INV-1293"/>
    <s v="VND-011"/>
    <s v="SteelBuild Co"/>
    <s v="Materials"/>
    <s v="Central"/>
    <d v="2024-06-29T00:00:00"/>
    <x v="4"/>
    <n v="46052.77"/>
    <n v="3310.93"/>
    <s v="Medium"/>
    <s v="Juan Vargas"/>
    <s v="Resolved"/>
    <n v="337"/>
    <d v="2024-08-20T00:00:00"/>
    <n v="52"/>
    <s v="Full Credit"/>
    <n v="3310.93"/>
  </r>
  <r>
    <s v="DIS-0294"/>
    <s v="INV-1294"/>
    <s v="VND-011"/>
    <s v="SteelBuild Co"/>
    <s v="Materials"/>
    <s v="Central"/>
    <d v="2025-02-11T00:00:00"/>
    <x v="5"/>
    <n v="24549.53"/>
    <n v="15079.4"/>
    <s v="High"/>
    <s v="Carlos Mendez"/>
    <s v="Escalated"/>
    <n v="110"/>
    <d v="2025-04-23T00:00:00"/>
    <n v="71"/>
    <s v="Full Credit"/>
    <n v="15079.4"/>
  </r>
  <r>
    <s v="DIS-0295"/>
    <s v="INV-1295"/>
    <s v="VND-011"/>
    <s v="SteelBuild Co"/>
    <s v="Materials"/>
    <s v="Central"/>
    <d v="2024-12-16T00:00:00"/>
    <x v="2"/>
    <n v="23722.06"/>
    <n v="3213.54"/>
    <s v="High"/>
    <s v="Diego Castillo"/>
    <s v="Resolved"/>
    <n v="167"/>
    <d v="2025-03-07T00:00:00"/>
    <n v="81"/>
    <s v="Full Credit"/>
    <n v="3213.54"/>
  </r>
  <r>
    <s v="DIS-0296"/>
    <s v="INV-1296"/>
    <s v="VND-011"/>
    <s v="SteelBuild Co"/>
    <s v="Materials"/>
    <s v="Central"/>
    <d v="2025-04-03T00:00:00"/>
    <x v="0"/>
    <n v="38052.839999999997"/>
    <n v="26033.41"/>
    <s v="Medium"/>
    <s v="Marta Lopez"/>
    <s v="Closed"/>
    <n v="59"/>
    <d v="2025-05-13T00:00:00"/>
    <n v="40"/>
    <s v="Full Credit"/>
    <n v="26033.41"/>
  </r>
  <r>
    <s v="DIS-0297"/>
    <s v="INV-1297"/>
    <s v="VND-011"/>
    <s v="SteelBuild Co"/>
    <s v="Materials"/>
    <s v="Central"/>
    <d v="2025-03-24T00:00:00"/>
    <x v="1"/>
    <n v="34752.65"/>
    <n v="7955.91"/>
    <s v="Low"/>
    <s v="Sofia Ruiz"/>
    <s v="Resolved"/>
    <n v="69"/>
    <d v="2025-05-19T00:00:00"/>
    <n v="56"/>
    <s v="Partial Credit"/>
    <n v="4335.05"/>
  </r>
  <r>
    <s v="DIS-0298"/>
    <s v="INV-1298"/>
    <s v="VND-011"/>
    <s v="SteelBuild Co"/>
    <s v="Materials"/>
    <s v="Central"/>
    <d v="2024-10-27T00:00:00"/>
    <x v="0"/>
    <n v="22646.6"/>
    <n v="11926.29"/>
    <s v="High"/>
    <s v="Sofia Ruiz"/>
    <s v="Resolved"/>
    <n v="217"/>
    <d v="2024-12-31T00:00:00"/>
    <n v="65"/>
    <s v="Full Credit"/>
    <n v="11926.29"/>
  </r>
  <r>
    <s v="DIS-0299"/>
    <s v="INV-1299"/>
    <s v="VND-011"/>
    <s v="SteelBuild Co"/>
    <s v="Materials"/>
    <s v="Central"/>
    <d v="2025-02-25T00:00:00"/>
    <x v="1"/>
    <n v="34885.1"/>
    <n v="13544.17"/>
    <s v="Low"/>
    <s v="Ana Torres"/>
    <s v="Resolved"/>
    <n v="96"/>
    <d v="2025-03-24T00:00:00"/>
    <n v="27"/>
    <s v="No Action"/>
    <n v="0"/>
  </r>
  <r>
    <s v="DIS-0300"/>
    <s v="INV-1300"/>
    <s v="VND-011"/>
    <s v="SteelBuild Co"/>
    <s v="Materials"/>
    <s v="Central"/>
    <d v="2024-08-17T00:00:00"/>
    <x v="2"/>
    <n v="53016.61"/>
    <n v="22332.05"/>
    <s v="High"/>
    <s v="Juan Vargas"/>
    <s v="Resolved"/>
    <n v="288"/>
    <d v="2024-08-30T00:00:00"/>
    <n v="13"/>
    <s v="Partial Credit"/>
    <n v="15130.6"/>
  </r>
  <r>
    <s v="DIS-0301"/>
    <s v="INV-1301"/>
    <s v="VND-011"/>
    <s v="SteelBuild Co"/>
    <s v="Materials"/>
    <s v="Central"/>
    <d v="2025-02-08T00:00:00"/>
    <x v="4"/>
    <n v="32748.54"/>
    <n v="8388.2000000000007"/>
    <s v="Medium"/>
    <s v="Juan Vargas"/>
    <s v="Resolved"/>
    <n v="113"/>
    <d v="2025-05-20T00:00:00"/>
    <n v="101"/>
    <s v="Payment Adjusted"/>
    <n v="2683.31"/>
  </r>
  <r>
    <s v="DIS-0302"/>
    <s v="INV-1302"/>
    <s v="VND-012"/>
    <s v="DataCenter Pro"/>
    <s v="IT"/>
    <s v="North"/>
    <d v="2025-01-14T00:00:00"/>
    <x v="5"/>
    <n v="78635.740000000005"/>
    <n v="52486.38"/>
    <s v="Medium"/>
    <s v="Juan Vargas"/>
    <s v="Resolved"/>
    <n v="138"/>
    <d v="2025-03-12T00:00:00"/>
    <n v="57"/>
    <s v="Full Credit"/>
    <n v="52486.38"/>
  </r>
  <r>
    <s v="DIS-0303"/>
    <s v="INV-1303"/>
    <s v="VND-012"/>
    <s v="DataCenter Pro"/>
    <s v="IT"/>
    <s v="North"/>
    <d v="2024-07-01T00:00:00"/>
    <x v="2"/>
    <n v="76377.820000000007"/>
    <n v="20872.66"/>
    <s v="Critical"/>
    <s v="Marta Lopez"/>
    <s v="Resolved"/>
    <n v="335"/>
    <d v="2024-10-16T00:00:00"/>
    <n v="107"/>
    <s v="Full Credit"/>
    <n v="20872.66"/>
  </r>
  <r>
    <s v="DIS-0304"/>
    <s v="INV-1304"/>
    <s v="VND-012"/>
    <s v="DataCenter Pro"/>
    <s v="IT"/>
    <s v="North"/>
    <d v="2025-04-01T00:00:00"/>
    <x v="3"/>
    <n v="78685.009999999995"/>
    <n v="17917.330000000002"/>
    <s v="High"/>
    <s v="Diego Castillo"/>
    <s v="Closed"/>
    <n v="61"/>
    <d v="2025-05-13T00:00:00"/>
    <n v="42"/>
    <s v="Partial Credit"/>
    <n v="5367.83"/>
  </r>
  <r>
    <s v="DIS-0305"/>
    <s v="INV-1305"/>
    <s v="VND-012"/>
    <s v="DataCenter Pro"/>
    <s v="IT"/>
    <s v="North"/>
    <d v="2025-03-21T00:00:00"/>
    <x v="3"/>
    <n v="79560.679999999993"/>
    <n v="52521.78"/>
    <s v="High"/>
    <s v="Diego Castillo"/>
    <s v="Resolved"/>
    <n v="72"/>
    <d v="2025-05-31T00:00:00"/>
    <n v="71"/>
    <s v="Full Credit"/>
    <n v="52521.78"/>
  </r>
  <r>
    <s v="DIS-0306"/>
    <s v="INV-1306"/>
    <s v="VND-012"/>
    <s v="DataCenter Pro"/>
    <s v="IT"/>
    <s v="North"/>
    <d v="2024-06-05T00:00:00"/>
    <x v="3"/>
    <n v="32800.300000000003"/>
    <n v="15729.44"/>
    <s v="Critical"/>
    <s v="Carlos Mendez"/>
    <s v="Resolved"/>
    <n v="361"/>
    <d v="2024-09-12T00:00:00"/>
    <n v="99"/>
    <s v="Payment Adjusted"/>
    <n v="7353.63"/>
  </r>
  <r>
    <s v="DIS-0307"/>
    <s v="INV-1307"/>
    <s v="VND-012"/>
    <s v="DataCenter Pro"/>
    <s v="IT"/>
    <s v="North"/>
    <d v="2025-01-10T00:00:00"/>
    <x v="4"/>
    <n v="87369.52"/>
    <n v="12683.09"/>
    <s v="High"/>
    <s v="Sofia Ruiz"/>
    <s v="Escalated"/>
    <n v="142"/>
    <d v="2025-04-29T00:00:00"/>
    <n v="109"/>
    <s v="Full Credit"/>
    <n v="12683.09"/>
  </r>
  <r>
    <s v="DIS-0308"/>
    <s v="INV-1308"/>
    <s v="VND-012"/>
    <s v="DataCenter Pro"/>
    <s v="IT"/>
    <s v="North"/>
    <d v="2024-06-19T00:00:00"/>
    <x v="0"/>
    <n v="42306.57"/>
    <n v="6626.42"/>
    <s v="Medium"/>
    <s v="Valeria Moreno"/>
    <s v="Resolved"/>
    <n v="347"/>
    <d v="2024-07-01T00:00:00"/>
    <n v="12"/>
    <s v="Partial Credit"/>
    <n v="4824.53"/>
  </r>
  <r>
    <s v="DIS-0309"/>
    <s v="INV-1309"/>
    <s v="VND-012"/>
    <s v="DataCenter Pro"/>
    <s v="IT"/>
    <s v="North"/>
    <d v="2025-04-14T00:00:00"/>
    <x v="1"/>
    <n v="43270.82"/>
    <n v="26496.959999999999"/>
    <s v="High"/>
    <s v="Juan Vargas"/>
    <s v="Closed"/>
    <n v="48"/>
    <d v="2025-05-07T00:00:00"/>
    <n v="23"/>
    <s v="Partial Credit"/>
    <n v="19113.439999999999"/>
  </r>
  <r>
    <s v="DIS-0310"/>
    <s v="INV-1310"/>
    <s v="VND-012"/>
    <s v="DataCenter Pro"/>
    <s v="IT"/>
    <s v="North"/>
    <d v="2025-04-14T00:00:00"/>
    <x v="1"/>
    <n v="74438.53"/>
    <n v="29316.639999999999"/>
    <s v="High"/>
    <s v="Carlos Mendez"/>
    <s v="Escalated"/>
    <n v="48"/>
    <d v="2025-05-12T00:00:00"/>
    <n v="28"/>
    <s v="Full Credit"/>
    <n v="29316.639999999999"/>
  </r>
  <r>
    <s v="DIS-0311"/>
    <s v="INV-1311"/>
    <s v="VND-012"/>
    <s v="DataCenter Pro"/>
    <s v="IT"/>
    <s v="North"/>
    <d v="2024-10-24T00:00:00"/>
    <x v="1"/>
    <n v="83360.53"/>
    <n v="35097.800000000003"/>
    <s v="Medium"/>
    <s v="Diego Castillo"/>
    <s v="Resolved"/>
    <n v="220"/>
    <d v="2024-11-12T00:00:00"/>
    <n v="19"/>
    <s v="Partial Credit"/>
    <n v="17240.14"/>
  </r>
  <r>
    <s v="DIS-0312"/>
    <s v="INV-1312"/>
    <s v="VND-012"/>
    <s v="DataCenter Pro"/>
    <s v="IT"/>
    <s v="North"/>
    <d v="2024-12-07T00:00:00"/>
    <x v="0"/>
    <n v="89944.69"/>
    <n v="55917.760000000002"/>
    <s v="Low"/>
    <s v="Juan Vargas"/>
    <s v="Open"/>
    <n v="176"/>
    <m/>
    <m/>
    <s v="Pending"/>
    <n v="0"/>
  </r>
  <r>
    <s v="DIS-0313"/>
    <s v="INV-1313"/>
    <s v="VND-012"/>
    <s v="DataCenter Pro"/>
    <s v="IT"/>
    <s v="North"/>
    <d v="2025-03-12T00:00:00"/>
    <x v="4"/>
    <n v="46922.17"/>
    <n v="2369.9"/>
    <s v="Critical"/>
    <s v="Sofia Ruiz"/>
    <s v="Closed"/>
    <n v="81"/>
    <d v="2025-04-22T00:00:00"/>
    <n v="41"/>
    <s v="Full Credit"/>
    <n v="2369.9"/>
  </r>
  <r>
    <s v="DIS-0314"/>
    <s v="INV-1314"/>
    <s v="VND-012"/>
    <s v="DataCenter Pro"/>
    <s v="IT"/>
    <s v="North"/>
    <d v="2025-01-11T00:00:00"/>
    <x v="0"/>
    <n v="13867.3"/>
    <n v="4442.0600000000004"/>
    <s v="Low"/>
    <s v="Sofia Ruiz"/>
    <s v="In Progress"/>
    <n v="141"/>
    <m/>
    <m/>
    <s v="Pending"/>
    <n v="0"/>
  </r>
  <r>
    <s v="DIS-0315"/>
    <s v="INV-1315"/>
    <s v="VND-012"/>
    <s v="DataCenter Pro"/>
    <s v="IT"/>
    <s v="North"/>
    <d v="2024-07-15T00:00:00"/>
    <x v="0"/>
    <n v="34023.379999999997"/>
    <n v="19549.189999999999"/>
    <s v="Low"/>
    <s v="Carlos Mendez"/>
    <s v="Escalated"/>
    <n v="321"/>
    <d v="2024-07-18T00:00:00"/>
    <n v="3"/>
    <s v="Full Credit"/>
    <n v="19549.189999999999"/>
  </r>
  <r>
    <s v="DIS-0316"/>
    <s v="INV-1316"/>
    <s v="VND-012"/>
    <s v="DataCenter Pro"/>
    <s v="IT"/>
    <s v="North"/>
    <d v="2025-04-22T00:00:00"/>
    <x v="5"/>
    <n v="17606.48"/>
    <n v="3867.14"/>
    <s v="High"/>
    <s v="Ana Torres"/>
    <s v="Resolved"/>
    <n v="40"/>
    <d v="2025-05-02T00:00:00"/>
    <n v="10"/>
    <s v="Pending"/>
    <n v="0"/>
  </r>
  <r>
    <s v="DIS-0317"/>
    <s v="INV-1317"/>
    <s v="VND-012"/>
    <s v="DataCenter Pro"/>
    <s v="IT"/>
    <s v="North"/>
    <d v="2024-10-27T00:00:00"/>
    <x v="5"/>
    <n v="70932.95"/>
    <n v="28960.16"/>
    <s v="Low"/>
    <s v="Carlos Mendez"/>
    <s v="Resolved"/>
    <n v="217"/>
    <d v="2024-12-16T00:00:00"/>
    <n v="50"/>
    <s v="No Action"/>
    <n v="0"/>
  </r>
  <r>
    <s v="DIS-0318"/>
    <s v="INV-1318"/>
    <s v="VND-012"/>
    <s v="DataCenter Pro"/>
    <s v="IT"/>
    <s v="North"/>
    <d v="2025-03-22T00:00:00"/>
    <x v="0"/>
    <n v="41358.5"/>
    <n v="27297.68"/>
    <s v="High"/>
    <s v="Sofia Ruiz"/>
    <s v="Open"/>
    <n v="71"/>
    <m/>
    <m/>
    <s v="Pending"/>
    <n v="0"/>
  </r>
  <r>
    <s v="DIS-0319"/>
    <s v="INV-1319"/>
    <s v="VND-012"/>
    <s v="DataCenter Pro"/>
    <s v="IT"/>
    <s v="North"/>
    <d v="2024-08-16T00:00:00"/>
    <x v="0"/>
    <n v="5805.1"/>
    <n v="3120.33"/>
    <s v="Medium"/>
    <s v="Luis Herrera"/>
    <s v="Resolved"/>
    <n v="289"/>
    <d v="2024-09-07T00:00:00"/>
    <n v="22"/>
    <s v="No Action"/>
    <n v="0"/>
  </r>
  <r>
    <s v="DIS-0320"/>
    <s v="INV-1320"/>
    <s v="VND-012"/>
    <s v="DataCenter Pro"/>
    <s v="IT"/>
    <s v="North"/>
    <d v="2024-07-20T00:00:00"/>
    <x v="5"/>
    <n v="70223.789999999994"/>
    <n v="48803.56"/>
    <s v="Low"/>
    <s v="Sofia Ruiz"/>
    <s v="Escalated"/>
    <n v="316"/>
    <d v="2024-10-06T00:00:00"/>
    <n v="78"/>
    <s v="Payment Adjusted"/>
    <n v="11742.83"/>
  </r>
  <r>
    <s v="DIS-0321"/>
    <s v="INV-1321"/>
    <s v="VND-012"/>
    <s v="DataCenter Pro"/>
    <s v="IT"/>
    <s v="North"/>
    <d v="2024-10-24T00:00:00"/>
    <x v="5"/>
    <n v="34877.85"/>
    <n v="5401.62"/>
    <s v="Medium"/>
    <s v="Luis Herrera"/>
    <s v="Resolved"/>
    <n v="220"/>
    <d v="2025-01-11T00:00:00"/>
    <n v="79"/>
    <s v="Payment Adjusted"/>
    <n v="1155.78"/>
  </r>
  <r>
    <s v="DIS-0322"/>
    <s v="INV-1322"/>
    <s v="VND-012"/>
    <s v="DataCenter Pro"/>
    <s v="IT"/>
    <s v="North"/>
    <d v="2024-06-12T00:00:00"/>
    <x v="4"/>
    <n v="7548.32"/>
    <n v="5172.88"/>
    <s v="High"/>
    <s v="Luis Herrera"/>
    <s v="Escalated"/>
    <n v="354"/>
    <d v="2024-07-22T00:00:00"/>
    <n v="40"/>
    <s v="Partial Credit"/>
    <n v="3467.28"/>
  </r>
  <r>
    <s v="DIS-0323"/>
    <s v="INV-1323"/>
    <s v="VND-012"/>
    <s v="DataCenter Pro"/>
    <s v="IT"/>
    <s v="North"/>
    <d v="2025-01-29T00:00:00"/>
    <x v="3"/>
    <n v="52014.33"/>
    <n v="6998.93"/>
    <s v="Medium"/>
    <s v="Carlos Mendez"/>
    <s v="Resolved"/>
    <n v="123"/>
    <d v="2025-02-02T00:00:00"/>
    <n v="4"/>
    <s v="Pending"/>
    <n v="0"/>
  </r>
  <r>
    <s v="DIS-0324"/>
    <s v="INV-1324"/>
    <s v="VND-012"/>
    <s v="DataCenter Pro"/>
    <s v="IT"/>
    <s v="North"/>
    <d v="2024-12-20T00:00:00"/>
    <x v="1"/>
    <n v="17538.37"/>
    <n v="12199.87"/>
    <s v="Medium"/>
    <s v="Sofia Ruiz"/>
    <s v="Escalated"/>
    <n v="163"/>
    <d v="2025-03-31T00:00:00"/>
    <n v="101"/>
    <s v="Full Credit"/>
    <n v="12199.87"/>
  </r>
  <r>
    <s v="DIS-0325"/>
    <s v="INV-1325"/>
    <s v="VND-013"/>
    <s v="FreightKing"/>
    <s v="Logistics"/>
    <s v="Central"/>
    <d v="2025-05-24T00:00:00"/>
    <x v="2"/>
    <n v="29907.599999999999"/>
    <n v="2388.7199999999998"/>
    <s v="Low"/>
    <s v="Marta Lopez"/>
    <s v="Open"/>
    <n v="8"/>
    <m/>
    <m/>
    <s v="Pending"/>
    <n v="0"/>
  </r>
  <r>
    <s v="DIS-0326"/>
    <s v="INV-1326"/>
    <s v="VND-013"/>
    <s v="FreightKing"/>
    <s v="Logistics"/>
    <s v="Central"/>
    <d v="2024-09-17T00:00:00"/>
    <x v="0"/>
    <n v="77875.45"/>
    <n v="28633.360000000001"/>
    <s v="Medium"/>
    <s v="Sofia Ruiz"/>
    <s v="Resolved"/>
    <n v="257"/>
    <d v="2024-10-29T00:00:00"/>
    <n v="42"/>
    <s v="Full Credit"/>
    <n v="28633.360000000001"/>
  </r>
  <r>
    <s v="DIS-0327"/>
    <s v="INV-1327"/>
    <s v="VND-013"/>
    <s v="FreightKing"/>
    <s v="Logistics"/>
    <s v="Central"/>
    <d v="2025-02-16T00:00:00"/>
    <x v="3"/>
    <n v="97559.77"/>
    <n v="16246.91"/>
    <s v="Medium"/>
    <s v="Carlos Mendez"/>
    <s v="Resolved"/>
    <n v="105"/>
    <d v="2025-04-15T00:00:00"/>
    <n v="58"/>
    <s v="Payment Adjusted"/>
    <n v="7125.69"/>
  </r>
  <r>
    <s v="DIS-0328"/>
    <s v="INV-1328"/>
    <s v="VND-013"/>
    <s v="FreightKing"/>
    <s v="Logistics"/>
    <s v="Central"/>
    <d v="2025-05-02T00:00:00"/>
    <x v="3"/>
    <n v="28225.58"/>
    <n v="20984.89"/>
    <s v="Low"/>
    <s v="Ana Torres"/>
    <s v="Open"/>
    <n v="30"/>
    <m/>
    <m/>
    <s v="Pending"/>
    <n v="0"/>
  </r>
  <r>
    <s v="DIS-0329"/>
    <s v="INV-1329"/>
    <s v="VND-013"/>
    <s v="FreightKing"/>
    <s v="Logistics"/>
    <s v="Central"/>
    <d v="2024-06-29T00:00:00"/>
    <x v="0"/>
    <n v="75362.53"/>
    <n v="10519.27"/>
    <s v="High"/>
    <s v="Ana Torres"/>
    <s v="Resolved"/>
    <n v="337"/>
    <d v="2024-08-15T00:00:00"/>
    <n v="47"/>
    <s v="Partial Credit"/>
    <n v="7045.73"/>
  </r>
  <r>
    <s v="DIS-0330"/>
    <s v="INV-1330"/>
    <s v="VND-013"/>
    <s v="FreightKing"/>
    <s v="Logistics"/>
    <s v="Central"/>
    <d v="2025-01-19T00:00:00"/>
    <x v="1"/>
    <n v="20861.48"/>
    <n v="3029.04"/>
    <s v="High"/>
    <s v="Carlos Mendez"/>
    <s v="Escalated"/>
    <n v="133"/>
    <d v="2025-01-25T00:00:00"/>
    <n v="6"/>
    <s v="Full Credit"/>
    <n v="3029.04"/>
  </r>
  <r>
    <s v="DIS-0331"/>
    <s v="INV-1331"/>
    <s v="VND-013"/>
    <s v="FreightKing"/>
    <s v="Logistics"/>
    <s v="Central"/>
    <d v="2024-10-24T00:00:00"/>
    <x v="3"/>
    <n v="30838.16"/>
    <n v="3019.18"/>
    <s v="High"/>
    <s v="Carlos Mendez"/>
    <s v="Resolved"/>
    <n v="220"/>
    <d v="2024-12-31T00:00:00"/>
    <n v="68"/>
    <s v="Full Credit"/>
    <n v="3019.18"/>
  </r>
  <r>
    <s v="DIS-0332"/>
    <s v="INV-1332"/>
    <s v="VND-013"/>
    <s v="FreightKing"/>
    <s v="Logistics"/>
    <s v="Central"/>
    <d v="2024-09-18T00:00:00"/>
    <x v="5"/>
    <n v="86639.18"/>
    <n v="15175.81"/>
    <s v="Low"/>
    <s v="Carlos Mendez"/>
    <s v="Resolved"/>
    <n v="256"/>
    <d v="2024-11-25T00:00:00"/>
    <n v="68"/>
    <s v="Full Credit"/>
    <n v="15175.81"/>
  </r>
  <r>
    <s v="DIS-0333"/>
    <s v="INV-1333"/>
    <s v="VND-013"/>
    <s v="FreightKing"/>
    <s v="Logistics"/>
    <s v="Central"/>
    <d v="2025-05-25T00:00:00"/>
    <x v="4"/>
    <n v="28232.39"/>
    <n v="11400.9"/>
    <s v="Medium"/>
    <s v="Sofia Ruiz"/>
    <s v="In Progress"/>
    <n v="7"/>
    <m/>
    <m/>
    <s v="Pending"/>
    <n v="0"/>
  </r>
  <r>
    <s v="DIS-0334"/>
    <s v="INV-1334"/>
    <s v="VND-013"/>
    <s v="FreightKing"/>
    <s v="Logistics"/>
    <s v="Central"/>
    <d v="2025-05-13T00:00:00"/>
    <x v="2"/>
    <n v="57522.15"/>
    <n v="42305.279999999999"/>
    <s v="High"/>
    <s v="Luis Herrera"/>
    <s v="Open"/>
    <n v="19"/>
    <m/>
    <m/>
    <s v="Pending"/>
    <n v="0"/>
  </r>
  <r>
    <s v="DIS-0335"/>
    <s v="INV-1335"/>
    <s v="VND-013"/>
    <s v="FreightKing"/>
    <s v="Logistics"/>
    <s v="Central"/>
    <d v="2024-10-30T00:00:00"/>
    <x v="3"/>
    <n v="92006.2"/>
    <n v="26677.32"/>
    <s v="High"/>
    <s v="Diego Castillo"/>
    <s v="Resolved"/>
    <n v="214"/>
    <d v="2025-01-27T00:00:00"/>
    <n v="89"/>
    <s v="No Action"/>
    <n v="0"/>
  </r>
  <r>
    <s v="DIS-0336"/>
    <s v="INV-1336"/>
    <s v="VND-013"/>
    <s v="FreightKing"/>
    <s v="Logistics"/>
    <s v="Central"/>
    <d v="2025-03-01T00:00:00"/>
    <x v="2"/>
    <n v="26202.58"/>
    <n v="11446.09"/>
    <s v="Low"/>
    <s v="Carlos Mendez"/>
    <s v="Closed"/>
    <n v="92"/>
    <d v="2025-04-09T00:00:00"/>
    <n v="39"/>
    <s v="Payment Adjusted"/>
    <n v="2567.12"/>
  </r>
  <r>
    <s v="DIS-0337"/>
    <s v="INV-1337"/>
    <s v="VND-013"/>
    <s v="FreightKing"/>
    <s v="Logistics"/>
    <s v="Central"/>
    <d v="2025-04-17T00:00:00"/>
    <x v="3"/>
    <n v="57543.68"/>
    <n v="3221.12"/>
    <s v="Low"/>
    <s v="Marta Lopez"/>
    <s v="Escalated"/>
    <n v="45"/>
    <d v="2025-05-05T00:00:00"/>
    <n v="18"/>
    <s v="Partial Credit"/>
    <n v="1787.77"/>
  </r>
  <r>
    <s v="DIS-0338"/>
    <s v="INV-1338"/>
    <s v="VND-013"/>
    <s v="FreightKing"/>
    <s v="Logistics"/>
    <s v="Central"/>
    <d v="2024-09-21T00:00:00"/>
    <x v="3"/>
    <n v="99789.78"/>
    <n v="63058.61"/>
    <s v="High"/>
    <s v="Luis Herrera"/>
    <s v="Resolved"/>
    <n v="253"/>
    <d v="2024-11-15T00:00:00"/>
    <n v="55"/>
    <s v="Full Credit"/>
    <n v="63058.61"/>
  </r>
  <r>
    <s v="DIS-0339"/>
    <s v="INV-1339"/>
    <s v="VND-013"/>
    <s v="FreightKing"/>
    <s v="Logistics"/>
    <s v="Central"/>
    <d v="2024-08-27T00:00:00"/>
    <x v="1"/>
    <n v="37910.25"/>
    <n v="25766.86"/>
    <s v="High"/>
    <s v="Ana Torres"/>
    <s v="Escalated"/>
    <n v="278"/>
    <d v="2024-10-17T00:00:00"/>
    <n v="51"/>
    <s v="No Action"/>
    <n v="0"/>
  </r>
  <r>
    <s v="DIS-0340"/>
    <s v="INV-1340"/>
    <s v="VND-013"/>
    <s v="FreightKing"/>
    <s v="Logistics"/>
    <s v="Central"/>
    <d v="2024-12-25T00:00:00"/>
    <x v="2"/>
    <n v="14875.16"/>
    <n v="6654.56"/>
    <s v="Low"/>
    <s v="Ana Torres"/>
    <s v="Closed"/>
    <n v="158"/>
    <d v="2025-01-15T00:00:00"/>
    <n v="21"/>
    <s v="Payment Adjusted"/>
    <n v="913.08"/>
  </r>
  <r>
    <s v="DIS-0341"/>
    <s v="INV-1341"/>
    <s v="VND-013"/>
    <s v="FreightKing"/>
    <s v="Logistics"/>
    <s v="Central"/>
    <d v="2025-02-02T00:00:00"/>
    <x v="1"/>
    <n v="90242.31"/>
    <n v="39690.32"/>
    <s v="High"/>
    <s v="Juan Vargas"/>
    <s v="Closed"/>
    <n v="119"/>
    <d v="2025-02-15T00:00:00"/>
    <n v="13"/>
    <s v="Partial Credit"/>
    <n v="19974.419999999998"/>
  </r>
  <r>
    <s v="DIS-0342"/>
    <s v="INV-1342"/>
    <s v="VND-013"/>
    <s v="FreightKing"/>
    <s v="Logistics"/>
    <s v="Central"/>
    <d v="2024-07-09T00:00:00"/>
    <x v="2"/>
    <n v="82896.47"/>
    <n v="8797.2099999999991"/>
    <s v="Medium"/>
    <s v="Sofia Ruiz"/>
    <s v="Resolved"/>
    <n v="327"/>
    <d v="2024-08-14T00:00:00"/>
    <n v="36"/>
    <s v="No Action"/>
    <n v="0"/>
  </r>
  <r>
    <s v="DIS-0343"/>
    <s v="INV-1343"/>
    <s v="VND-013"/>
    <s v="FreightKing"/>
    <s v="Logistics"/>
    <s v="Central"/>
    <d v="2024-11-11T00:00:00"/>
    <x v="1"/>
    <n v="71568.929999999993"/>
    <n v="43049.760000000002"/>
    <s v="Medium"/>
    <s v="Luis Herrera"/>
    <s v="In Progress"/>
    <n v="202"/>
    <m/>
    <m/>
    <s v="Pending"/>
    <n v="0"/>
  </r>
  <r>
    <s v="DIS-0344"/>
    <s v="INV-1344"/>
    <s v="VND-013"/>
    <s v="FreightKing"/>
    <s v="Logistics"/>
    <s v="Central"/>
    <d v="2025-02-17T00:00:00"/>
    <x v="5"/>
    <n v="17930.63"/>
    <n v="11253.44"/>
    <s v="Low"/>
    <s v="Sofia Ruiz"/>
    <s v="Resolved"/>
    <n v="104"/>
    <d v="2025-04-01T00:00:00"/>
    <n v="43"/>
    <s v="Partial Credit"/>
    <n v="5869.28"/>
  </r>
  <r>
    <s v="DIS-0345"/>
    <s v="INV-1345"/>
    <s v="VND-013"/>
    <s v="FreightKing"/>
    <s v="Logistics"/>
    <s v="Central"/>
    <d v="2025-02-14T00:00:00"/>
    <x v="5"/>
    <n v="47932.12"/>
    <n v="19053.490000000002"/>
    <s v="High"/>
    <s v="Sofia Ruiz"/>
    <s v="Closed"/>
    <n v="107"/>
    <d v="2025-03-27T00:00:00"/>
    <n v="41"/>
    <s v="No Action"/>
    <n v="0"/>
  </r>
  <r>
    <s v="DIS-0346"/>
    <s v="INV-1346"/>
    <s v="VND-013"/>
    <s v="FreightKing"/>
    <s v="Logistics"/>
    <s v="Central"/>
    <d v="2024-06-09T00:00:00"/>
    <x v="4"/>
    <n v="62313.74"/>
    <n v="13164.75"/>
    <s v="High"/>
    <s v="Carlos Mendez"/>
    <s v="Escalated"/>
    <n v="357"/>
    <d v="2024-07-27T00:00:00"/>
    <n v="48"/>
    <s v="Full Credit"/>
    <n v="13164.75"/>
  </r>
  <r>
    <s v="DIS-0347"/>
    <s v="INV-1347"/>
    <s v="VND-014"/>
    <s v="FacilityPro"/>
    <s v="Services"/>
    <s v="North"/>
    <d v="2025-01-18T00:00:00"/>
    <x v="2"/>
    <n v="82908.509999999995"/>
    <n v="14956.76"/>
    <s v="Critical"/>
    <s v="Luis Herrera"/>
    <s v="In Progress"/>
    <n v="134"/>
    <m/>
    <m/>
    <s v="Pending"/>
    <n v="0"/>
  </r>
  <r>
    <s v="DIS-0348"/>
    <s v="INV-1348"/>
    <s v="VND-014"/>
    <s v="FacilityPro"/>
    <s v="Services"/>
    <s v="North"/>
    <d v="2025-04-09T00:00:00"/>
    <x v="4"/>
    <n v="81370.19"/>
    <n v="12599.75"/>
    <s v="Low"/>
    <s v="Sofia Ruiz"/>
    <s v="In Progress"/>
    <n v="53"/>
    <m/>
    <m/>
    <s v="Pending"/>
    <n v="0"/>
  </r>
  <r>
    <s v="DIS-0349"/>
    <s v="INV-1349"/>
    <s v="VND-014"/>
    <s v="FacilityPro"/>
    <s v="Services"/>
    <s v="North"/>
    <d v="2024-11-07T00:00:00"/>
    <x v="3"/>
    <n v="40362.78"/>
    <n v="21098.560000000001"/>
    <s v="Medium"/>
    <s v="Marta Lopez"/>
    <s v="Closed"/>
    <n v="206"/>
    <d v="2024-11-19T00:00:00"/>
    <n v="12"/>
    <s v="Full Credit"/>
    <n v="21098.560000000001"/>
  </r>
  <r>
    <s v="DIS-0350"/>
    <s v="INV-1350"/>
    <s v="VND-014"/>
    <s v="FacilityPro"/>
    <s v="Services"/>
    <s v="North"/>
    <d v="2025-04-28T00:00:00"/>
    <x v="5"/>
    <n v="23786.28"/>
    <n v="12713.53"/>
    <s v="High"/>
    <s v="Diego Castillo"/>
    <s v="Open"/>
    <n v="34"/>
    <m/>
    <m/>
    <s v="Pending"/>
    <n v="0"/>
  </r>
  <r>
    <s v="DIS-0351"/>
    <s v="INV-1351"/>
    <s v="VND-014"/>
    <s v="FacilityPro"/>
    <s v="Services"/>
    <s v="North"/>
    <d v="2024-10-07T00:00:00"/>
    <x v="0"/>
    <n v="9810.58"/>
    <n v="7290.23"/>
    <s v="Medium"/>
    <s v="Valeria Moreno"/>
    <s v="Resolved"/>
    <n v="237"/>
    <d v="2024-11-27T00:00:00"/>
    <n v="51"/>
    <s v="Payment Adjusted"/>
    <n v="1232.94"/>
  </r>
  <r>
    <s v="DIS-0352"/>
    <s v="INV-1352"/>
    <s v="VND-014"/>
    <s v="FacilityPro"/>
    <s v="Services"/>
    <s v="North"/>
    <d v="2025-02-11T00:00:00"/>
    <x v="4"/>
    <n v="91288.9"/>
    <n v="23391.53"/>
    <s v="Medium"/>
    <s v="Ana Torres"/>
    <s v="Resolved"/>
    <n v="110"/>
    <d v="2025-05-03T00:00:00"/>
    <n v="81"/>
    <s v="Full Credit"/>
    <n v="23391.53"/>
  </r>
  <r>
    <s v="DIS-0353"/>
    <s v="INV-1353"/>
    <s v="VND-014"/>
    <s v="FacilityPro"/>
    <s v="Services"/>
    <s v="North"/>
    <d v="2024-12-31T00:00:00"/>
    <x v="5"/>
    <n v="52394.7"/>
    <n v="37309.42"/>
    <s v="Medium"/>
    <s v="Marta Lopez"/>
    <s v="Resolved"/>
    <n v="152"/>
    <d v="2025-02-25T00:00:00"/>
    <n v="56"/>
    <s v="Full Credit"/>
    <n v="37309.42"/>
  </r>
  <r>
    <s v="DIS-0354"/>
    <s v="INV-1354"/>
    <s v="VND-014"/>
    <s v="FacilityPro"/>
    <s v="Services"/>
    <s v="North"/>
    <d v="2024-09-04T00:00:00"/>
    <x v="5"/>
    <n v="28669.040000000001"/>
    <n v="22808.1"/>
    <s v="Medium"/>
    <s v="Valeria Moreno"/>
    <s v="Escalated"/>
    <n v="270"/>
    <d v="2024-10-22T00:00:00"/>
    <n v="48"/>
    <s v="Partial Credit"/>
    <n v="15255.45"/>
  </r>
  <r>
    <s v="DIS-0355"/>
    <s v="INV-1355"/>
    <s v="VND-014"/>
    <s v="FacilityPro"/>
    <s v="Services"/>
    <s v="North"/>
    <d v="2024-12-06T00:00:00"/>
    <x v="4"/>
    <n v="91704.320000000007"/>
    <n v="39138.94"/>
    <s v="Medium"/>
    <s v="Ana Torres"/>
    <s v="Resolved"/>
    <n v="177"/>
    <d v="2025-01-06T00:00:00"/>
    <n v="31"/>
    <s v="Full Credit"/>
    <n v="39138.94"/>
  </r>
  <r>
    <s v="DIS-0356"/>
    <s v="INV-1356"/>
    <s v="VND-014"/>
    <s v="FacilityPro"/>
    <s v="Services"/>
    <s v="North"/>
    <d v="2025-01-08T00:00:00"/>
    <x v="3"/>
    <n v="10566.17"/>
    <n v="8385.82"/>
    <s v="Medium"/>
    <s v="Luis Herrera"/>
    <s v="Closed"/>
    <n v="144"/>
    <d v="2025-01-23T00:00:00"/>
    <n v="15"/>
    <s v="Full Credit"/>
    <n v="8385.82"/>
  </r>
  <r>
    <s v="DIS-0357"/>
    <s v="INV-1357"/>
    <s v="VND-014"/>
    <s v="FacilityPro"/>
    <s v="Services"/>
    <s v="North"/>
    <d v="2025-01-28T00:00:00"/>
    <x v="5"/>
    <n v="30320.07"/>
    <n v="20078.37"/>
    <s v="Critical"/>
    <s v="Luis Herrera"/>
    <s v="Resolved"/>
    <n v="124"/>
    <d v="2025-05-13T00:00:00"/>
    <n v="105"/>
    <s v="Full Credit"/>
    <n v="20078.37"/>
  </r>
  <r>
    <s v="DIS-0358"/>
    <s v="INV-1358"/>
    <s v="VND-014"/>
    <s v="FacilityPro"/>
    <s v="Services"/>
    <s v="North"/>
    <d v="2025-03-04T00:00:00"/>
    <x v="0"/>
    <n v="21729.53"/>
    <n v="10742.85"/>
    <s v="High"/>
    <s v="Diego Castillo"/>
    <s v="Closed"/>
    <n v="89"/>
    <d v="2025-03-10T00:00:00"/>
    <n v="6"/>
    <s v="Payment Adjusted"/>
    <n v="2585.5100000000002"/>
  </r>
  <r>
    <s v="DIS-0359"/>
    <s v="INV-1359"/>
    <s v="VND-014"/>
    <s v="FacilityPro"/>
    <s v="Services"/>
    <s v="North"/>
    <d v="2024-08-14T00:00:00"/>
    <x v="2"/>
    <n v="58542.62"/>
    <n v="27651.53"/>
    <s v="Low"/>
    <s v="Marta Lopez"/>
    <s v="Resolved"/>
    <n v="291"/>
    <d v="2024-08-21T00:00:00"/>
    <n v="7"/>
    <s v="Full Credit"/>
    <n v="27651.53"/>
  </r>
  <r>
    <s v="DIS-0360"/>
    <s v="INV-1360"/>
    <s v="VND-014"/>
    <s v="FacilityPro"/>
    <s v="Services"/>
    <s v="North"/>
    <d v="2025-02-01T00:00:00"/>
    <x v="1"/>
    <n v="62157.96"/>
    <n v="4036.91"/>
    <s v="Medium"/>
    <s v="Luis Herrera"/>
    <s v="Closed"/>
    <n v="120"/>
    <d v="2025-03-19T00:00:00"/>
    <n v="46"/>
    <s v="Payment Adjusted"/>
    <n v="1887.31"/>
  </r>
  <r>
    <s v="DIS-0361"/>
    <s v="INV-1361"/>
    <s v="VND-014"/>
    <s v="FacilityPro"/>
    <s v="Services"/>
    <s v="North"/>
    <d v="2024-12-17T00:00:00"/>
    <x v="4"/>
    <n v="10657.82"/>
    <n v="1713.61"/>
    <s v="High"/>
    <s v="Carlos Mendez"/>
    <s v="Closed"/>
    <n v="166"/>
    <d v="2025-04-09T00:00:00"/>
    <n v="113"/>
    <s v="Full Credit"/>
    <n v="1713.61"/>
  </r>
  <r>
    <s v="DIS-0362"/>
    <s v="INV-1362"/>
    <s v="VND-014"/>
    <s v="FacilityPro"/>
    <s v="Services"/>
    <s v="North"/>
    <d v="2025-04-24T00:00:00"/>
    <x v="5"/>
    <n v="40491.120000000003"/>
    <n v="30629.200000000001"/>
    <s v="Medium"/>
    <s v="Diego Castillo"/>
    <s v="Resolved"/>
    <n v="38"/>
    <d v="2025-05-05T00:00:00"/>
    <n v="11"/>
    <s v="Pending"/>
    <n v="0"/>
  </r>
  <r>
    <s v="DIS-0363"/>
    <s v="INV-1363"/>
    <s v="VND-014"/>
    <s v="FacilityPro"/>
    <s v="Services"/>
    <s v="North"/>
    <d v="2024-10-20T00:00:00"/>
    <x v="4"/>
    <n v="80225.039999999994"/>
    <n v="61813.120000000003"/>
    <s v="Medium"/>
    <s v="Diego Castillo"/>
    <s v="Resolved"/>
    <n v="224"/>
    <d v="2025-01-06T00:00:00"/>
    <n v="78"/>
    <s v="No Action"/>
    <n v="0"/>
  </r>
  <r>
    <s v="DIS-0364"/>
    <s v="INV-1364"/>
    <s v="VND-014"/>
    <s v="FacilityPro"/>
    <s v="Services"/>
    <s v="North"/>
    <d v="2024-11-19T00:00:00"/>
    <x v="0"/>
    <n v="34148.21"/>
    <n v="19340.650000000001"/>
    <s v="Low"/>
    <s v="Ana Torres"/>
    <s v="Closed"/>
    <n v="194"/>
    <d v="2025-02-03T00:00:00"/>
    <n v="76"/>
    <s v="Full Credit"/>
    <n v="19340.650000000001"/>
  </r>
  <r>
    <s v="DIS-0365"/>
    <s v="INV-1365"/>
    <s v="VND-014"/>
    <s v="FacilityPro"/>
    <s v="Services"/>
    <s v="North"/>
    <d v="2024-08-14T00:00:00"/>
    <x v="3"/>
    <n v="8076.36"/>
    <n v="4052.65"/>
    <s v="Critical"/>
    <s v="Luis Herrera"/>
    <s v="Resolved"/>
    <n v="291"/>
    <d v="2024-08-30T00:00:00"/>
    <n v="16"/>
    <s v="Pending"/>
    <n v="0"/>
  </r>
  <r>
    <s v="DIS-0366"/>
    <s v="INV-1366"/>
    <s v="VND-014"/>
    <s v="FacilityPro"/>
    <s v="Services"/>
    <s v="North"/>
    <d v="2025-03-20T00:00:00"/>
    <x v="1"/>
    <n v="36461"/>
    <n v="3950.73"/>
    <s v="Medium"/>
    <s v="Sofia Ruiz"/>
    <s v="Resolved"/>
    <n v="73"/>
    <d v="2025-04-03T00:00:00"/>
    <n v="14"/>
    <s v="No Action"/>
    <n v="0"/>
  </r>
  <r>
    <s v="DIS-0367"/>
    <s v="INV-1367"/>
    <s v="VND-014"/>
    <s v="FacilityPro"/>
    <s v="Services"/>
    <s v="North"/>
    <d v="2024-06-22T00:00:00"/>
    <x v="1"/>
    <n v="65714.759999999995"/>
    <n v="46985.41"/>
    <s v="Medium"/>
    <s v="Luis Herrera"/>
    <s v="Resolved"/>
    <n v="344"/>
    <d v="2024-07-03T00:00:00"/>
    <n v="11"/>
    <s v="Full Credit"/>
    <n v="46985.41"/>
  </r>
  <r>
    <s v="DIS-0368"/>
    <s v="INV-1368"/>
    <s v="VND-014"/>
    <s v="FacilityPro"/>
    <s v="Services"/>
    <s v="North"/>
    <d v="2025-04-06T00:00:00"/>
    <x v="2"/>
    <n v="73439.289999999994"/>
    <n v="6323.9"/>
    <s v="Medium"/>
    <s v="Sofia Ruiz"/>
    <s v="Closed"/>
    <n v="56"/>
    <d v="2025-05-10T00:00:00"/>
    <n v="34"/>
    <s v="No Action"/>
    <n v="0"/>
  </r>
  <r>
    <s v="DIS-0369"/>
    <s v="INV-1369"/>
    <s v="VND-014"/>
    <s v="FacilityPro"/>
    <s v="Services"/>
    <s v="North"/>
    <d v="2024-12-03T00:00:00"/>
    <x v="3"/>
    <n v="56872.28"/>
    <n v="7169.97"/>
    <s v="Medium"/>
    <s v="Luis Herrera"/>
    <s v="Resolved"/>
    <n v="180"/>
    <d v="2024-12-15T00:00:00"/>
    <n v="12"/>
    <s v="Payment Adjusted"/>
    <n v="812.82"/>
  </r>
  <r>
    <s v="DIS-0370"/>
    <s v="INV-1370"/>
    <s v="VND-014"/>
    <s v="FacilityPro"/>
    <s v="Services"/>
    <s v="North"/>
    <d v="2025-05-21T00:00:00"/>
    <x v="4"/>
    <n v="35278.11"/>
    <n v="26943.54"/>
    <s v="Low"/>
    <s v="Valeria Moreno"/>
    <s v="Open"/>
    <n v="11"/>
    <m/>
    <m/>
    <s v="Pending"/>
    <n v="0"/>
  </r>
  <r>
    <s v="DIS-0371"/>
    <s v="INV-1371"/>
    <s v="VND-014"/>
    <s v="FacilityPro"/>
    <s v="Services"/>
    <s v="North"/>
    <d v="2025-04-23T00:00:00"/>
    <x v="3"/>
    <n v="56969.39"/>
    <n v="41222.660000000003"/>
    <s v="Low"/>
    <s v="Juan Vargas"/>
    <s v="Escalated"/>
    <n v="39"/>
    <d v="2025-05-23T00:00:00"/>
    <n v="30"/>
    <s v="Pending"/>
    <n v="0"/>
  </r>
  <r>
    <s v="DIS-0372"/>
    <s v="INV-1372"/>
    <s v="VND-014"/>
    <s v="FacilityPro"/>
    <s v="Services"/>
    <s v="North"/>
    <d v="2025-03-08T00:00:00"/>
    <x v="1"/>
    <n v="62695.17"/>
    <n v="23551.46"/>
    <s v="Low"/>
    <s v="Luis Herrera"/>
    <s v="Closed"/>
    <n v="85"/>
    <d v="2025-05-02T00:00:00"/>
    <n v="55"/>
    <s v="Payment Adjusted"/>
    <n v="9157.17"/>
  </r>
  <r>
    <s v="DIS-0373"/>
    <s v="INV-1373"/>
    <s v="VND-014"/>
    <s v="FacilityPro"/>
    <s v="Services"/>
    <s v="North"/>
    <d v="2024-08-28T00:00:00"/>
    <x v="5"/>
    <n v="30200.15"/>
    <n v="7886.54"/>
    <s v="Low"/>
    <s v="Valeria Moreno"/>
    <s v="Resolved"/>
    <n v="277"/>
    <d v="2024-12-16T00:00:00"/>
    <n v="110"/>
    <s v="Partial Credit"/>
    <n v="1835.22"/>
  </r>
  <r>
    <s v="DIS-0374"/>
    <s v="INV-1374"/>
    <s v="VND-014"/>
    <s v="FacilityPro"/>
    <s v="Services"/>
    <s v="North"/>
    <d v="2025-05-30T00:00:00"/>
    <x v="3"/>
    <n v="45622.57"/>
    <n v="12359.71"/>
    <s v="High"/>
    <s v="Juan Vargas"/>
    <s v="Open"/>
    <n v="2"/>
    <m/>
    <m/>
    <s v="Pending"/>
    <n v="0"/>
  </r>
  <r>
    <s v="DIS-0375"/>
    <s v="INV-1375"/>
    <s v="VND-014"/>
    <s v="FacilityPro"/>
    <s v="Services"/>
    <s v="North"/>
    <d v="2025-05-18T00:00:00"/>
    <x v="2"/>
    <n v="24660.53"/>
    <n v="13036.62"/>
    <s v="Critical"/>
    <s v="Carlos Mendez"/>
    <s v="Open"/>
    <n v="14"/>
    <m/>
    <m/>
    <s v="Pending"/>
    <n v="0"/>
  </r>
  <r>
    <s v="DIS-0376"/>
    <s v="INV-1376"/>
    <s v="VND-015"/>
    <s v="PowerGrid SA"/>
    <s v="Utilities"/>
    <s v="West"/>
    <d v="2024-09-23T00:00:00"/>
    <x v="2"/>
    <n v="90013.36"/>
    <n v="22391.119999999999"/>
    <s v="Medium"/>
    <s v="Sofia Ruiz"/>
    <s v="Resolved"/>
    <n v="251"/>
    <d v="2024-11-13T00:00:00"/>
    <n v="51"/>
    <s v="Full Credit"/>
    <n v="22391.119999999999"/>
  </r>
  <r>
    <s v="DIS-0377"/>
    <s v="INV-1377"/>
    <s v="VND-015"/>
    <s v="PowerGrid SA"/>
    <s v="Utilities"/>
    <s v="West"/>
    <d v="2024-10-15T00:00:00"/>
    <x v="1"/>
    <n v="9238.61"/>
    <n v="3508.87"/>
    <s v="Medium"/>
    <s v="Ana Torres"/>
    <s v="Resolved"/>
    <n v="229"/>
    <d v="2025-01-15T00:00:00"/>
    <n v="92"/>
    <s v="Payment Adjusted"/>
    <n v="471.18"/>
  </r>
  <r>
    <s v="DIS-0378"/>
    <s v="INV-1378"/>
    <s v="VND-015"/>
    <s v="PowerGrid SA"/>
    <s v="Utilities"/>
    <s v="West"/>
    <d v="2024-12-06T00:00:00"/>
    <x v="4"/>
    <n v="81777.11"/>
    <n v="29479.83"/>
    <s v="High"/>
    <s v="Ana Torres"/>
    <s v="Closed"/>
    <n v="177"/>
    <d v="2025-03-23T00:00:00"/>
    <n v="107"/>
    <s v="Partial Credit"/>
    <n v="22975.89"/>
  </r>
  <r>
    <s v="DIS-0379"/>
    <s v="INV-1379"/>
    <s v="VND-015"/>
    <s v="PowerGrid SA"/>
    <s v="Utilities"/>
    <s v="West"/>
    <d v="2024-06-14T00:00:00"/>
    <x v="2"/>
    <n v="87354.93"/>
    <n v="35476.43"/>
    <s v="High"/>
    <s v="Marta Lopez"/>
    <s v="In Progress"/>
    <n v="352"/>
    <m/>
    <m/>
    <s v="Pending"/>
    <n v="0"/>
  </r>
  <r>
    <s v="DIS-0380"/>
    <s v="INV-1380"/>
    <s v="VND-015"/>
    <s v="PowerGrid SA"/>
    <s v="Utilities"/>
    <s v="West"/>
    <d v="2025-05-14T00:00:00"/>
    <x v="0"/>
    <n v="52699.64"/>
    <n v="38225.230000000003"/>
    <s v="High"/>
    <s v="Sofia Ruiz"/>
    <s v="Open"/>
    <n v="18"/>
    <m/>
    <m/>
    <s v="Pending"/>
    <n v="0"/>
  </r>
  <r>
    <s v="DIS-0381"/>
    <s v="INV-1381"/>
    <s v="VND-015"/>
    <s v="PowerGrid SA"/>
    <s v="Utilities"/>
    <s v="West"/>
    <d v="2024-10-14T00:00:00"/>
    <x v="4"/>
    <n v="21423.5"/>
    <n v="16887.63"/>
    <s v="Critical"/>
    <s v="Sofia Ruiz"/>
    <s v="Open"/>
    <n v="230"/>
    <m/>
    <m/>
    <s v="Pending"/>
    <n v="0"/>
  </r>
  <r>
    <s v="DIS-0382"/>
    <s v="INV-1382"/>
    <s v="VND-015"/>
    <s v="PowerGrid SA"/>
    <s v="Utilities"/>
    <s v="West"/>
    <d v="2025-04-21T00:00:00"/>
    <x v="0"/>
    <n v="98886.59"/>
    <n v="37235.24"/>
    <s v="Critical"/>
    <s v="Sofia Ruiz"/>
    <s v="Escalated"/>
    <n v="41"/>
    <d v="2025-05-10T00:00:00"/>
    <n v="19"/>
    <s v="Full Credit"/>
    <n v="37235.24"/>
  </r>
  <r>
    <s v="DIS-0383"/>
    <s v="INV-1383"/>
    <s v="VND-015"/>
    <s v="PowerGrid SA"/>
    <s v="Utilities"/>
    <s v="West"/>
    <d v="2025-04-27T00:00:00"/>
    <x v="1"/>
    <n v="13267.61"/>
    <n v="6199.6"/>
    <s v="Medium"/>
    <s v="Juan Vargas"/>
    <s v="Closed"/>
    <n v="35"/>
    <d v="2025-04-30T00:00:00"/>
    <n v="3"/>
    <s v="Payment Adjusted"/>
    <n v="2165.04"/>
  </r>
  <r>
    <s v="DIS-0384"/>
    <s v="INV-1384"/>
    <s v="VND-015"/>
    <s v="PowerGrid SA"/>
    <s v="Utilities"/>
    <s v="West"/>
    <d v="2024-09-06T00:00:00"/>
    <x v="3"/>
    <n v="79260.14"/>
    <n v="10651.7"/>
    <s v="Low"/>
    <s v="Carlos Mendez"/>
    <s v="Closed"/>
    <n v="268"/>
    <d v="2024-11-20T00:00:00"/>
    <n v="75"/>
    <s v="Payment Adjusted"/>
    <n v="4412.9799999999996"/>
  </r>
  <r>
    <s v="DIS-0385"/>
    <s v="INV-1385"/>
    <s v="VND-015"/>
    <s v="PowerGrid SA"/>
    <s v="Utilities"/>
    <s v="West"/>
    <d v="2024-08-30T00:00:00"/>
    <x v="0"/>
    <n v="88612.9"/>
    <n v="62775.17"/>
    <s v="Medium"/>
    <s v="Juan Vargas"/>
    <s v="Resolved"/>
    <n v="275"/>
    <d v="2024-11-01T00:00:00"/>
    <n v="63"/>
    <s v="Full Credit"/>
    <n v="62775.17"/>
  </r>
  <r>
    <s v="DIS-0386"/>
    <s v="INV-1386"/>
    <s v="VND-015"/>
    <s v="PowerGrid SA"/>
    <s v="Utilities"/>
    <s v="West"/>
    <d v="2025-01-10T00:00:00"/>
    <x v="2"/>
    <n v="43282.53"/>
    <n v="22233.52"/>
    <s v="High"/>
    <s v="Ana Torres"/>
    <s v="Resolved"/>
    <n v="142"/>
    <d v="2025-05-05T00:00:00"/>
    <n v="115"/>
    <s v="Full Credit"/>
    <n v="22233.52"/>
  </r>
  <r>
    <s v="DIS-0387"/>
    <s v="INV-1387"/>
    <s v="VND-015"/>
    <s v="PowerGrid SA"/>
    <s v="Utilities"/>
    <s v="West"/>
    <d v="2025-01-30T00:00:00"/>
    <x v="1"/>
    <n v="9682.64"/>
    <n v="3935.16"/>
    <s v="Medium"/>
    <s v="Ana Torres"/>
    <s v="Resolved"/>
    <n v="122"/>
    <d v="2025-05-14T00:00:00"/>
    <n v="104"/>
    <s v="Full Credit"/>
    <n v="3935.16"/>
  </r>
  <r>
    <s v="DIS-0388"/>
    <s v="INV-1388"/>
    <s v="VND-015"/>
    <s v="PowerGrid SA"/>
    <s v="Utilities"/>
    <s v="West"/>
    <d v="2025-01-08T00:00:00"/>
    <x v="4"/>
    <n v="85070.42"/>
    <n v="59011.32"/>
    <s v="High"/>
    <s v="Sofia Ruiz"/>
    <s v="Resolved"/>
    <n v="144"/>
    <d v="2025-04-16T00:00:00"/>
    <n v="98"/>
    <s v="Partial Credit"/>
    <n v="41042.019999999997"/>
  </r>
  <r>
    <s v="DIS-0389"/>
    <s v="INV-1389"/>
    <s v="VND-015"/>
    <s v="PowerGrid SA"/>
    <s v="Utilities"/>
    <s v="West"/>
    <d v="2025-01-14T00:00:00"/>
    <x v="2"/>
    <n v="74235.94"/>
    <n v="37395.19"/>
    <s v="Low"/>
    <s v="Luis Herrera"/>
    <s v="Closed"/>
    <n v="138"/>
    <d v="2025-03-10T00:00:00"/>
    <n v="55"/>
    <s v="Payment Adjusted"/>
    <n v="15100.08"/>
  </r>
  <r>
    <s v="DIS-0390"/>
    <s v="INV-1390"/>
    <s v="VND-015"/>
    <s v="PowerGrid SA"/>
    <s v="Utilities"/>
    <s v="West"/>
    <d v="2024-11-21T00:00:00"/>
    <x v="1"/>
    <n v="82996.649999999994"/>
    <n v="36224.080000000002"/>
    <s v="Low"/>
    <s v="Valeria Moreno"/>
    <s v="Resolved"/>
    <n v="192"/>
    <d v="2025-03-12T00:00:00"/>
    <n v="111"/>
    <s v="Partial Credit"/>
    <n v="19604.59"/>
  </r>
  <r>
    <s v="DIS-0391"/>
    <s v="INV-1391"/>
    <s v="VND-015"/>
    <s v="PowerGrid SA"/>
    <s v="Utilities"/>
    <s v="West"/>
    <d v="2025-03-04T00:00:00"/>
    <x v="4"/>
    <n v="23312.53"/>
    <n v="15728.9"/>
    <s v="High"/>
    <s v="Ana Torres"/>
    <s v="Resolved"/>
    <n v="89"/>
    <d v="2025-04-22T00:00:00"/>
    <n v="49"/>
    <s v="Payment Adjusted"/>
    <n v="3296.64"/>
  </r>
  <r>
    <s v="DIS-0392"/>
    <s v="INV-1392"/>
    <s v="VND-015"/>
    <s v="PowerGrid SA"/>
    <s v="Utilities"/>
    <s v="West"/>
    <d v="2024-10-06T00:00:00"/>
    <x v="5"/>
    <n v="52987.01"/>
    <n v="27900.7"/>
    <s v="Low"/>
    <s v="Luis Herrera"/>
    <s v="Resolved"/>
    <n v="238"/>
    <d v="2024-12-24T00:00:00"/>
    <n v="79"/>
    <s v="Partial Credit"/>
    <n v="21659.65"/>
  </r>
  <r>
    <s v="DIS-0393"/>
    <s v="INV-1393"/>
    <s v="VND-015"/>
    <s v="PowerGrid SA"/>
    <s v="Utilities"/>
    <s v="West"/>
    <d v="2024-10-01T00:00:00"/>
    <x v="1"/>
    <n v="60753.62"/>
    <n v="18974.57"/>
    <s v="Low"/>
    <s v="Carlos Mendez"/>
    <s v="Resolved"/>
    <n v="243"/>
    <d v="2024-11-22T00:00:00"/>
    <n v="52"/>
    <s v="Full Credit"/>
    <n v="18974.57"/>
  </r>
  <r>
    <s v="DIS-0394"/>
    <s v="INV-1394"/>
    <s v="VND-015"/>
    <s v="PowerGrid SA"/>
    <s v="Utilities"/>
    <s v="West"/>
    <d v="2024-08-12T00:00:00"/>
    <x v="4"/>
    <n v="79083.86"/>
    <n v="16666.05"/>
    <s v="Low"/>
    <s v="Luis Herrera"/>
    <s v="Resolved"/>
    <n v="293"/>
    <d v="2024-10-06T00:00:00"/>
    <n v="55"/>
    <s v="Partial Credit"/>
    <n v="11979.19"/>
  </r>
  <r>
    <s v="DIS-0395"/>
    <s v="INV-1395"/>
    <s v="VND-015"/>
    <s v="PowerGrid SA"/>
    <s v="Utilities"/>
    <s v="West"/>
    <d v="2024-06-16T00:00:00"/>
    <x v="3"/>
    <n v="5845.31"/>
    <n v="4288.33"/>
    <s v="Medium"/>
    <s v="Ana Torres"/>
    <s v="Resolved"/>
    <n v="350"/>
    <d v="2024-09-04T00:00:00"/>
    <n v="80"/>
    <s v="No Action"/>
    <n v="0"/>
  </r>
  <r>
    <s v="DIS-0396"/>
    <s v="INV-1396"/>
    <s v="VND-015"/>
    <s v="PowerGrid SA"/>
    <s v="Utilities"/>
    <s v="West"/>
    <d v="2024-12-26T00:00:00"/>
    <x v="2"/>
    <n v="72710.350000000006"/>
    <n v="42319.32"/>
    <s v="Medium"/>
    <s v="Diego Castillo"/>
    <s v="Resolved"/>
    <n v="157"/>
    <d v="2025-01-25T00:00:00"/>
    <n v="30"/>
    <s v="Partial Credit"/>
    <n v="25658.95"/>
  </r>
  <r>
    <s v="DIS-0397"/>
    <s v="INV-1397"/>
    <s v="VND-015"/>
    <s v="PowerGrid SA"/>
    <s v="Utilities"/>
    <s v="West"/>
    <d v="2024-07-16T00:00:00"/>
    <x v="0"/>
    <n v="42729.49"/>
    <n v="5415.28"/>
    <s v="Medium"/>
    <s v="Diego Castillo"/>
    <s v="Resolved"/>
    <n v="320"/>
    <d v="2024-10-03T00:00:00"/>
    <n v="79"/>
    <s v="Partial Credit"/>
    <n v="2052.85"/>
  </r>
  <r>
    <s v="DIS-0398"/>
    <s v="INV-1398"/>
    <s v="VND-015"/>
    <s v="PowerGrid SA"/>
    <s v="Utilities"/>
    <s v="West"/>
    <d v="2025-04-06T00:00:00"/>
    <x v="1"/>
    <n v="50765.15"/>
    <n v="15341.88"/>
    <s v="Medium"/>
    <s v="Marta Lopez"/>
    <s v="In Progress"/>
    <n v="56"/>
    <m/>
    <m/>
    <s v="Pending"/>
    <n v="0"/>
  </r>
  <r>
    <s v="DIS-0399"/>
    <s v="INV-1399"/>
    <s v="VND-015"/>
    <s v="PowerGrid SA"/>
    <s v="Utilities"/>
    <s v="West"/>
    <d v="2024-06-01T00:00:00"/>
    <x v="3"/>
    <n v="95457.84"/>
    <n v="51413.58"/>
    <s v="Low"/>
    <s v="Luis Herrera"/>
    <s v="Closed"/>
    <n v="365"/>
    <d v="2024-09-15T00:00:00"/>
    <n v="106"/>
    <s v="No Action"/>
    <n v="0"/>
  </r>
  <r>
    <s v="DIS-0400"/>
    <s v="INV-1400"/>
    <s v="VND-015"/>
    <s v="PowerGrid SA"/>
    <s v="Utilities"/>
    <s v="West"/>
    <d v="2024-07-28T00:00:00"/>
    <x v="5"/>
    <n v="43389.35"/>
    <n v="12569.43"/>
    <s v="Low"/>
    <s v="Juan Vargas"/>
    <s v="Closed"/>
    <n v="308"/>
    <d v="2024-09-02T00:00:00"/>
    <n v="36"/>
    <s v="No Action"/>
    <n v="0"/>
  </r>
  <r>
    <s v="DIS-0401"/>
    <s v="INV-1401"/>
    <s v="VND-015"/>
    <s v="PowerGrid SA"/>
    <s v="Utilities"/>
    <s v="West"/>
    <d v="2024-11-05T00:00:00"/>
    <x v="3"/>
    <n v="41886.120000000003"/>
    <n v="3203.84"/>
    <s v="High"/>
    <s v="Luis Herrera"/>
    <s v="Resolved"/>
    <n v="208"/>
    <d v="2025-02-07T00:00:00"/>
    <n v="94"/>
    <s v="Full Credit"/>
    <n v="3203.84"/>
  </r>
  <r>
    <s v="DIS-0402"/>
    <s v="INV-1402"/>
    <s v="VND-015"/>
    <s v="PowerGrid SA"/>
    <s v="Utilities"/>
    <s v="West"/>
    <d v="2024-08-31T00:00:00"/>
    <x v="1"/>
    <n v="65639.789999999994"/>
    <n v="26702.36"/>
    <s v="Critical"/>
    <s v="Marta Lopez"/>
    <s v="Closed"/>
    <n v="274"/>
    <d v="2024-12-19T00:00:00"/>
    <n v="110"/>
    <s v="Payment Adjusted"/>
    <n v="8632.85"/>
  </r>
  <r>
    <s v="DIS-0403"/>
    <s v="INV-1403"/>
    <s v="VND-015"/>
    <s v="PowerGrid SA"/>
    <s v="Utilities"/>
    <s v="West"/>
    <d v="2025-01-01T00:00:00"/>
    <x v="3"/>
    <n v="14272.29"/>
    <n v="2083.16"/>
    <s v="Medium"/>
    <s v="Sofia Ruiz"/>
    <s v="Closed"/>
    <n v="151"/>
    <d v="2025-04-29T00:00:00"/>
    <n v="118"/>
    <s v="Full Credit"/>
    <n v="2083.16"/>
  </r>
  <r>
    <s v="DIS-0404"/>
    <s v="INV-1404"/>
    <s v="VND-015"/>
    <s v="PowerGrid SA"/>
    <s v="Utilities"/>
    <s v="West"/>
    <d v="2025-04-16T00:00:00"/>
    <x v="2"/>
    <n v="26114.080000000002"/>
    <n v="5679.71"/>
    <s v="High"/>
    <s v="Diego Castillo"/>
    <s v="Resolved"/>
    <n v="46"/>
    <d v="2025-05-26T00:00:00"/>
    <n v="40"/>
    <s v="Full Credit"/>
    <n v="5679.71"/>
  </r>
  <r>
    <s v="DIS-0405"/>
    <s v="INV-1405"/>
    <s v="VND-015"/>
    <s v="PowerGrid SA"/>
    <s v="Utilities"/>
    <s v="West"/>
    <d v="2025-04-01T00:00:00"/>
    <x v="3"/>
    <n v="49700.97"/>
    <n v="34780.49"/>
    <s v="Medium"/>
    <s v="Carlos Mendez"/>
    <s v="Resolved"/>
    <n v="61"/>
    <d v="2025-04-16T00:00:00"/>
    <n v="15"/>
    <s v="Partial Credit"/>
    <n v="25059.3"/>
  </r>
  <r>
    <s v="DIS-0406"/>
    <s v="INV-1406"/>
    <s v="VND-015"/>
    <s v="PowerGrid SA"/>
    <s v="Utilities"/>
    <s v="West"/>
    <d v="2024-11-17T00:00:00"/>
    <x v="4"/>
    <n v="55334.66"/>
    <n v="19911.099999999999"/>
    <s v="High"/>
    <s v="Sofia Ruiz"/>
    <s v="Closed"/>
    <n v="196"/>
    <d v="2025-01-02T00:00:00"/>
    <n v="46"/>
    <s v="Partial Credit"/>
    <n v="10784.69"/>
  </r>
  <r>
    <s v="DIS-0407"/>
    <s v="INV-1407"/>
    <s v="VND-015"/>
    <s v="PowerGrid SA"/>
    <s v="Utilities"/>
    <s v="West"/>
    <d v="2024-10-09T00:00:00"/>
    <x v="5"/>
    <n v="18606.29"/>
    <n v="12964.78"/>
    <s v="Low"/>
    <s v="Juan Vargas"/>
    <s v="Resolved"/>
    <n v="235"/>
    <d v="2024-11-03T00:00:00"/>
    <n v="25"/>
    <s v="Full Credit"/>
    <n v="12964.78"/>
  </r>
  <r>
    <s v="DIS-0408"/>
    <s v="INV-1408"/>
    <s v="VND-015"/>
    <s v="PowerGrid SA"/>
    <s v="Utilities"/>
    <s v="West"/>
    <d v="2025-05-02T00:00:00"/>
    <x v="4"/>
    <n v="5447.78"/>
    <n v="1389.98"/>
    <s v="High"/>
    <s v="Sofia Ruiz"/>
    <s v="In Progress"/>
    <n v="30"/>
    <m/>
    <m/>
    <s v="Pending"/>
    <n v="0"/>
  </r>
  <r>
    <s v="DIS-0409"/>
    <s v="INV-1409"/>
    <s v="VND-015"/>
    <s v="PowerGrid SA"/>
    <s v="Utilities"/>
    <s v="West"/>
    <d v="2025-04-16T00:00:00"/>
    <x v="2"/>
    <n v="17293.57"/>
    <n v="6489.99"/>
    <s v="Medium"/>
    <s v="Juan Vargas"/>
    <s v="Resolved"/>
    <n v="46"/>
    <d v="2025-04-21T00:00:00"/>
    <n v="5"/>
    <s v="Partial Credit"/>
    <n v="4143.18"/>
  </r>
  <r>
    <s v="DIS-0410"/>
    <s v="INV-1410"/>
    <s v="VND-015"/>
    <s v="PowerGrid SA"/>
    <s v="Utilities"/>
    <s v="West"/>
    <d v="2025-05-24T00:00:00"/>
    <x v="5"/>
    <n v="89740.61"/>
    <n v="55427.01"/>
    <s v="Medium"/>
    <s v="Ana Torres"/>
    <s v="Open"/>
    <n v="8"/>
    <m/>
    <m/>
    <s v="Pending"/>
    <n v="0"/>
  </r>
  <r>
    <s v="DIS-0411"/>
    <s v="INV-1411"/>
    <s v="VND-016"/>
    <s v="MetalWorks Corp"/>
    <s v="Materials"/>
    <s v="South"/>
    <d v="2024-06-10T00:00:00"/>
    <x v="3"/>
    <n v="88313.59"/>
    <n v="25087.17"/>
    <s v="Low"/>
    <s v="Marta Lopez"/>
    <s v="Resolved"/>
    <n v="356"/>
    <d v="2024-09-26T00:00:00"/>
    <n v="108"/>
    <s v="Full Credit"/>
    <n v="25087.17"/>
  </r>
  <r>
    <s v="DIS-0412"/>
    <s v="INV-1412"/>
    <s v="VND-016"/>
    <s v="MetalWorks Corp"/>
    <s v="Materials"/>
    <s v="South"/>
    <d v="2025-01-03T00:00:00"/>
    <x v="2"/>
    <n v="48313"/>
    <n v="21268.17"/>
    <s v="Medium"/>
    <s v="Sofia Ruiz"/>
    <s v="Resolved"/>
    <n v="149"/>
    <d v="2025-05-01T00:00:00"/>
    <n v="118"/>
    <s v="Partial Credit"/>
    <n v="13825.79"/>
  </r>
  <r>
    <s v="DIS-0413"/>
    <s v="INV-1413"/>
    <s v="VND-016"/>
    <s v="MetalWorks Corp"/>
    <s v="Materials"/>
    <s v="South"/>
    <d v="2025-03-08T00:00:00"/>
    <x v="4"/>
    <n v="95068.01"/>
    <n v="70222.37"/>
    <s v="Medium"/>
    <s v="Luis Herrera"/>
    <s v="Escalated"/>
    <n v="85"/>
    <d v="2025-03-27T00:00:00"/>
    <n v="19"/>
    <s v="Full Credit"/>
    <n v="70222.37"/>
  </r>
  <r>
    <s v="DIS-0414"/>
    <s v="INV-1414"/>
    <s v="VND-016"/>
    <s v="MetalWorks Corp"/>
    <s v="Materials"/>
    <s v="South"/>
    <d v="2025-05-20T00:00:00"/>
    <x v="0"/>
    <n v="61020.82"/>
    <n v="10784.73"/>
    <s v="Medium"/>
    <s v="Ana Torres"/>
    <s v="In Progress"/>
    <n v="12"/>
    <m/>
    <m/>
    <s v="Pending"/>
    <n v="0"/>
  </r>
  <r>
    <s v="DIS-0415"/>
    <s v="INV-1415"/>
    <s v="VND-016"/>
    <s v="MetalWorks Corp"/>
    <s v="Materials"/>
    <s v="South"/>
    <d v="2024-07-08T00:00:00"/>
    <x v="5"/>
    <n v="29299.97"/>
    <n v="13215.75"/>
    <s v="Low"/>
    <s v="Carlos Mendez"/>
    <s v="Escalated"/>
    <n v="328"/>
    <d v="2024-07-13T00:00:00"/>
    <n v="5"/>
    <s v="Full Credit"/>
    <n v="13215.75"/>
  </r>
  <r>
    <s v="DIS-0416"/>
    <s v="INV-1416"/>
    <s v="VND-016"/>
    <s v="MetalWorks Corp"/>
    <s v="Materials"/>
    <s v="South"/>
    <d v="2025-04-02T00:00:00"/>
    <x v="2"/>
    <n v="44593.68"/>
    <n v="14947.37"/>
    <s v="Medium"/>
    <s v="Sofia Ruiz"/>
    <s v="In Progress"/>
    <n v="60"/>
    <m/>
    <m/>
    <s v="Pending"/>
    <n v="0"/>
  </r>
  <r>
    <s v="DIS-0417"/>
    <s v="INV-1417"/>
    <s v="VND-016"/>
    <s v="MetalWorks Corp"/>
    <s v="Materials"/>
    <s v="South"/>
    <d v="2024-06-14T00:00:00"/>
    <x v="0"/>
    <n v="64879.58"/>
    <n v="17896.21"/>
    <s v="High"/>
    <s v="Marta Lopez"/>
    <s v="Resolved"/>
    <n v="352"/>
    <d v="2024-09-14T00:00:00"/>
    <n v="92"/>
    <s v="Full Credit"/>
    <n v="17896.21"/>
  </r>
  <r>
    <s v="DIS-0418"/>
    <s v="INV-1418"/>
    <s v="VND-016"/>
    <s v="MetalWorks Corp"/>
    <s v="Materials"/>
    <s v="South"/>
    <d v="2025-04-08T00:00:00"/>
    <x v="5"/>
    <n v="53600.55"/>
    <n v="27511.74"/>
    <s v="Medium"/>
    <s v="Juan Vargas"/>
    <s v="In Progress"/>
    <n v="54"/>
    <m/>
    <m/>
    <s v="Pending"/>
    <n v="0"/>
  </r>
  <r>
    <s v="DIS-0419"/>
    <s v="INV-1419"/>
    <s v="VND-016"/>
    <s v="MetalWorks Corp"/>
    <s v="Materials"/>
    <s v="South"/>
    <d v="2025-02-18T00:00:00"/>
    <x v="1"/>
    <n v="78906.100000000006"/>
    <n v="53153.05"/>
    <s v="Critical"/>
    <s v="Valeria Moreno"/>
    <s v="Resolved"/>
    <n v="103"/>
    <d v="2025-02-26T00:00:00"/>
    <n v="8"/>
    <s v="Partial Credit"/>
    <n v="39663.550000000003"/>
  </r>
  <r>
    <s v="DIS-0420"/>
    <s v="INV-1420"/>
    <s v="VND-016"/>
    <s v="MetalWorks Corp"/>
    <s v="Materials"/>
    <s v="South"/>
    <d v="2024-06-13T00:00:00"/>
    <x v="0"/>
    <n v="93646.81"/>
    <n v="27902.32"/>
    <s v="Low"/>
    <s v="Carlos Mendez"/>
    <s v="Closed"/>
    <n v="353"/>
    <d v="2024-09-30T00:00:00"/>
    <n v="109"/>
    <s v="Partial Credit"/>
    <n v="13852.45"/>
  </r>
  <r>
    <s v="DIS-0421"/>
    <s v="INV-1421"/>
    <s v="VND-016"/>
    <s v="MetalWorks Corp"/>
    <s v="Materials"/>
    <s v="South"/>
    <d v="2025-04-15T00:00:00"/>
    <x v="1"/>
    <n v="79054.990000000005"/>
    <n v="8402.4500000000007"/>
    <s v="High"/>
    <s v="Luis Herrera"/>
    <s v="Resolved"/>
    <n v="47"/>
    <d v="2025-05-06T00:00:00"/>
    <n v="21"/>
    <s v="Full Credit"/>
    <n v="8402.4500000000007"/>
  </r>
  <r>
    <s v="DIS-0422"/>
    <s v="INV-1422"/>
    <s v="VND-016"/>
    <s v="MetalWorks Corp"/>
    <s v="Materials"/>
    <s v="South"/>
    <d v="2025-05-06T00:00:00"/>
    <x v="1"/>
    <n v="14481.85"/>
    <n v="2621.6"/>
    <s v="Low"/>
    <s v="Diego Castillo"/>
    <s v="Escalated"/>
    <n v="26"/>
    <d v="2025-05-19T00:00:00"/>
    <n v="13"/>
    <s v="Partial Credit"/>
    <n v="706.63"/>
  </r>
  <r>
    <s v="DIS-0423"/>
    <s v="INV-1423"/>
    <s v="VND-016"/>
    <s v="MetalWorks Corp"/>
    <s v="Materials"/>
    <s v="South"/>
    <d v="2025-05-08T00:00:00"/>
    <x v="1"/>
    <n v="5918.87"/>
    <n v="910.3"/>
    <s v="Medium"/>
    <s v="Diego Castillo"/>
    <s v="Escalated"/>
    <n v="24"/>
    <d v="2025-05-30T00:00:00"/>
    <n v="22"/>
    <s v="Full Credit"/>
    <n v="910.3"/>
  </r>
  <r>
    <s v="DIS-0424"/>
    <s v="INV-1424"/>
    <s v="VND-016"/>
    <s v="MetalWorks Corp"/>
    <s v="Materials"/>
    <s v="South"/>
    <d v="2025-04-14T00:00:00"/>
    <x v="2"/>
    <n v="40399.1"/>
    <n v="12404.22"/>
    <s v="Low"/>
    <s v="Juan Vargas"/>
    <s v="In Progress"/>
    <n v="48"/>
    <m/>
    <m/>
    <s v="Pending"/>
    <n v="0"/>
  </r>
  <r>
    <s v="DIS-0425"/>
    <s v="INV-1425"/>
    <s v="VND-016"/>
    <s v="MetalWorks Corp"/>
    <s v="Materials"/>
    <s v="South"/>
    <d v="2024-11-15T00:00:00"/>
    <x v="4"/>
    <n v="70540.73"/>
    <n v="28828.85"/>
    <s v="Medium"/>
    <s v="Carlos Mendez"/>
    <s v="Resolved"/>
    <n v="198"/>
    <d v="2025-02-18T00:00:00"/>
    <n v="95"/>
    <s v="Full Credit"/>
    <n v="28828.85"/>
  </r>
  <r>
    <s v="DIS-0426"/>
    <s v="INV-1426"/>
    <s v="VND-016"/>
    <s v="MetalWorks Corp"/>
    <s v="Materials"/>
    <s v="South"/>
    <d v="2025-03-11T00:00:00"/>
    <x v="3"/>
    <n v="14852.75"/>
    <n v="10893.3"/>
    <s v="Medium"/>
    <s v="Juan Vargas"/>
    <s v="In Progress"/>
    <n v="82"/>
    <m/>
    <m/>
    <s v="Pending"/>
    <n v="0"/>
  </r>
  <r>
    <s v="DIS-0427"/>
    <s v="INV-1427"/>
    <s v="VND-016"/>
    <s v="MetalWorks Corp"/>
    <s v="Materials"/>
    <s v="South"/>
    <d v="2024-11-18T00:00:00"/>
    <x v="0"/>
    <n v="79020.61"/>
    <n v="40183.47"/>
    <s v="High"/>
    <s v="Sofia Ruiz"/>
    <s v="Resolved"/>
    <n v="195"/>
    <d v="2025-01-22T00:00:00"/>
    <n v="65"/>
    <s v="Full Credit"/>
    <n v="40183.47"/>
  </r>
  <r>
    <s v="DIS-0428"/>
    <s v="INV-1428"/>
    <s v="VND-016"/>
    <s v="MetalWorks Corp"/>
    <s v="Materials"/>
    <s v="South"/>
    <d v="2024-11-02T00:00:00"/>
    <x v="5"/>
    <n v="46865.35"/>
    <n v="4569.47"/>
    <s v="High"/>
    <s v="Luis Herrera"/>
    <s v="Closed"/>
    <n v="211"/>
    <d v="2025-01-29T00:00:00"/>
    <n v="88"/>
    <s v="No Action"/>
    <n v="0"/>
  </r>
  <r>
    <s v="DIS-0429"/>
    <s v="INV-1429"/>
    <s v="VND-016"/>
    <s v="MetalWorks Corp"/>
    <s v="Materials"/>
    <s v="South"/>
    <d v="2024-09-08T00:00:00"/>
    <x v="0"/>
    <n v="54694.8"/>
    <n v="31473.31"/>
    <s v="Low"/>
    <s v="Luis Herrera"/>
    <s v="Resolved"/>
    <n v="266"/>
    <d v="2024-12-04T00:00:00"/>
    <n v="87"/>
    <s v="Payment Adjusted"/>
    <n v="7992.67"/>
  </r>
  <r>
    <s v="DIS-0430"/>
    <s v="INV-1430"/>
    <s v="VND-016"/>
    <s v="MetalWorks Corp"/>
    <s v="Materials"/>
    <s v="South"/>
    <d v="2024-08-19T00:00:00"/>
    <x v="4"/>
    <n v="89745.88"/>
    <n v="45742.17"/>
    <s v="Low"/>
    <s v="Juan Vargas"/>
    <s v="Closed"/>
    <n v="286"/>
    <d v="2024-12-11T00:00:00"/>
    <n v="114"/>
    <s v="Full Credit"/>
    <n v="45742.17"/>
  </r>
  <r>
    <s v="DIS-0431"/>
    <s v="INV-1431"/>
    <s v="VND-016"/>
    <s v="MetalWorks Corp"/>
    <s v="Materials"/>
    <s v="South"/>
    <d v="2024-09-22T00:00:00"/>
    <x v="3"/>
    <n v="35460.21"/>
    <n v="10573.21"/>
    <s v="Medium"/>
    <s v="Luis Herrera"/>
    <s v="Resolved"/>
    <n v="252"/>
    <d v="2024-11-12T00:00:00"/>
    <n v="51"/>
    <s v="Partial Credit"/>
    <n v="3605.46"/>
  </r>
  <r>
    <s v="DIS-0432"/>
    <s v="INV-1432"/>
    <s v="VND-016"/>
    <s v="MetalWorks Corp"/>
    <s v="Materials"/>
    <s v="South"/>
    <d v="2024-10-08T00:00:00"/>
    <x v="2"/>
    <n v="47197.94"/>
    <n v="22644.45"/>
    <s v="Low"/>
    <s v="Juan Vargas"/>
    <s v="Resolved"/>
    <n v="236"/>
    <d v="2024-12-13T00:00:00"/>
    <n v="66"/>
    <s v="Payment Adjusted"/>
    <n v="2425.39"/>
  </r>
  <r>
    <s v="DIS-0433"/>
    <s v="INV-1433"/>
    <s v="VND-016"/>
    <s v="MetalWorks Corp"/>
    <s v="Materials"/>
    <s v="South"/>
    <d v="2024-11-06T00:00:00"/>
    <x v="5"/>
    <n v="44172.160000000003"/>
    <n v="20665.87"/>
    <s v="Low"/>
    <s v="Marta Lopez"/>
    <s v="Closed"/>
    <n v="207"/>
    <d v="2025-01-19T00:00:00"/>
    <n v="74"/>
    <s v="Full Credit"/>
    <n v="20665.87"/>
  </r>
  <r>
    <s v="DIS-0434"/>
    <s v="INV-1434"/>
    <s v="VND-016"/>
    <s v="MetalWorks Corp"/>
    <s v="Materials"/>
    <s v="South"/>
    <d v="2024-06-22T00:00:00"/>
    <x v="4"/>
    <n v="48339.75"/>
    <n v="14774.59"/>
    <s v="High"/>
    <s v="Juan Vargas"/>
    <s v="Resolved"/>
    <n v="344"/>
    <d v="2024-10-01T00:00:00"/>
    <n v="101"/>
    <s v="Partial Credit"/>
    <n v="7149.13"/>
  </r>
  <r>
    <s v="DIS-0435"/>
    <s v="INV-1435"/>
    <s v="VND-016"/>
    <s v="MetalWorks Corp"/>
    <s v="Materials"/>
    <s v="South"/>
    <d v="2024-06-29T00:00:00"/>
    <x v="0"/>
    <n v="39512.980000000003"/>
    <n v="15386.33"/>
    <s v="Low"/>
    <s v="Luis Herrera"/>
    <s v="Open"/>
    <n v="337"/>
    <m/>
    <m/>
    <s v="Pending"/>
    <n v="0"/>
  </r>
  <r>
    <s v="DIS-0436"/>
    <s v="INV-1436"/>
    <s v="VND-016"/>
    <s v="MetalWorks Corp"/>
    <s v="Materials"/>
    <s v="South"/>
    <d v="2024-12-01T00:00:00"/>
    <x v="3"/>
    <n v="83838.97"/>
    <n v="64834.79"/>
    <s v="Medium"/>
    <s v="Diego Castillo"/>
    <s v="Escalated"/>
    <n v="182"/>
    <d v="2024-12-09T00:00:00"/>
    <n v="8"/>
    <s v="No Action"/>
    <n v="0"/>
  </r>
  <r>
    <s v="DIS-0437"/>
    <s v="INV-1437"/>
    <s v="VND-016"/>
    <s v="MetalWorks Corp"/>
    <s v="Materials"/>
    <s v="South"/>
    <d v="2024-09-21T00:00:00"/>
    <x v="5"/>
    <n v="18342.669999999998"/>
    <n v="10778.92"/>
    <s v="High"/>
    <s v="Marta Lopez"/>
    <s v="Resolved"/>
    <n v="253"/>
    <d v="2024-10-18T00:00:00"/>
    <n v="27"/>
    <s v="Full Credit"/>
    <n v="10778.92"/>
  </r>
  <r>
    <s v="DIS-0438"/>
    <s v="INV-1438"/>
    <s v="VND-017"/>
    <s v="NetSystems Ltd"/>
    <s v="IT"/>
    <s v="West"/>
    <d v="2024-10-09T00:00:00"/>
    <x v="2"/>
    <n v="83332.639999999999"/>
    <n v="16077.71"/>
    <s v="Medium"/>
    <s v="Ana Torres"/>
    <s v="Closed"/>
    <n v="235"/>
    <d v="2025-01-27T00:00:00"/>
    <n v="110"/>
    <s v="Payment Adjusted"/>
    <n v="2400.1999999999998"/>
  </r>
  <r>
    <s v="DIS-0439"/>
    <s v="INV-1439"/>
    <s v="VND-017"/>
    <s v="NetSystems Ltd"/>
    <s v="IT"/>
    <s v="West"/>
    <d v="2024-10-13T00:00:00"/>
    <x v="2"/>
    <n v="48451.85"/>
    <n v="23837.69"/>
    <s v="Medium"/>
    <s v="Ana Torres"/>
    <s v="Resolved"/>
    <n v="231"/>
    <d v="2024-10-22T00:00:00"/>
    <n v="9"/>
    <s v="Partial Credit"/>
    <n v="10957.86"/>
  </r>
  <r>
    <s v="DIS-0440"/>
    <s v="INV-1440"/>
    <s v="VND-017"/>
    <s v="NetSystems Ltd"/>
    <s v="IT"/>
    <s v="West"/>
    <d v="2024-08-05T00:00:00"/>
    <x v="4"/>
    <n v="50878.54"/>
    <n v="21941.35"/>
    <s v="Critical"/>
    <s v="Sofia Ruiz"/>
    <s v="Escalated"/>
    <n v="300"/>
    <d v="2024-08-24T00:00:00"/>
    <n v="19"/>
    <s v="Full Credit"/>
    <n v="21941.35"/>
  </r>
  <r>
    <s v="DIS-0441"/>
    <s v="INV-1441"/>
    <s v="VND-017"/>
    <s v="NetSystems Ltd"/>
    <s v="IT"/>
    <s v="West"/>
    <d v="2024-06-29T00:00:00"/>
    <x v="2"/>
    <n v="62051.87"/>
    <n v="44182.29"/>
    <s v="Medium"/>
    <s v="Valeria Moreno"/>
    <s v="Closed"/>
    <n v="337"/>
    <d v="2024-10-27T00:00:00"/>
    <n v="120"/>
    <s v="Payment Adjusted"/>
    <n v="8805.33"/>
  </r>
  <r>
    <s v="DIS-0442"/>
    <s v="INV-1442"/>
    <s v="VND-017"/>
    <s v="NetSystems Ltd"/>
    <s v="IT"/>
    <s v="West"/>
    <d v="2024-11-09T00:00:00"/>
    <x v="4"/>
    <n v="96541.39"/>
    <n v="75096.53"/>
    <s v="Medium"/>
    <s v="Sofia Ruiz"/>
    <s v="Resolved"/>
    <n v="204"/>
    <d v="2025-02-09T00:00:00"/>
    <n v="92"/>
    <s v="No Action"/>
    <n v="0"/>
  </r>
  <r>
    <s v="DIS-0443"/>
    <s v="INV-1443"/>
    <s v="VND-017"/>
    <s v="NetSystems Ltd"/>
    <s v="IT"/>
    <s v="West"/>
    <d v="2024-09-11T00:00:00"/>
    <x v="0"/>
    <n v="33396.75"/>
    <n v="19240.560000000001"/>
    <s v="High"/>
    <s v="Luis Herrera"/>
    <s v="Resolved"/>
    <n v="263"/>
    <d v="2024-12-02T00:00:00"/>
    <n v="82"/>
    <s v="Payment Adjusted"/>
    <n v="7208.37"/>
  </r>
  <r>
    <s v="DIS-0444"/>
    <s v="INV-1444"/>
    <s v="VND-017"/>
    <s v="NetSystems Ltd"/>
    <s v="IT"/>
    <s v="West"/>
    <d v="2024-06-21T00:00:00"/>
    <x v="4"/>
    <n v="17603.810000000001"/>
    <n v="10259.450000000001"/>
    <s v="Critical"/>
    <s v="Diego Castillo"/>
    <s v="Escalated"/>
    <n v="345"/>
    <d v="2024-09-29T00:00:00"/>
    <n v="100"/>
    <s v="Full Credit"/>
    <n v="10259.450000000001"/>
  </r>
  <r>
    <s v="DIS-0445"/>
    <s v="INV-1445"/>
    <s v="VND-017"/>
    <s v="NetSystems Ltd"/>
    <s v="IT"/>
    <s v="West"/>
    <d v="2024-09-28T00:00:00"/>
    <x v="0"/>
    <n v="60366.6"/>
    <n v="45697.83"/>
    <s v="High"/>
    <s v="Marta Lopez"/>
    <s v="Closed"/>
    <n v="246"/>
    <d v="2024-11-24T00:00:00"/>
    <n v="57"/>
    <s v="No Action"/>
    <n v="0"/>
  </r>
  <r>
    <s v="DIS-0446"/>
    <s v="INV-1446"/>
    <s v="VND-017"/>
    <s v="NetSystems Ltd"/>
    <s v="IT"/>
    <s v="West"/>
    <d v="2024-09-06T00:00:00"/>
    <x v="5"/>
    <n v="15114.69"/>
    <n v="5073.29"/>
    <s v="Low"/>
    <s v="Luis Herrera"/>
    <s v="Resolved"/>
    <n v="268"/>
    <d v="2024-12-18T00:00:00"/>
    <n v="103"/>
    <s v="Full Credit"/>
    <n v="5073.29"/>
  </r>
  <r>
    <s v="DIS-0447"/>
    <s v="INV-1447"/>
    <s v="VND-017"/>
    <s v="NetSystems Ltd"/>
    <s v="IT"/>
    <s v="West"/>
    <d v="2025-01-05T00:00:00"/>
    <x v="1"/>
    <n v="69922.080000000002"/>
    <n v="11175.04"/>
    <s v="Low"/>
    <s v="Luis Herrera"/>
    <s v="Escalated"/>
    <n v="147"/>
    <d v="2025-01-12T00:00:00"/>
    <n v="7"/>
    <s v="Full Credit"/>
    <n v="11175.04"/>
  </r>
  <r>
    <s v="DIS-0448"/>
    <s v="INV-1448"/>
    <s v="VND-017"/>
    <s v="NetSystems Ltd"/>
    <s v="IT"/>
    <s v="West"/>
    <d v="2024-10-12T00:00:00"/>
    <x v="4"/>
    <n v="14735.6"/>
    <n v="10330.049999999999"/>
    <s v="High"/>
    <s v="Valeria Moreno"/>
    <s v="Resolved"/>
    <n v="232"/>
    <d v="2025-01-23T00:00:00"/>
    <n v="103"/>
    <s v="Payment Adjusted"/>
    <n v="3909.42"/>
  </r>
  <r>
    <s v="DIS-0449"/>
    <s v="INV-1449"/>
    <s v="VND-017"/>
    <s v="NetSystems Ltd"/>
    <s v="IT"/>
    <s v="West"/>
    <d v="2024-06-11T00:00:00"/>
    <x v="0"/>
    <n v="68126.89"/>
    <n v="50745.24"/>
    <s v="Medium"/>
    <s v="Diego Castillo"/>
    <s v="Closed"/>
    <n v="355"/>
    <d v="2024-06-20T00:00:00"/>
    <n v="9"/>
    <s v="Full Credit"/>
    <n v="50745.24"/>
  </r>
  <r>
    <s v="DIS-0450"/>
    <s v="INV-1450"/>
    <s v="VND-017"/>
    <s v="NetSystems Ltd"/>
    <s v="IT"/>
    <s v="West"/>
    <d v="2025-01-23T00:00:00"/>
    <x v="2"/>
    <n v="24293.29"/>
    <n v="17045.080000000002"/>
    <s v="High"/>
    <s v="Luis Herrera"/>
    <s v="Closed"/>
    <n v="129"/>
    <d v="2025-04-26T00:00:00"/>
    <n v="93"/>
    <s v="Payment Adjusted"/>
    <n v="4211.78"/>
  </r>
  <r>
    <s v="DIS-0451"/>
    <s v="INV-1451"/>
    <s v="VND-017"/>
    <s v="NetSystems Ltd"/>
    <s v="IT"/>
    <s v="West"/>
    <d v="2024-08-03T00:00:00"/>
    <x v="4"/>
    <n v="56928.44"/>
    <n v="28608.83"/>
    <s v="High"/>
    <s v="Marta Lopez"/>
    <s v="Resolved"/>
    <n v="302"/>
    <d v="2024-11-01T00:00:00"/>
    <n v="90"/>
    <s v="Full Credit"/>
    <n v="28608.83"/>
  </r>
  <r>
    <s v="DIS-0452"/>
    <s v="INV-1452"/>
    <s v="VND-017"/>
    <s v="NetSystems Ltd"/>
    <s v="IT"/>
    <s v="West"/>
    <d v="2025-03-04T00:00:00"/>
    <x v="1"/>
    <n v="74832.55"/>
    <n v="10440.290000000001"/>
    <s v="Low"/>
    <s v="Marta Lopez"/>
    <s v="Open"/>
    <n v="89"/>
    <m/>
    <m/>
    <s v="Pending"/>
    <n v="0"/>
  </r>
  <r>
    <s v="DIS-0453"/>
    <s v="INV-1453"/>
    <s v="VND-017"/>
    <s v="NetSystems Ltd"/>
    <s v="IT"/>
    <s v="West"/>
    <d v="2024-08-05T00:00:00"/>
    <x v="4"/>
    <n v="85371.35"/>
    <n v="4630.0200000000004"/>
    <s v="Medium"/>
    <s v="Ana Torres"/>
    <s v="Resolved"/>
    <n v="300"/>
    <d v="2024-09-18T00:00:00"/>
    <n v="44"/>
    <s v="Partial Credit"/>
    <n v="3075.24"/>
  </r>
  <r>
    <s v="DIS-0454"/>
    <s v="INV-1454"/>
    <s v="VND-017"/>
    <s v="NetSystems Ltd"/>
    <s v="IT"/>
    <s v="West"/>
    <d v="2024-07-15T00:00:00"/>
    <x v="3"/>
    <n v="63482.82"/>
    <n v="34688.129999999997"/>
    <s v="Medium"/>
    <s v="Diego Castillo"/>
    <s v="In Progress"/>
    <n v="321"/>
    <m/>
    <m/>
    <s v="Pending"/>
    <n v="0"/>
  </r>
  <r>
    <s v="DIS-0455"/>
    <s v="INV-1455"/>
    <s v="VND-017"/>
    <s v="NetSystems Ltd"/>
    <s v="IT"/>
    <s v="West"/>
    <d v="2024-06-03T00:00:00"/>
    <x v="5"/>
    <n v="35196.61"/>
    <n v="7566.27"/>
    <s v="Low"/>
    <s v="Sofia Ruiz"/>
    <s v="Resolved"/>
    <n v="363"/>
    <d v="2024-08-13T00:00:00"/>
    <n v="71"/>
    <s v="Partial Credit"/>
    <n v="3099.46"/>
  </r>
  <r>
    <s v="DIS-0456"/>
    <s v="INV-1456"/>
    <s v="VND-017"/>
    <s v="NetSystems Ltd"/>
    <s v="IT"/>
    <s v="West"/>
    <d v="2025-02-11T00:00:00"/>
    <x v="3"/>
    <n v="68016.78"/>
    <n v="20289.400000000001"/>
    <s v="Medium"/>
    <s v="Juan Vargas"/>
    <s v="Closed"/>
    <n v="110"/>
    <d v="2025-05-30T00:00:00"/>
    <n v="108"/>
    <s v="Payment Adjusted"/>
    <n v="7298.5"/>
  </r>
  <r>
    <s v="DIS-0457"/>
    <s v="INV-1457"/>
    <s v="VND-017"/>
    <s v="NetSystems Ltd"/>
    <s v="IT"/>
    <s v="West"/>
    <d v="2025-04-03T00:00:00"/>
    <x v="3"/>
    <n v="68549.149999999994"/>
    <n v="26340.04"/>
    <s v="Critical"/>
    <s v="Luis Herrera"/>
    <s v="Closed"/>
    <n v="59"/>
    <d v="2025-05-19T00:00:00"/>
    <n v="46"/>
    <s v="No Action"/>
    <n v="0"/>
  </r>
  <r>
    <s v="DIS-0458"/>
    <s v="INV-1458"/>
    <s v="VND-017"/>
    <s v="NetSystems Ltd"/>
    <s v="IT"/>
    <s v="West"/>
    <d v="2024-11-17T00:00:00"/>
    <x v="3"/>
    <n v="92013.58"/>
    <n v="69814.45"/>
    <s v="Medium"/>
    <s v="Marta Lopez"/>
    <s v="Open"/>
    <n v="196"/>
    <m/>
    <m/>
    <s v="Pending"/>
    <n v="0"/>
  </r>
  <r>
    <s v="DIS-0459"/>
    <s v="INV-1459"/>
    <s v="VND-017"/>
    <s v="NetSystems Ltd"/>
    <s v="IT"/>
    <s v="West"/>
    <d v="2024-09-09T00:00:00"/>
    <x v="2"/>
    <n v="83100.36"/>
    <n v="27524.38"/>
    <s v="High"/>
    <s v="Juan Vargas"/>
    <s v="Open"/>
    <n v="265"/>
    <m/>
    <m/>
    <s v="Pending"/>
    <n v="0"/>
  </r>
  <r>
    <s v="DIS-0460"/>
    <s v="INV-1460"/>
    <s v="VND-017"/>
    <s v="NetSystems Ltd"/>
    <s v="IT"/>
    <s v="West"/>
    <d v="2024-07-02T00:00:00"/>
    <x v="4"/>
    <n v="23288.68"/>
    <n v="10140.379999999999"/>
    <s v="Critical"/>
    <s v="Ana Torres"/>
    <s v="Resolved"/>
    <n v="334"/>
    <d v="2024-07-31T00:00:00"/>
    <n v="29"/>
    <s v="Payment Adjusted"/>
    <n v="4151.8100000000004"/>
  </r>
  <r>
    <s v="DIS-0461"/>
    <s v="INV-1461"/>
    <s v="VND-017"/>
    <s v="NetSystems Ltd"/>
    <s v="IT"/>
    <s v="West"/>
    <d v="2024-06-15T00:00:00"/>
    <x v="0"/>
    <n v="45299.9"/>
    <n v="5795.9"/>
    <s v="Medium"/>
    <s v="Valeria Moreno"/>
    <s v="Resolved"/>
    <n v="351"/>
    <d v="2024-06-27T00:00:00"/>
    <n v="12"/>
    <s v="Payment Adjusted"/>
    <n v="936.05"/>
  </r>
  <r>
    <s v="DIS-0462"/>
    <s v="INV-1462"/>
    <s v="VND-017"/>
    <s v="NetSystems Ltd"/>
    <s v="IT"/>
    <s v="West"/>
    <d v="2024-10-08T00:00:00"/>
    <x v="4"/>
    <n v="73102.490000000005"/>
    <n v="5732.31"/>
    <s v="Low"/>
    <s v="Marta Lopez"/>
    <s v="Resolved"/>
    <n v="236"/>
    <d v="2024-12-23T00:00:00"/>
    <n v="76"/>
    <s v="No Action"/>
    <n v="0"/>
  </r>
  <r>
    <s v="DIS-0463"/>
    <s v="INV-1463"/>
    <s v="VND-017"/>
    <s v="NetSystems Ltd"/>
    <s v="IT"/>
    <s v="West"/>
    <d v="2025-01-19T00:00:00"/>
    <x v="1"/>
    <n v="43725.11"/>
    <n v="16980.39"/>
    <s v="Medium"/>
    <s v="Ana Torres"/>
    <s v="Resolved"/>
    <n v="133"/>
    <d v="2025-02-06T00:00:00"/>
    <n v="18"/>
    <s v="Partial Credit"/>
    <n v="9931.0400000000009"/>
  </r>
  <r>
    <s v="DIS-0464"/>
    <s v="INV-1464"/>
    <s v="VND-018"/>
    <s v="SwiftShip SA"/>
    <s v="Logistics"/>
    <s v="Central"/>
    <d v="2024-08-05T00:00:00"/>
    <x v="3"/>
    <n v="9324.1"/>
    <n v="6398.09"/>
    <s v="Medium"/>
    <s v="Carlos Mendez"/>
    <s v="Resolved"/>
    <n v="300"/>
    <d v="2024-11-03T00:00:00"/>
    <n v="90"/>
    <s v="Full Credit"/>
    <n v="6398.09"/>
  </r>
  <r>
    <s v="DIS-0465"/>
    <s v="INV-1465"/>
    <s v="VND-018"/>
    <s v="SwiftShip SA"/>
    <s v="Logistics"/>
    <s v="Central"/>
    <d v="2025-04-17T00:00:00"/>
    <x v="0"/>
    <n v="31744.16"/>
    <n v="23649.98"/>
    <s v="Medium"/>
    <s v="Ana Torres"/>
    <s v="Resolved"/>
    <n v="45"/>
    <d v="2025-05-24T00:00:00"/>
    <n v="37"/>
    <s v="Full Credit"/>
    <n v="23649.98"/>
  </r>
  <r>
    <s v="DIS-0466"/>
    <s v="INV-1466"/>
    <s v="VND-018"/>
    <s v="SwiftShip SA"/>
    <s v="Logistics"/>
    <s v="Central"/>
    <d v="2024-11-12T00:00:00"/>
    <x v="0"/>
    <n v="80693.19"/>
    <n v="55444.34"/>
    <s v="Medium"/>
    <s v="Sofia Ruiz"/>
    <s v="Resolved"/>
    <n v="201"/>
    <d v="2025-03-08T00:00:00"/>
    <n v="116"/>
    <s v="No Action"/>
    <n v="0"/>
  </r>
  <r>
    <s v="DIS-0467"/>
    <s v="INV-1467"/>
    <s v="VND-018"/>
    <s v="SwiftShip SA"/>
    <s v="Logistics"/>
    <s v="Central"/>
    <d v="2024-07-04T00:00:00"/>
    <x v="3"/>
    <n v="40447.4"/>
    <n v="30824.92"/>
    <s v="Medium"/>
    <s v="Sofia Ruiz"/>
    <s v="Resolved"/>
    <n v="332"/>
    <d v="2024-07-07T00:00:00"/>
    <n v="3"/>
    <s v="Partial Credit"/>
    <n v="13453.51"/>
  </r>
  <r>
    <s v="DIS-0468"/>
    <s v="INV-1468"/>
    <s v="VND-018"/>
    <s v="SwiftShip SA"/>
    <s v="Logistics"/>
    <s v="Central"/>
    <d v="2024-08-24T00:00:00"/>
    <x v="0"/>
    <n v="94963.04"/>
    <n v="26448.95"/>
    <s v="High"/>
    <s v="Diego Castillo"/>
    <s v="Resolved"/>
    <n v="281"/>
    <d v="2024-12-20T00:00:00"/>
    <n v="118"/>
    <s v="Partial Credit"/>
    <n v="13423.68"/>
  </r>
  <r>
    <s v="DIS-0469"/>
    <s v="INV-1469"/>
    <s v="VND-018"/>
    <s v="SwiftShip SA"/>
    <s v="Logistics"/>
    <s v="Central"/>
    <d v="2025-03-10T00:00:00"/>
    <x v="5"/>
    <n v="22479.31"/>
    <n v="11524.33"/>
    <s v="Medium"/>
    <s v="Sofia Ruiz"/>
    <s v="Resolved"/>
    <n v="83"/>
    <d v="2025-05-24T00:00:00"/>
    <n v="75"/>
    <s v="No Action"/>
    <n v="0"/>
  </r>
  <r>
    <s v="DIS-0470"/>
    <s v="INV-1470"/>
    <s v="VND-018"/>
    <s v="SwiftShip SA"/>
    <s v="Logistics"/>
    <s v="Central"/>
    <d v="2024-08-23T00:00:00"/>
    <x v="5"/>
    <n v="48820.19"/>
    <n v="22567.06"/>
    <s v="Medium"/>
    <s v="Marta Lopez"/>
    <s v="In Progress"/>
    <n v="282"/>
    <m/>
    <m/>
    <s v="Pending"/>
    <n v="0"/>
  </r>
  <r>
    <s v="DIS-0471"/>
    <s v="INV-1471"/>
    <s v="VND-018"/>
    <s v="SwiftShip SA"/>
    <s v="Logistics"/>
    <s v="Central"/>
    <d v="2024-08-07T00:00:00"/>
    <x v="0"/>
    <n v="51283.09"/>
    <n v="15289.45"/>
    <s v="Low"/>
    <s v="Luis Herrera"/>
    <s v="Resolved"/>
    <n v="298"/>
    <d v="2024-10-28T00:00:00"/>
    <n v="82"/>
    <s v="Full Credit"/>
    <n v="15289.45"/>
  </r>
  <r>
    <s v="DIS-0472"/>
    <s v="INV-1472"/>
    <s v="VND-018"/>
    <s v="SwiftShip SA"/>
    <s v="Logistics"/>
    <s v="Central"/>
    <d v="2025-02-21T00:00:00"/>
    <x v="1"/>
    <n v="35189.660000000003"/>
    <n v="13653.04"/>
    <s v="Medium"/>
    <s v="Sofia Ruiz"/>
    <s v="Resolved"/>
    <n v="100"/>
    <d v="2025-04-11T00:00:00"/>
    <n v="49"/>
    <s v="No Action"/>
    <n v="0"/>
  </r>
  <r>
    <s v="DIS-0473"/>
    <s v="INV-1473"/>
    <s v="VND-018"/>
    <s v="SwiftShip SA"/>
    <s v="Logistics"/>
    <s v="Central"/>
    <d v="2024-10-24T00:00:00"/>
    <x v="0"/>
    <n v="21020.75"/>
    <n v="5989.04"/>
    <s v="High"/>
    <s v="Valeria Moreno"/>
    <s v="Resolved"/>
    <n v="220"/>
    <d v="2024-12-12T00:00:00"/>
    <n v="49"/>
    <s v="Full Credit"/>
    <n v="5989.04"/>
  </r>
  <r>
    <s v="DIS-0474"/>
    <s v="INV-1474"/>
    <s v="VND-018"/>
    <s v="SwiftShip SA"/>
    <s v="Logistics"/>
    <s v="Central"/>
    <d v="2024-12-13T00:00:00"/>
    <x v="1"/>
    <n v="88399.15"/>
    <n v="35106.51"/>
    <s v="Medium"/>
    <s v="Juan Vargas"/>
    <s v="Resolved"/>
    <n v="170"/>
    <d v="2025-01-07T00:00:00"/>
    <n v="25"/>
    <s v="Partial Credit"/>
    <n v="8747.99"/>
  </r>
  <r>
    <s v="DIS-0475"/>
    <s v="INV-1475"/>
    <s v="VND-018"/>
    <s v="SwiftShip SA"/>
    <s v="Logistics"/>
    <s v="Central"/>
    <d v="2025-01-08T00:00:00"/>
    <x v="1"/>
    <n v="86577.8"/>
    <n v="13419.67"/>
    <s v="Medium"/>
    <s v="Carlos Mendez"/>
    <s v="Escalated"/>
    <n v="144"/>
    <d v="2025-05-05T00:00:00"/>
    <n v="117"/>
    <s v="Full Credit"/>
    <n v="13419.67"/>
  </r>
  <r>
    <s v="DIS-0476"/>
    <s v="INV-1476"/>
    <s v="VND-018"/>
    <s v="SwiftShip SA"/>
    <s v="Logistics"/>
    <s v="Central"/>
    <d v="2024-09-14T00:00:00"/>
    <x v="3"/>
    <n v="65004.52"/>
    <n v="42869.3"/>
    <s v="Medium"/>
    <s v="Luis Herrera"/>
    <s v="Closed"/>
    <n v="260"/>
    <d v="2024-11-26T00:00:00"/>
    <n v="73"/>
    <s v="Full Credit"/>
    <n v="42869.3"/>
  </r>
  <r>
    <s v="DIS-0477"/>
    <s v="INV-1477"/>
    <s v="VND-018"/>
    <s v="SwiftShip SA"/>
    <s v="Logistics"/>
    <s v="Central"/>
    <d v="2024-08-28T00:00:00"/>
    <x v="4"/>
    <n v="49849.88"/>
    <n v="31475.11"/>
    <s v="Medium"/>
    <s v="Marta Lopez"/>
    <s v="Resolved"/>
    <n v="277"/>
    <d v="2024-11-03T00:00:00"/>
    <n v="67"/>
    <s v="Partial Credit"/>
    <n v="13788.34"/>
  </r>
  <r>
    <s v="DIS-0478"/>
    <s v="INV-1478"/>
    <s v="VND-018"/>
    <s v="SwiftShip SA"/>
    <s v="Logistics"/>
    <s v="Central"/>
    <d v="2024-09-16T00:00:00"/>
    <x v="3"/>
    <n v="6006.21"/>
    <n v="1376.39"/>
    <s v="Critical"/>
    <s v="Sofia Ruiz"/>
    <s v="Escalated"/>
    <n v="258"/>
    <d v="2024-10-06T00:00:00"/>
    <n v="20"/>
    <s v="Partial Credit"/>
    <n v="423.22"/>
  </r>
  <r>
    <s v="DIS-0479"/>
    <s v="INV-1479"/>
    <s v="VND-018"/>
    <s v="SwiftShip SA"/>
    <s v="Logistics"/>
    <s v="Central"/>
    <d v="2024-08-15T00:00:00"/>
    <x v="2"/>
    <n v="67644.259999999995"/>
    <n v="52478.53"/>
    <s v="High"/>
    <s v="Diego Castillo"/>
    <s v="Open"/>
    <n v="290"/>
    <m/>
    <m/>
    <s v="Pending"/>
    <n v="0"/>
  </r>
  <r>
    <s v="DIS-0480"/>
    <s v="INV-1480"/>
    <s v="VND-018"/>
    <s v="SwiftShip SA"/>
    <s v="Logistics"/>
    <s v="Central"/>
    <d v="2024-09-24T00:00:00"/>
    <x v="0"/>
    <n v="27016.240000000002"/>
    <n v="6707.26"/>
    <s v="Low"/>
    <s v="Luis Herrera"/>
    <s v="Resolved"/>
    <n v="250"/>
    <d v="2025-01-06T00:00:00"/>
    <n v="104"/>
    <s v="Full Credit"/>
    <n v="6707.26"/>
  </r>
  <r>
    <s v="DIS-0481"/>
    <s v="INV-1481"/>
    <s v="VND-018"/>
    <s v="SwiftShip SA"/>
    <s v="Logistics"/>
    <s v="Central"/>
    <d v="2024-10-03T00:00:00"/>
    <x v="0"/>
    <n v="92200.68"/>
    <n v="65569.8"/>
    <s v="Low"/>
    <s v="Diego Castillo"/>
    <s v="Resolved"/>
    <n v="241"/>
    <d v="2024-12-11T00:00:00"/>
    <n v="69"/>
    <s v="Partial Credit"/>
    <n v="23873.78"/>
  </r>
  <r>
    <s v="DIS-0482"/>
    <s v="INV-1482"/>
    <s v="VND-018"/>
    <s v="SwiftShip SA"/>
    <s v="Logistics"/>
    <s v="Central"/>
    <d v="2025-01-17T00:00:00"/>
    <x v="2"/>
    <n v="59969.99"/>
    <n v="28642.87"/>
    <s v="Medium"/>
    <s v="Diego Castillo"/>
    <s v="Resolved"/>
    <n v="135"/>
    <d v="2025-05-14T00:00:00"/>
    <n v="117"/>
    <s v="No Action"/>
    <n v="0"/>
  </r>
  <r>
    <s v="DIS-0483"/>
    <s v="INV-1483"/>
    <s v="VND-018"/>
    <s v="SwiftShip SA"/>
    <s v="Logistics"/>
    <s v="Central"/>
    <d v="2024-09-09T00:00:00"/>
    <x v="2"/>
    <n v="28900.71"/>
    <n v="22528.26"/>
    <s v="Low"/>
    <s v="Diego Castillo"/>
    <s v="Closed"/>
    <n v="265"/>
    <d v="2024-10-26T00:00:00"/>
    <n v="47"/>
    <s v="Partial Credit"/>
    <n v="11022.31"/>
  </r>
  <r>
    <s v="DIS-0484"/>
    <s v="INV-1484"/>
    <s v="VND-018"/>
    <s v="SwiftShip SA"/>
    <s v="Logistics"/>
    <s v="Central"/>
    <d v="2024-07-26T00:00:00"/>
    <x v="4"/>
    <n v="5626.78"/>
    <n v="4003.6"/>
    <s v="Medium"/>
    <s v="Carlos Mendez"/>
    <s v="Resolved"/>
    <n v="310"/>
    <d v="2024-09-02T00:00:00"/>
    <n v="38"/>
    <s v="Full Credit"/>
    <n v="4003.6"/>
  </r>
  <r>
    <s v="DIS-0485"/>
    <s v="INV-1485"/>
    <s v="VND-018"/>
    <s v="SwiftShip SA"/>
    <s v="Logistics"/>
    <s v="Central"/>
    <d v="2025-02-25T00:00:00"/>
    <x v="0"/>
    <n v="19948.95"/>
    <n v="10004.700000000001"/>
    <s v="High"/>
    <s v="Luis Herrera"/>
    <s v="Resolved"/>
    <n v="96"/>
    <d v="2025-04-11T00:00:00"/>
    <n v="45"/>
    <s v="Payment Adjusted"/>
    <n v="2927.44"/>
  </r>
  <r>
    <s v="DIS-0486"/>
    <s v="INV-1486"/>
    <s v="VND-019"/>
    <s v="CleanOffice Services"/>
    <s v="Services"/>
    <s v="West"/>
    <d v="2025-02-13T00:00:00"/>
    <x v="4"/>
    <n v="61125.14"/>
    <n v="32729.119999999999"/>
    <s v="Medium"/>
    <s v="Ana Torres"/>
    <s v="Resolved"/>
    <n v="108"/>
    <d v="2025-05-02T00:00:00"/>
    <n v="78"/>
    <s v="Full Credit"/>
    <n v="32729.119999999999"/>
  </r>
  <r>
    <s v="DIS-0487"/>
    <s v="INV-1487"/>
    <s v="VND-019"/>
    <s v="CleanOffice Services"/>
    <s v="Services"/>
    <s v="West"/>
    <d v="2024-07-13T00:00:00"/>
    <x v="4"/>
    <n v="53701.07"/>
    <n v="38562.639999999999"/>
    <s v="Low"/>
    <s v="Marta Lopez"/>
    <s v="Closed"/>
    <n v="323"/>
    <d v="2024-09-20T00:00:00"/>
    <n v="69"/>
    <s v="Pending"/>
    <n v="0"/>
  </r>
  <r>
    <s v="DIS-0488"/>
    <s v="INV-1488"/>
    <s v="VND-019"/>
    <s v="CleanOffice Services"/>
    <s v="Services"/>
    <s v="West"/>
    <d v="2024-07-29T00:00:00"/>
    <x v="0"/>
    <n v="97078.15"/>
    <n v="51278.33"/>
    <s v="High"/>
    <s v="Marta Lopez"/>
    <s v="Closed"/>
    <n v="307"/>
    <d v="2024-08-28T00:00:00"/>
    <n v="30"/>
    <s v="Partial Credit"/>
    <n v="40800.400000000001"/>
  </r>
  <r>
    <s v="DIS-0489"/>
    <s v="INV-1489"/>
    <s v="VND-019"/>
    <s v="CleanOffice Services"/>
    <s v="Services"/>
    <s v="West"/>
    <d v="2024-09-27T00:00:00"/>
    <x v="3"/>
    <n v="21203.84"/>
    <n v="14265.36"/>
    <s v="Medium"/>
    <s v="Sofia Ruiz"/>
    <s v="Resolved"/>
    <n v="247"/>
    <d v="2024-12-04T00:00:00"/>
    <n v="68"/>
    <s v="Full Credit"/>
    <n v="14265.36"/>
  </r>
  <r>
    <s v="DIS-0490"/>
    <s v="INV-1490"/>
    <s v="VND-019"/>
    <s v="CleanOffice Services"/>
    <s v="Services"/>
    <s v="West"/>
    <d v="2024-06-14T00:00:00"/>
    <x v="4"/>
    <n v="37553.769999999997"/>
    <n v="14649.82"/>
    <s v="Medium"/>
    <s v="Valeria Moreno"/>
    <s v="Resolved"/>
    <n v="352"/>
    <d v="2024-06-30T00:00:00"/>
    <n v="16"/>
    <s v="Full Credit"/>
    <n v="14649.82"/>
  </r>
  <r>
    <s v="DIS-0491"/>
    <s v="INV-1491"/>
    <s v="VND-019"/>
    <s v="CleanOffice Services"/>
    <s v="Services"/>
    <s v="West"/>
    <d v="2024-09-06T00:00:00"/>
    <x v="4"/>
    <n v="86661.21"/>
    <n v="37114.370000000003"/>
    <s v="Medium"/>
    <s v="Carlos Mendez"/>
    <s v="Resolved"/>
    <n v="268"/>
    <d v="2025-01-02T00:00:00"/>
    <n v="118"/>
    <s v="Partial Credit"/>
    <n v="8292.16"/>
  </r>
  <r>
    <s v="DIS-0492"/>
    <s v="INV-1492"/>
    <s v="VND-019"/>
    <s v="CleanOffice Services"/>
    <s v="Services"/>
    <s v="West"/>
    <d v="2024-09-01T00:00:00"/>
    <x v="4"/>
    <n v="52816.27"/>
    <n v="7295.9"/>
    <s v="Medium"/>
    <s v="Ana Torres"/>
    <s v="Closed"/>
    <n v="273"/>
    <d v="2024-12-12T00:00:00"/>
    <n v="102"/>
    <s v="Payment Adjusted"/>
    <n v="1988.85"/>
  </r>
  <r>
    <s v="DIS-0493"/>
    <s v="INV-1493"/>
    <s v="VND-019"/>
    <s v="CleanOffice Services"/>
    <s v="Services"/>
    <s v="West"/>
    <d v="2024-10-28T00:00:00"/>
    <x v="4"/>
    <n v="40185.86"/>
    <n v="3318.5"/>
    <s v="Medium"/>
    <s v="Juan Vargas"/>
    <s v="Escalated"/>
    <n v="216"/>
    <d v="2024-12-18T00:00:00"/>
    <n v="51"/>
    <s v="Full Credit"/>
    <n v="3318.5"/>
  </r>
  <r>
    <s v="DIS-0494"/>
    <s v="INV-1494"/>
    <s v="VND-019"/>
    <s v="CleanOffice Services"/>
    <s v="Services"/>
    <s v="West"/>
    <d v="2024-06-09T00:00:00"/>
    <x v="4"/>
    <n v="59731.48"/>
    <n v="22047.91"/>
    <s v="Medium"/>
    <s v="Carlos Mendez"/>
    <s v="Resolved"/>
    <n v="357"/>
    <d v="2024-10-02T00:00:00"/>
    <n v="115"/>
    <s v="Partial Credit"/>
    <n v="7820.02"/>
  </r>
  <r>
    <s v="DIS-0495"/>
    <s v="INV-1495"/>
    <s v="VND-019"/>
    <s v="CleanOffice Services"/>
    <s v="Services"/>
    <s v="West"/>
    <d v="2025-05-29T00:00:00"/>
    <x v="5"/>
    <n v="72369.14"/>
    <n v="46465.83"/>
    <s v="Medium"/>
    <s v="Ana Torres"/>
    <s v="Open"/>
    <n v="3"/>
    <m/>
    <m/>
    <s v="Pending"/>
    <n v="0"/>
  </r>
  <r>
    <s v="DIS-0496"/>
    <s v="INV-1496"/>
    <s v="VND-019"/>
    <s v="CleanOffice Services"/>
    <s v="Services"/>
    <s v="West"/>
    <d v="2025-02-15T00:00:00"/>
    <x v="4"/>
    <n v="70337.84"/>
    <n v="20181.78"/>
    <s v="Medium"/>
    <s v="Valeria Moreno"/>
    <s v="Escalated"/>
    <n v="106"/>
    <d v="2025-03-22T00:00:00"/>
    <n v="35"/>
    <s v="Full Credit"/>
    <n v="20181.78"/>
  </r>
  <r>
    <s v="DIS-0497"/>
    <s v="INV-1497"/>
    <s v="VND-019"/>
    <s v="CleanOffice Services"/>
    <s v="Services"/>
    <s v="West"/>
    <d v="2024-08-30T00:00:00"/>
    <x v="0"/>
    <n v="45238.35"/>
    <n v="14667.77"/>
    <s v="Medium"/>
    <s v="Valeria Moreno"/>
    <s v="Escalated"/>
    <n v="275"/>
    <d v="2024-10-24T00:00:00"/>
    <n v="55"/>
    <s v="Partial Credit"/>
    <n v="7840.47"/>
  </r>
  <r>
    <s v="DIS-0498"/>
    <s v="INV-1498"/>
    <s v="VND-019"/>
    <s v="CleanOffice Services"/>
    <s v="Services"/>
    <s v="West"/>
    <d v="2025-03-01T00:00:00"/>
    <x v="1"/>
    <n v="40170.230000000003"/>
    <n v="18726.7"/>
    <s v="Medium"/>
    <s v="Diego Castillo"/>
    <s v="Escalated"/>
    <n v="92"/>
    <d v="2025-04-23T00:00:00"/>
    <n v="53"/>
    <s v="Payment Adjusted"/>
    <n v="8277.19"/>
  </r>
  <r>
    <s v="DIS-0499"/>
    <s v="INV-1499"/>
    <s v="VND-019"/>
    <s v="CleanOffice Services"/>
    <s v="Services"/>
    <s v="West"/>
    <d v="2024-06-28T00:00:00"/>
    <x v="4"/>
    <n v="16313.15"/>
    <n v="3626.88"/>
    <s v="High"/>
    <s v="Carlos Mendez"/>
    <s v="Resolved"/>
    <n v="338"/>
    <d v="2024-08-21T00:00:00"/>
    <n v="54"/>
    <s v="Payment Adjusted"/>
    <n v="1524.53"/>
  </r>
  <r>
    <s v="DIS-0500"/>
    <s v="INV-1500"/>
    <s v="VND-019"/>
    <s v="CleanOffice Services"/>
    <s v="Services"/>
    <s v="West"/>
    <d v="2024-07-21T00:00:00"/>
    <x v="0"/>
    <n v="71220.45"/>
    <n v="41314.449999999997"/>
    <s v="Low"/>
    <s v="Ana Torres"/>
    <s v="Closed"/>
    <n v="315"/>
    <d v="2024-11-06T00:00:00"/>
    <n v="108"/>
    <s v="Full Credit"/>
    <n v="41314.449999999997"/>
  </r>
  <r>
    <s v="DIS-0501"/>
    <s v="INV-1501"/>
    <s v="VND-019"/>
    <s v="CleanOffice Services"/>
    <s v="Services"/>
    <s v="West"/>
    <d v="2024-07-28T00:00:00"/>
    <x v="5"/>
    <n v="46360.86"/>
    <n v="4546.16"/>
    <s v="Low"/>
    <s v="Ana Torres"/>
    <s v="Escalated"/>
    <n v="308"/>
    <d v="2024-09-20T00:00:00"/>
    <n v="54"/>
    <s v="Partial Credit"/>
    <n v="2330.38"/>
  </r>
  <r>
    <s v="DIS-0502"/>
    <s v="INV-1502"/>
    <s v="VND-019"/>
    <s v="CleanOffice Services"/>
    <s v="Services"/>
    <s v="West"/>
    <d v="2024-06-01T00:00:00"/>
    <x v="4"/>
    <n v="96535.33"/>
    <n v="8987.18"/>
    <s v="High"/>
    <s v="Juan Vargas"/>
    <s v="Resolved"/>
    <n v="365"/>
    <d v="2024-06-29T00:00:00"/>
    <n v="28"/>
    <s v="No Action"/>
    <n v="0"/>
  </r>
  <r>
    <s v="DIS-0503"/>
    <s v="INV-1503"/>
    <s v="VND-019"/>
    <s v="CleanOffice Services"/>
    <s v="Services"/>
    <s v="West"/>
    <d v="2024-09-08T00:00:00"/>
    <x v="3"/>
    <n v="32170.62"/>
    <n v="2419.46"/>
    <s v="Medium"/>
    <s v="Luis Herrera"/>
    <s v="Resolved"/>
    <n v="266"/>
    <d v="2024-12-06T00:00:00"/>
    <n v="89"/>
    <s v="Full Credit"/>
    <n v="2419.46"/>
  </r>
  <r>
    <s v="DIS-0504"/>
    <s v="INV-1504"/>
    <s v="VND-019"/>
    <s v="CleanOffice Services"/>
    <s v="Services"/>
    <s v="West"/>
    <d v="2025-01-29T00:00:00"/>
    <x v="1"/>
    <n v="67226.820000000007"/>
    <n v="52553.52"/>
    <s v="Low"/>
    <s v="Valeria Moreno"/>
    <s v="Resolved"/>
    <n v="123"/>
    <d v="2025-03-23T00:00:00"/>
    <n v="53"/>
    <s v="Partial Credit"/>
    <n v="16826.91"/>
  </r>
  <r>
    <s v="DIS-0505"/>
    <s v="INV-1505"/>
    <s v="VND-019"/>
    <s v="CleanOffice Services"/>
    <s v="Services"/>
    <s v="West"/>
    <d v="2025-05-24T00:00:00"/>
    <x v="1"/>
    <n v="75007.929999999993"/>
    <n v="7610.52"/>
    <s v="Low"/>
    <s v="Diego Castillo"/>
    <s v="Open"/>
    <n v="8"/>
    <m/>
    <m/>
    <s v="Pending"/>
    <n v="0"/>
  </r>
  <r>
    <s v="DIS-0506"/>
    <s v="INV-1506"/>
    <s v="VND-019"/>
    <s v="CleanOffice Services"/>
    <s v="Services"/>
    <s v="West"/>
    <d v="2025-01-10T00:00:00"/>
    <x v="2"/>
    <n v="26498.07"/>
    <n v="20464.27"/>
    <s v="Medium"/>
    <s v="Ana Torres"/>
    <s v="Resolved"/>
    <n v="142"/>
    <d v="2025-03-06T00:00:00"/>
    <n v="55"/>
    <s v="Partial Credit"/>
    <n v="10952.04"/>
  </r>
  <r>
    <s v="DIS-0507"/>
    <s v="INV-1507"/>
    <s v="VND-019"/>
    <s v="CleanOffice Services"/>
    <s v="Services"/>
    <s v="West"/>
    <d v="2024-09-16T00:00:00"/>
    <x v="1"/>
    <n v="32953.919999999998"/>
    <n v="25053.599999999999"/>
    <s v="High"/>
    <s v="Marta Lopez"/>
    <s v="Escalated"/>
    <n v="258"/>
    <d v="2024-11-06T00:00:00"/>
    <n v="51"/>
    <s v="Partial Credit"/>
    <n v="16584.990000000002"/>
  </r>
  <r>
    <s v="DIS-0508"/>
    <s v="INV-1508"/>
    <s v="VND-019"/>
    <s v="CleanOffice Services"/>
    <s v="Services"/>
    <s v="West"/>
    <d v="2024-12-09T00:00:00"/>
    <x v="3"/>
    <n v="96317.68"/>
    <n v="37962.300000000003"/>
    <s v="Medium"/>
    <s v="Ana Torres"/>
    <s v="Resolved"/>
    <n v="174"/>
    <d v="2025-01-14T00:00:00"/>
    <n v="36"/>
    <s v="Full Credit"/>
    <n v="37962.300000000003"/>
  </r>
  <r>
    <s v="DIS-0509"/>
    <s v="INV-1509"/>
    <s v="VND-019"/>
    <s v="CleanOffice Services"/>
    <s v="Services"/>
    <s v="West"/>
    <d v="2024-07-11T00:00:00"/>
    <x v="1"/>
    <n v="79922.320000000007"/>
    <n v="17206.22"/>
    <s v="High"/>
    <s v="Valeria Moreno"/>
    <s v="Closed"/>
    <n v="325"/>
    <d v="2024-09-18T00:00:00"/>
    <n v="69"/>
    <s v="Partial Credit"/>
    <n v="10676.31"/>
  </r>
  <r>
    <s v="DIS-0510"/>
    <s v="INV-1510"/>
    <s v="VND-019"/>
    <s v="CleanOffice Services"/>
    <s v="Services"/>
    <s v="West"/>
    <d v="2025-01-17T00:00:00"/>
    <x v="1"/>
    <n v="28584.47"/>
    <n v="3423.19"/>
    <s v="High"/>
    <s v="Carlos Mendez"/>
    <s v="Resolved"/>
    <n v="135"/>
    <d v="2025-02-11T00:00:00"/>
    <n v="25"/>
    <s v="Partial Credit"/>
    <n v="1410.77"/>
  </r>
  <r>
    <s v="DIS-0511"/>
    <s v="INV-1511"/>
    <s v="VND-019"/>
    <s v="CleanOffice Services"/>
    <s v="Services"/>
    <s v="West"/>
    <d v="2024-08-11T00:00:00"/>
    <x v="4"/>
    <n v="30562.2"/>
    <n v="23237.62"/>
    <s v="High"/>
    <s v="Juan Vargas"/>
    <s v="Escalated"/>
    <n v="294"/>
    <d v="2024-09-13T00:00:00"/>
    <n v="33"/>
    <s v="Payment Adjusted"/>
    <n v="10435.950000000001"/>
  </r>
  <r>
    <s v="DIS-0512"/>
    <s v="INV-1512"/>
    <s v="VND-019"/>
    <s v="CleanOffice Services"/>
    <s v="Services"/>
    <s v="West"/>
    <d v="2025-02-15T00:00:00"/>
    <x v="1"/>
    <n v="26774.720000000001"/>
    <n v="18105.21"/>
    <s v="High"/>
    <s v="Sofia Ruiz"/>
    <s v="Escalated"/>
    <n v="106"/>
    <d v="2025-03-05T00:00:00"/>
    <n v="18"/>
    <s v="Pending"/>
    <n v="0"/>
  </r>
  <r>
    <s v="DIS-0513"/>
    <s v="INV-1513"/>
    <s v="VND-019"/>
    <s v="CleanOffice Services"/>
    <s v="Services"/>
    <s v="West"/>
    <d v="2024-06-19T00:00:00"/>
    <x v="3"/>
    <n v="95799.07"/>
    <n v="40187.58"/>
    <s v="Low"/>
    <s v="Ana Torres"/>
    <s v="Closed"/>
    <n v="347"/>
    <d v="2024-08-08T00:00:00"/>
    <n v="50"/>
    <s v="Partial Credit"/>
    <n v="19909.099999999999"/>
  </r>
  <r>
    <s v="DIS-0514"/>
    <s v="INV-1514"/>
    <s v="VND-019"/>
    <s v="CleanOffice Services"/>
    <s v="Services"/>
    <s v="West"/>
    <d v="2024-08-10T00:00:00"/>
    <x v="3"/>
    <n v="87533.04"/>
    <n v="36597.919999999998"/>
    <s v="Critical"/>
    <s v="Marta Lopez"/>
    <s v="Resolved"/>
    <n v="295"/>
    <d v="2024-11-17T00:00:00"/>
    <n v="99"/>
    <s v="Partial Credit"/>
    <n v="8508.61"/>
  </r>
  <r>
    <s v="DIS-0515"/>
    <s v="INV-1515"/>
    <s v="VND-019"/>
    <s v="CleanOffice Services"/>
    <s v="Services"/>
    <s v="West"/>
    <d v="2024-10-27T00:00:00"/>
    <x v="2"/>
    <n v="50440.41"/>
    <n v="22979.439999999999"/>
    <s v="Medium"/>
    <s v="Sofia Ruiz"/>
    <s v="Resolved"/>
    <n v="217"/>
    <d v="2024-11-14T00:00:00"/>
    <n v="18"/>
    <s v="Payment Adjusted"/>
    <n v="6526.81"/>
  </r>
  <r>
    <s v="DIS-0516"/>
    <s v="INV-1516"/>
    <s v="VND-019"/>
    <s v="CleanOffice Services"/>
    <s v="Services"/>
    <s v="West"/>
    <d v="2024-06-13T00:00:00"/>
    <x v="5"/>
    <n v="5799.77"/>
    <n v="3222.22"/>
    <s v="Medium"/>
    <s v="Diego Castillo"/>
    <s v="Resolved"/>
    <n v="353"/>
    <d v="2024-10-04T00:00:00"/>
    <n v="113"/>
    <s v="Full Credit"/>
    <n v="3222.22"/>
  </r>
  <r>
    <s v="DIS-0517"/>
    <s v="INV-1517"/>
    <s v="VND-019"/>
    <s v="CleanOffice Services"/>
    <s v="Services"/>
    <s v="West"/>
    <d v="2024-08-24T00:00:00"/>
    <x v="1"/>
    <n v="29970.66"/>
    <n v="7554.29"/>
    <s v="Critical"/>
    <s v="Diego Castillo"/>
    <s v="Resolved"/>
    <n v="281"/>
    <d v="2024-10-20T00:00:00"/>
    <n v="57"/>
    <s v="Full Credit"/>
    <n v="7554.29"/>
  </r>
  <r>
    <s v="DIS-0518"/>
    <s v="INV-1518"/>
    <s v="VND-019"/>
    <s v="CleanOffice Services"/>
    <s v="Services"/>
    <s v="West"/>
    <d v="2024-06-07T00:00:00"/>
    <x v="2"/>
    <n v="76458.600000000006"/>
    <n v="24757.94"/>
    <s v="Medium"/>
    <s v="Sofia Ruiz"/>
    <s v="Resolved"/>
    <n v="359"/>
    <d v="2024-08-22T00:00:00"/>
    <n v="76"/>
    <s v="Payment Adjusted"/>
    <n v="10538.87"/>
  </r>
  <r>
    <s v="DIS-0519"/>
    <s v="INV-1519"/>
    <s v="VND-019"/>
    <s v="CleanOffice Services"/>
    <s v="Services"/>
    <s v="West"/>
    <d v="2025-01-13T00:00:00"/>
    <x v="4"/>
    <n v="81388.320000000007"/>
    <n v="37968.06"/>
    <s v="High"/>
    <s v="Sofia Ruiz"/>
    <s v="Closed"/>
    <n v="139"/>
    <d v="2025-04-20T00:00:00"/>
    <n v="97"/>
    <s v="Full Credit"/>
    <n v="37968.06"/>
  </r>
  <r>
    <s v="DIS-0520"/>
    <s v="INV-1520"/>
    <s v="VND-019"/>
    <s v="CleanOffice Services"/>
    <s v="Services"/>
    <s v="West"/>
    <d v="2025-05-27T00:00:00"/>
    <x v="0"/>
    <n v="21777.69"/>
    <n v="9248.9500000000007"/>
    <s v="Critical"/>
    <s v="Diego Castillo"/>
    <s v="In Progress"/>
    <n v="5"/>
    <m/>
    <m/>
    <s v="Pending"/>
    <n v="0"/>
  </r>
  <r>
    <s v="DIS-0521"/>
    <s v="INV-1521"/>
    <s v="VND-020"/>
    <s v="GasNetwork"/>
    <s v="Utilities"/>
    <s v="East"/>
    <d v="2024-08-17T00:00:00"/>
    <x v="4"/>
    <n v="86557.69"/>
    <n v="7425.09"/>
    <s v="Low"/>
    <s v="Ana Torres"/>
    <s v="Resolved"/>
    <n v="288"/>
    <d v="2024-09-21T00:00:00"/>
    <n v="35"/>
    <s v="Partial Credit"/>
    <n v="4291.09"/>
  </r>
  <r>
    <s v="DIS-0522"/>
    <s v="INV-1522"/>
    <s v="VND-020"/>
    <s v="GasNetwork"/>
    <s v="Utilities"/>
    <s v="East"/>
    <d v="2024-10-13T00:00:00"/>
    <x v="3"/>
    <n v="75736.36"/>
    <n v="18542.29"/>
    <s v="Medium"/>
    <s v="Marta Lopez"/>
    <s v="Resolved"/>
    <n v="231"/>
    <d v="2024-12-07T00:00:00"/>
    <n v="55"/>
    <s v="Full Credit"/>
    <n v="18542.29"/>
  </r>
  <r>
    <s v="DIS-0523"/>
    <s v="INV-1523"/>
    <s v="VND-020"/>
    <s v="GasNetwork"/>
    <s v="Utilities"/>
    <s v="East"/>
    <d v="2024-06-18T00:00:00"/>
    <x v="0"/>
    <n v="96496.07"/>
    <n v="19223.810000000001"/>
    <s v="Medium"/>
    <s v="Sofia Ruiz"/>
    <s v="Closed"/>
    <n v="348"/>
    <d v="2024-07-27T00:00:00"/>
    <n v="39"/>
    <s v="Full Credit"/>
    <n v="19223.810000000001"/>
  </r>
  <r>
    <s v="DIS-0524"/>
    <s v="INV-1524"/>
    <s v="VND-020"/>
    <s v="GasNetwork"/>
    <s v="Utilities"/>
    <s v="East"/>
    <d v="2024-06-21T00:00:00"/>
    <x v="5"/>
    <n v="53492.23"/>
    <n v="33756.71"/>
    <s v="Medium"/>
    <s v="Valeria Moreno"/>
    <s v="Resolved"/>
    <n v="345"/>
    <d v="2024-08-22T00:00:00"/>
    <n v="62"/>
    <s v="Partial Credit"/>
    <n v="9685.1"/>
  </r>
  <r>
    <s v="DIS-0525"/>
    <s v="INV-1525"/>
    <s v="VND-020"/>
    <s v="GasNetwork"/>
    <s v="Utilities"/>
    <s v="East"/>
    <d v="2025-03-07T00:00:00"/>
    <x v="3"/>
    <n v="65855.16"/>
    <n v="49155.94"/>
    <s v="Medium"/>
    <s v="Valeria Moreno"/>
    <s v="Escalated"/>
    <n v="86"/>
    <d v="2025-03-19T00:00:00"/>
    <n v="12"/>
    <s v="Full Credit"/>
    <n v="49155.94"/>
  </r>
  <r>
    <s v="DIS-0526"/>
    <s v="INV-1526"/>
    <s v="VND-020"/>
    <s v="GasNetwork"/>
    <s v="Utilities"/>
    <s v="East"/>
    <d v="2024-12-07T00:00:00"/>
    <x v="1"/>
    <n v="26680.7"/>
    <n v="7674.93"/>
    <s v="Medium"/>
    <s v="Valeria Moreno"/>
    <s v="Resolved"/>
    <n v="176"/>
    <d v="2025-02-04T00:00:00"/>
    <n v="59"/>
    <s v="Payment Adjusted"/>
    <n v="3649.49"/>
  </r>
  <r>
    <s v="DIS-0527"/>
    <s v="INV-1527"/>
    <s v="VND-020"/>
    <s v="GasNetwork"/>
    <s v="Utilities"/>
    <s v="East"/>
    <d v="2024-08-04T00:00:00"/>
    <x v="5"/>
    <n v="54488.89"/>
    <n v="21126.240000000002"/>
    <s v="Low"/>
    <s v="Sofia Ruiz"/>
    <s v="Escalated"/>
    <n v="301"/>
    <d v="2024-10-30T00:00:00"/>
    <n v="87"/>
    <s v="Full Credit"/>
    <n v="21126.240000000002"/>
  </r>
  <r>
    <s v="DIS-0528"/>
    <s v="INV-1528"/>
    <s v="VND-020"/>
    <s v="GasNetwork"/>
    <s v="Utilities"/>
    <s v="East"/>
    <d v="2024-06-07T00:00:00"/>
    <x v="5"/>
    <n v="76225.279999999999"/>
    <n v="15849.42"/>
    <s v="Medium"/>
    <s v="Carlos Mendez"/>
    <s v="Closed"/>
    <n v="359"/>
    <d v="2024-08-09T00:00:00"/>
    <n v="63"/>
    <s v="Partial Credit"/>
    <n v="3420.61"/>
  </r>
  <r>
    <s v="DIS-0529"/>
    <s v="INV-1529"/>
    <s v="VND-020"/>
    <s v="GasNetwork"/>
    <s v="Utilities"/>
    <s v="East"/>
    <d v="2024-11-09T00:00:00"/>
    <x v="3"/>
    <n v="54778.37"/>
    <n v="43658.93"/>
    <s v="Low"/>
    <s v="Sofia Ruiz"/>
    <s v="In Progress"/>
    <n v="204"/>
    <m/>
    <m/>
    <s v="Pending"/>
    <n v="0"/>
  </r>
  <r>
    <s v="DIS-0530"/>
    <s v="INV-1530"/>
    <s v="VND-020"/>
    <s v="GasNetwork"/>
    <s v="Utilities"/>
    <s v="East"/>
    <d v="2024-11-13T00:00:00"/>
    <x v="0"/>
    <n v="34390.21"/>
    <n v="8100.52"/>
    <s v="Medium"/>
    <s v="Sofia Ruiz"/>
    <s v="Resolved"/>
    <n v="200"/>
    <d v="2025-03-03T00:00:00"/>
    <n v="110"/>
    <s v="Full Credit"/>
    <n v="8100.52"/>
  </r>
  <r>
    <s v="DIS-0531"/>
    <s v="INV-1531"/>
    <s v="VND-020"/>
    <s v="GasNetwork"/>
    <s v="Utilities"/>
    <s v="East"/>
    <d v="2025-05-14T00:00:00"/>
    <x v="2"/>
    <n v="68037.17"/>
    <n v="47304.65"/>
    <s v="Medium"/>
    <s v="Juan Vargas"/>
    <s v="Closed"/>
    <n v="18"/>
    <d v="2025-05-25T00:00:00"/>
    <n v="11"/>
    <s v="Partial Credit"/>
    <n v="13295.87"/>
  </r>
  <r>
    <s v="DIS-0532"/>
    <s v="INV-1532"/>
    <s v="VND-020"/>
    <s v="GasNetwork"/>
    <s v="Utilities"/>
    <s v="East"/>
    <d v="2024-06-08T00:00:00"/>
    <x v="0"/>
    <n v="56232.32"/>
    <n v="27729.46"/>
    <s v="Medium"/>
    <s v="Valeria Moreno"/>
    <s v="Resolved"/>
    <n v="358"/>
    <d v="2024-08-31T00:00:00"/>
    <n v="84"/>
    <s v="Partial Credit"/>
    <n v="20668.259999999998"/>
  </r>
  <r>
    <s v="DIS-0533"/>
    <s v="INV-1533"/>
    <s v="VND-020"/>
    <s v="GasNetwork"/>
    <s v="Utilities"/>
    <s v="East"/>
    <d v="2024-09-27T00:00:00"/>
    <x v="1"/>
    <n v="56268.47"/>
    <n v="36773.18"/>
    <s v="Medium"/>
    <s v="Valeria Moreno"/>
    <s v="Resolved"/>
    <n v="247"/>
    <d v="2024-11-07T00:00:00"/>
    <n v="41"/>
    <s v="Full Credit"/>
    <n v="36773.18"/>
  </r>
  <r>
    <s v="DIS-0534"/>
    <s v="INV-1534"/>
    <s v="VND-020"/>
    <s v="GasNetwork"/>
    <s v="Utilities"/>
    <s v="East"/>
    <d v="2024-09-06T00:00:00"/>
    <x v="2"/>
    <n v="82461.08"/>
    <n v="56564.99"/>
    <s v="Medium"/>
    <s v="Ana Torres"/>
    <s v="Escalated"/>
    <n v="268"/>
    <d v="2024-11-10T00:00:00"/>
    <n v="65"/>
    <s v="Pending"/>
    <n v="0"/>
  </r>
  <r>
    <s v="DIS-0535"/>
    <s v="INV-1535"/>
    <s v="VND-020"/>
    <s v="GasNetwork"/>
    <s v="Utilities"/>
    <s v="East"/>
    <d v="2024-09-29T00:00:00"/>
    <x v="3"/>
    <n v="33463"/>
    <n v="20894.36"/>
    <s v="High"/>
    <s v="Luis Herrera"/>
    <s v="Escalated"/>
    <n v="245"/>
    <d v="2024-12-11T00:00:00"/>
    <n v="73"/>
    <s v="Full Credit"/>
    <n v="20894.36"/>
  </r>
  <r>
    <s v="DIS-0536"/>
    <s v="INV-1536"/>
    <s v="VND-020"/>
    <s v="GasNetwork"/>
    <s v="Utilities"/>
    <s v="East"/>
    <d v="2024-11-02T00:00:00"/>
    <x v="0"/>
    <n v="88805.4"/>
    <n v="33553.32"/>
    <s v="Low"/>
    <s v="Valeria Moreno"/>
    <s v="Closed"/>
    <n v="211"/>
    <d v="2024-12-03T00:00:00"/>
    <n v="31"/>
    <s v="Full Credit"/>
    <n v="33553.32"/>
  </r>
  <r>
    <s v="DIS-0537"/>
    <s v="INV-1537"/>
    <s v="VND-020"/>
    <s v="GasNetwork"/>
    <s v="Utilities"/>
    <s v="East"/>
    <d v="2024-10-27T00:00:00"/>
    <x v="3"/>
    <n v="64405.69"/>
    <n v="28174.76"/>
    <s v="High"/>
    <s v="Marta Lopez"/>
    <s v="Resolved"/>
    <n v="217"/>
    <d v="2025-02-02T00:00:00"/>
    <n v="98"/>
    <s v="Partial Credit"/>
    <n v="10179.35"/>
  </r>
  <r>
    <s v="DIS-0538"/>
    <s v="INV-1538"/>
    <s v="VND-020"/>
    <s v="GasNetwork"/>
    <s v="Utilities"/>
    <s v="East"/>
    <d v="2025-02-24T00:00:00"/>
    <x v="0"/>
    <n v="86080.79"/>
    <n v="16080.36"/>
    <s v="Medium"/>
    <s v="Juan Vargas"/>
    <s v="Resolved"/>
    <n v="97"/>
    <d v="2025-04-02T00:00:00"/>
    <n v="37"/>
    <s v="Payment Adjusted"/>
    <n v="4772.63"/>
  </r>
  <r>
    <s v="DIS-0539"/>
    <s v="INV-1539"/>
    <s v="VND-020"/>
    <s v="GasNetwork"/>
    <s v="Utilities"/>
    <s v="East"/>
    <d v="2024-12-18T00:00:00"/>
    <x v="4"/>
    <n v="6842.56"/>
    <n v="596.84"/>
    <s v="Medium"/>
    <s v="Carlos Mendez"/>
    <s v="Resolved"/>
    <n v="165"/>
    <d v="2025-01-06T00:00:00"/>
    <n v="19"/>
    <s v="Payment Adjusted"/>
    <n v="233.27"/>
  </r>
  <r>
    <s v="DIS-0540"/>
    <s v="INV-1540"/>
    <s v="VND-020"/>
    <s v="GasNetwork"/>
    <s v="Utilities"/>
    <s v="East"/>
    <d v="2025-02-01T00:00:00"/>
    <x v="2"/>
    <n v="13568.71"/>
    <n v="828.28"/>
    <s v="Low"/>
    <s v="Marta Lopez"/>
    <s v="Escalated"/>
    <n v="120"/>
    <d v="2025-04-08T00:00:00"/>
    <n v="66"/>
    <s v="Pending"/>
    <n v="0"/>
  </r>
  <r>
    <s v="DIS-0541"/>
    <s v="INV-1541"/>
    <s v="VND-020"/>
    <s v="GasNetwork"/>
    <s v="Utilities"/>
    <s v="East"/>
    <d v="2024-10-06T00:00:00"/>
    <x v="4"/>
    <n v="71208.81"/>
    <n v="5255.41"/>
    <s v="Low"/>
    <s v="Ana Torres"/>
    <s v="Resolved"/>
    <n v="238"/>
    <d v="2024-11-28T00:00:00"/>
    <n v="53"/>
    <s v="Full Credit"/>
    <n v="5255.41"/>
  </r>
  <r>
    <s v="DIS-0542"/>
    <s v="INV-1542"/>
    <s v="VND-020"/>
    <s v="GasNetwork"/>
    <s v="Utilities"/>
    <s v="East"/>
    <d v="2024-10-03T00:00:00"/>
    <x v="2"/>
    <n v="22252.36"/>
    <n v="16061.18"/>
    <s v="Medium"/>
    <s v="Ana Torres"/>
    <s v="Resolved"/>
    <n v="241"/>
    <d v="2025-01-12T00:00:00"/>
    <n v="101"/>
    <s v="Payment Adjusted"/>
    <n v="4078.24"/>
  </r>
  <r>
    <s v="DIS-0543"/>
    <s v="INV-1543"/>
    <s v="VND-020"/>
    <s v="GasNetwork"/>
    <s v="Utilities"/>
    <s v="East"/>
    <d v="2024-10-17T00:00:00"/>
    <x v="0"/>
    <n v="28480.41"/>
    <n v="22667.599999999999"/>
    <s v="Low"/>
    <s v="Carlos Mendez"/>
    <s v="Resolved"/>
    <n v="227"/>
    <d v="2024-11-15T00:00:00"/>
    <n v="29"/>
    <s v="Partial Credit"/>
    <n v="13801.52"/>
  </r>
  <r>
    <s v="DIS-0544"/>
    <s v="INV-1544"/>
    <s v="VND-020"/>
    <s v="GasNetwork"/>
    <s v="Utilities"/>
    <s v="East"/>
    <d v="2024-12-23T00:00:00"/>
    <x v="0"/>
    <n v="93940.45"/>
    <n v="15872.04"/>
    <s v="High"/>
    <s v="Carlos Mendez"/>
    <s v="Resolved"/>
    <n v="160"/>
    <d v="2025-03-17T00:00:00"/>
    <n v="84"/>
    <s v="Full Credit"/>
    <n v="15872.04"/>
  </r>
  <r>
    <s v="DIS-0545"/>
    <s v="INV-1545"/>
    <s v="VND-020"/>
    <s v="GasNetwork"/>
    <s v="Utilities"/>
    <s v="East"/>
    <d v="2024-11-28T00:00:00"/>
    <x v="5"/>
    <n v="89314.36"/>
    <n v="62318.49"/>
    <s v="Low"/>
    <s v="Luis Herrera"/>
    <s v="Resolved"/>
    <n v="185"/>
    <d v="2025-01-11T00:00:00"/>
    <n v="44"/>
    <s v="Full Credit"/>
    <n v="62318.49"/>
  </r>
  <r>
    <s v="DIS-0546"/>
    <s v="INV-1546"/>
    <s v="VND-020"/>
    <s v="GasNetwork"/>
    <s v="Utilities"/>
    <s v="East"/>
    <d v="2025-01-10T00:00:00"/>
    <x v="5"/>
    <n v="60546.2"/>
    <n v="21000.83"/>
    <s v="Low"/>
    <s v="Juan Vargas"/>
    <s v="Escalated"/>
    <n v="142"/>
    <d v="2025-02-01T00:00:00"/>
    <n v="22"/>
    <s v="Full Credit"/>
    <n v="21000.83"/>
  </r>
  <r>
    <s v="DIS-0547"/>
    <s v="INV-1547"/>
    <s v="VND-020"/>
    <s v="GasNetwork"/>
    <s v="Utilities"/>
    <s v="East"/>
    <d v="2025-04-16T00:00:00"/>
    <x v="1"/>
    <n v="28628.61"/>
    <n v="12165.42"/>
    <s v="High"/>
    <s v="Ana Torres"/>
    <s v="Open"/>
    <n v="46"/>
    <m/>
    <m/>
    <s v="Pending"/>
    <n v="0"/>
  </r>
  <r>
    <s v="DIS-0548"/>
    <s v="INV-1548"/>
    <s v="VND-020"/>
    <s v="GasNetwork"/>
    <s v="Utilities"/>
    <s v="East"/>
    <d v="2024-07-05T00:00:00"/>
    <x v="2"/>
    <n v="19622.25"/>
    <n v="8874.4599999999991"/>
    <s v="Low"/>
    <s v="Luis Herrera"/>
    <s v="Resolved"/>
    <n v="331"/>
    <d v="2024-09-17T00:00:00"/>
    <n v="74"/>
    <s v="Payment Adjusted"/>
    <n v="3573.5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s v="DIS-0001"/>
    <s v="INV-1001"/>
    <s v="VND-001"/>
    <s v="Acero Nacional SA"/>
    <s v="Materials"/>
    <s v="North"/>
    <d v="2025-01-11T00:00:00"/>
    <s v="Contract Terms"/>
    <n v="28264.73"/>
    <n v="4371.24"/>
    <x v="0"/>
    <s v="Carlos Mendez"/>
    <s v="Resolved"/>
    <n v="141"/>
    <d v="2025-01-18T00:00:00"/>
    <n v="7"/>
    <s v="Full Credit"/>
    <n v="4371.24"/>
  </r>
  <r>
    <s v="DIS-0002"/>
    <s v="INV-1002"/>
    <s v="VND-001"/>
    <s v="Acero Nacional SA"/>
    <s v="Materials"/>
    <s v="North"/>
    <d v="2025-02-09T00:00:00"/>
    <s v="Contract Terms"/>
    <n v="27102.78"/>
    <n v="13592.42"/>
    <x v="1"/>
    <s v="Valeria Moreno"/>
    <s v="Resolved"/>
    <n v="112"/>
    <d v="2025-04-28T00:00:00"/>
    <n v="78"/>
    <s v="Full Credit"/>
    <n v="13592.42"/>
  </r>
  <r>
    <s v="DIS-0003"/>
    <s v="INV-1003"/>
    <s v="VND-001"/>
    <s v="Acero Nacional SA"/>
    <s v="Materials"/>
    <s v="North"/>
    <d v="2025-05-28T00:00:00"/>
    <s v="Missing Goods"/>
    <n v="77086.7"/>
    <n v="13085.04"/>
    <x v="1"/>
    <s v="Sofia Ruiz"/>
    <s v="Open"/>
    <n v="4"/>
    <m/>
    <m/>
    <s v="Pending"/>
    <n v="0"/>
  </r>
  <r>
    <s v="DIS-0004"/>
    <s v="INV-1004"/>
    <s v="VND-001"/>
    <s v="Acero Nacional SA"/>
    <s v="Materials"/>
    <s v="North"/>
    <d v="2024-12-10T00:00:00"/>
    <s v="Missing Goods"/>
    <n v="14709.98"/>
    <n v="4927.04"/>
    <x v="1"/>
    <s v="Marta Lopez"/>
    <s v="Closed"/>
    <n v="173"/>
    <d v="2025-03-16T00:00:00"/>
    <n v="96"/>
    <s v="Partial Credit"/>
    <n v="1354.42"/>
  </r>
  <r>
    <s v="DIS-0005"/>
    <s v="INV-1005"/>
    <s v="VND-001"/>
    <s v="Acero Nacional SA"/>
    <s v="Materials"/>
    <s v="North"/>
    <d v="2024-11-19T00:00:00"/>
    <s v="Missing Goods"/>
    <n v="12486.02"/>
    <n v="3369.77"/>
    <x v="1"/>
    <s v="Luis Herrera"/>
    <s v="Escalated"/>
    <n v="194"/>
    <d v="2024-11-27T00:00:00"/>
    <n v="8"/>
    <s v="Payment Adjusted"/>
    <n v="1379"/>
  </r>
  <r>
    <s v="DIS-0006"/>
    <s v="INV-1006"/>
    <s v="VND-001"/>
    <s v="Acero Nacional SA"/>
    <s v="Materials"/>
    <s v="North"/>
    <d v="2025-04-21T00:00:00"/>
    <s v="Duplicate Invoice"/>
    <n v="86255.18"/>
    <n v="60366.79"/>
    <x v="1"/>
    <s v="Diego Castillo"/>
    <s v="In Progress"/>
    <n v="41"/>
    <m/>
    <m/>
    <s v="Pending"/>
    <n v="0"/>
  </r>
  <r>
    <s v="DIS-0007"/>
    <s v="INV-1007"/>
    <s v="VND-001"/>
    <s v="Acero Nacional SA"/>
    <s v="Materials"/>
    <s v="North"/>
    <d v="2024-12-01T00:00:00"/>
    <s v="Contract Terms"/>
    <n v="24903.17"/>
    <n v="6231.6"/>
    <x v="2"/>
    <s v="Carlos Mendez"/>
    <s v="Resolved"/>
    <n v="182"/>
    <d v="2024-12-25T00:00:00"/>
    <n v="24"/>
    <s v="Partial Credit"/>
    <n v="2161.66"/>
  </r>
  <r>
    <s v="DIS-0008"/>
    <s v="INV-1008"/>
    <s v="VND-001"/>
    <s v="Acero Nacional SA"/>
    <s v="Materials"/>
    <s v="North"/>
    <d v="2024-10-07T00:00:00"/>
    <s v="Service Quality"/>
    <n v="41048.269999999997"/>
    <n v="32516.080000000002"/>
    <x v="1"/>
    <s v="Luis Herrera"/>
    <s v="Escalated"/>
    <n v="237"/>
    <d v="2025-01-25T00:00:00"/>
    <n v="110"/>
    <s v="Payment Adjusted"/>
    <n v="3979.16"/>
  </r>
  <r>
    <s v="DIS-0009"/>
    <s v="INV-1009"/>
    <s v="VND-001"/>
    <s v="Acero Nacional SA"/>
    <s v="Materials"/>
    <s v="North"/>
    <d v="2025-05-15T00:00:00"/>
    <s v="Service Quality"/>
    <n v="81479.350000000006"/>
    <n v="28588.95"/>
    <x v="0"/>
    <s v="Diego Castillo"/>
    <s v="Open"/>
    <n v="17"/>
    <m/>
    <m/>
    <s v="Pending"/>
    <n v="0"/>
  </r>
  <r>
    <s v="DIS-0010"/>
    <s v="INV-1010"/>
    <s v="VND-001"/>
    <s v="Acero Nacional SA"/>
    <s v="Materials"/>
    <s v="North"/>
    <d v="2024-09-18T00:00:00"/>
    <s v="Missing Goods"/>
    <n v="42585.03"/>
    <n v="31338.78"/>
    <x v="1"/>
    <s v="Sofia Ruiz"/>
    <s v="Resolved"/>
    <n v="256"/>
    <d v="2024-12-01T00:00:00"/>
    <n v="74"/>
    <s v="Partial Credit"/>
    <n v="20314.060000000001"/>
  </r>
  <r>
    <s v="DIS-0011"/>
    <s v="INV-1011"/>
    <s v="VND-001"/>
    <s v="Acero Nacional SA"/>
    <s v="Materials"/>
    <s v="North"/>
    <d v="2024-10-24T00:00:00"/>
    <s v="Damaged Goods"/>
    <n v="90293.17"/>
    <n v="31562.01"/>
    <x v="0"/>
    <s v="Juan Vargas"/>
    <s v="In Progress"/>
    <n v="220"/>
    <m/>
    <m/>
    <s v="Pending"/>
    <n v="0"/>
  </r>
  <r>
    <s v="DIS-0012"/>
    <s v="INV-1012"/>
    <s v="VND-001"/>
    <s v="Acero Nacional SA"/>
    <s v="Materials"/>
    <s v="North"/>
    <d v="2025-05-07T00:00:00"/>
    <s v="Contract Terms"/>
    <n v="86804.78"/>
    <n v="14290.76"/>
    <x v="0"/>
    <s v="Valeria Moreno"/>
    <s v="In Progress"/>
    <n v="25"/>
    <m/>
    <m/>
    <s v="Pending"/>
    <n v="0"/>
  </r>
  <r>
    <s v="DIS-0013"/>
    <s v="INV-1013"/>
    <s v="VND-001"/>
    <s v="Acero Nacional SA"/>
    <s v="Materials"/>
    <s v="North"/>
    <d v="2024-11-15T00:00:00"/>
    <s v="Service Quality"/>
    <n v="41253.83"/>
    <n v="32883.06"/>
    <x v="1"/>
    <s v="Ana Torres"/>
    <s v="Escalated"/>
    <n v="198"/>
    <d v="2024-12-02T00:00:00"/>
    <n v="17"/>
    <s v="Payment Adjusted"/>
    <n v="10351.200000000001"/>
  </r>
  <r>
    <s v="DIS-0014"/>
    <s v="INV-1014"/>
    <s v="VND-001"/>
    <s v="Acero Nacional SA"/>
    <s v="Materials"/>
    <s v="North"/>
    <d v="2025-01-15T00:00:00"/>
    <s v="Damaged Goods"/>
    <n v="78016.88"/>
    <n v="23805.42"/>
    <x v="1"/>
    <s v="Juan Vargas"/>
    <s v="Open"/>
    <n v="137"/>
    <m/>
    <m/>
    <s v="Pending"/>
    <n v="0"/>
  </r>
  <r>
    <s v="DIS-0015"/>
    <s v="INV-1015"/>
    <s v="VND-001"/>
    <s v="Acero Nacional SA"/>
    <s v="Materials"/>
    <s v="North"/>
    <d v="2025-01-17T00:00:00"/>
    <s v="Price Discrepancy"/>
    <n v="97329.37"/>
    <n v="60487.44"/>
    <x v="1"/>
    <s v="Marta Lopez"/>
    <s v="Closed"/>
    <n v="135"/>
    <d v="2025-03-25T00:00:00"/>
    <n v="67"/>
    <s v="Partial Credit"/>
    <n v="17644.400000000001"/>
  </r>
  <r>
    <s v="DIS-0016"/>
    <s v="INV-1016"/>
    <s v="VND-001"/>
    <s v="Acero Nacional SA"/>
    <s v="Materials"/>
    <s v="North"/>
    <d v="2025-03-10T00:00:00"/>
    <s v="Price Discrepancy"/>
    <n v="56241.01"/>
    <n v="35655.11"/>
    <x v="1"/>
    <s v="Diego Castillo"/>
    <s v="Resolved"/>
    <n v="83"/>
    <d v="2025-03-27T00:00:00"/>
    <n v="17"/>
    <s v="Pending"/>
    <n v="0"/>
  </r>
  <r>
    <s v="DIS-0017"/>
    <s v="INV-1017"/>
    <s v="VND-001"/>
    <s v="Acero Nacional SA"/>
    <s v="Materials"/>
    <s v="North"/>
    <d v="2024-12-25T00:00:00"/>
    <s v="Price Discrepancy"/>
    <n v="27747.97"/>
    <n v="6400.17"/>
    <x v="1"/>
    <s v="Carlos Mendez"/>
    <s v="Escalated"/>
    <n v="158"/>
    <d v="2025-04-11T00:00:00"/>
    <n v="107"/>
    <s v="Full Credit"/>
    <n v="6400.17"/>
  </r>
  <r>
    <s v="DIS-0018"/>
    <s v="INV-1018"/>
    <s v="VND-001"/>
    <s v="Acero Nacional SA"/>
    <s v="Materials"/>
    <s v="North"/>
    <d v="2024-09-01T00:00:00"/>
    <s v="Service Quality"/>
    <n v="77754.27"/>
    <n v="11374.95"/>
    <x v="1"/>
    <s v="Sofia Ruiz"/>
    <s v="Resolved"/>
    <n v="273"/>
    <d v="2024-12-24T00:00:00"/>
    <n v="114"/>
    <s v="Partial Credit"/>
    <n v="8856.74"/>
  </r>
  <r>
    <s v="DIS-0019"/>
    <s v="INV-1019"/>
    <s v="VND-001"/>
    <s v="Acero Nacional SA"/>
    <s v="Materials"/>
    <s v="North"/>
    <d v="2024-08-28T00:00:00"/>
    <s v="Duplicate Invoice"/>
    <n v="76750.19"/>
    <n v="43548.11"/>
    <x v="3"/>
    <s v="Diego Castillo"/>
    <s v="Resolved"/>
    <n v="277"/>
    <d v="2024-11-05T00:00:00"/>
    <n v="69"/>
    <s v="Partial Credit"/>
    <n v="15187.11"/>
  </r>
  <r>
    <s v="DIS-0020"/>
    <s v="INV-1020"/>
    <s v="VND-001"/>
    <s v="Acero Nacional SA"/>
    <s v="Materials"/>
    <s v="North"/>
    <d v="2025-04-29T00:00:00"/>
    <s v="Damaged Goods"/>
    <n v="37118.129999999997"/>
    <n v="18233.599999999999"/>
    <x v="0"/>
    <s v="Ana Torres"/>
    <s v="Open"/>
    <n v="33"/>
    <m/>
    <m/>
    <s v="Pending"/>
    <n v="0"/>
  </r>
  <r>
    <s v="DIS-0021"/>
    <s v="INV-1021"/>
    <s v="VND-002"/>
    <s v="TechSupplies Inc"/>
    <s v="IT"/>
    <s v="North"/>
    <d v="2025-04-27T00:00:00"/>
    <s v="Damaged Goods"/>
    <n v="91014.9"/>
    <n v="63230.47"/>
    <x v="0"/>
    <s v="Marta Lopez"/>
    <s v="Resolved"/>
    <n v="35"/>
    <d v="2025-05-13T00:00:00"/>
    <n v="16"/>
    <s v="Partial Credit"/>
    <n v="40088.85"/>
  </r>
  <r>
    <s v="DIS-0022"/>
    <s v="INV-1022"/>
    <s v="VND-002"/>
    <s v="TechSupplies Inc"/>
    <s v="IT"/>
    <s v="North"/>
    <d v="2024-08-12T00:00:00"/>
    <s v="Duplicate Invoice"/>
    <n v="59740.11"/>
    <n v="13874.52"/>
    <x v="1"/>
    <s v="Luis Herrera"/>
    <s v="In Progress"/>
    <n v="293"/>
    <m/>
    <m/>
    <s v="Pending"/>
    <n v="0"/>
  </r>
  <r>
    <s v="DIS-0023"/>
    <s v="INV-1023"/>
    <s v="VND-002"/>
    <s v="TechSupplies Inc"/>
    <s v="IT"/>
    <s v="North"/>
    <d v="2024-06-28T00:00:00"/>
    <s v="Contract Terms"/>
    <n v="45949.86"/>
    <n v="16895.03"/>
    <x v="1"/>
    <s v="Ana Torres"/>
    <s v="Escalated"/>
    <n v="338"/>
    <d v="2024-09-21T00:00:00"/>
    <n v="85"/>
    <s v="Full Credit"/>
    <n v="16895.03"/>
  </r>
  <r>
    <s v="DIS-0024"/>
    <s v="INV-1024"/>
    <s v="VND-002"/>
    <s v="TechSupplies Inc"/>
    <s v="IT"/>
    <s v="North"/>
    <d v="2024-11-06T00:00:00"/>
    <s v="Damaged Goods"/>
    <n v="74180.289999999994"/>
    <n v="48250.15"/>
    <x v="0"/>
    <s v="Luis Herrera"/>
    <s v="Resolved"/>
    <n v="207"/>
    <d v="2024-11-26T00:00:00"/>
    <n v="20"/>
    <s v="Partial Credit"/>
    <n v="17713.939999999999"/>
  </r>
  <r>
    <s v="DIS-0025"/>
    <s v="INV-1025"/>
    <s v="VND-002"/>
    <s v="TechSupplies Inc"/>
    <s v="IT"/>
    <s v="North"/>
    <d v="2025-01-24T00:00:00"/>
    <s v="Service Quality"/>
    <n v="88076.17"/>
    <n v="9383.52"/>
    <x v="3"/>
    <s v="Carlos Mendez"/>
    <s v="In Progress"/>
    <n v="128"/>
    <m/>
    <m/>
    <s v="Pending"/>
    <n v="0"/>
  </r>
  <r>
    <s v="DIS-0026"/>
    <s v="INV-1026"/>
    <s v="VND-002"/>
    <s v="TechSupplies Inc"/>
    <s v="IT"/>
    <s v="North"/>
    <d v="2024-08-28T00:00:00"/>
    <s v="Damaged Goods"/>
    <n v="84422.62"/>
    <n v="65575.03"/>
    <x v="2"/>
    <s v="Sofia Ruiz"/>
    <s v="Resolved"/>
    <n v="277"/>
    <d v="2024-10-31T00:00:00"/>
    <n v="64"/>
    <s v="Full Credit"/>
    <n v="65575.03"/>
  </r>
  <r>
    <s v="DIS-0027"/>
    <s v="INV-1027"/>
    <s v="VND-002"/>
    <s v="TechSupplies Inc"/>
    <s v="IT"/>
    <s v="North"/>
    <d v="2024-11-07T00:00:00"/>
    <s v="Duplicate Invoice"/>
    <n v="90732.07"/>
    <n v="15740"/>
    <x v="0"/>
    <s v="Marta Lopez"/>
    <s v="Closed"/>
    <n v="206"/>
    <d v="2025-02-18T00:00:00"/>
    <n v="103"/>
    <s v="Partial Credit"/>
    <n v="7142.88"/>
  </r>
  <r>
    <s v="DIS-0028"/>
    <s v="INV-1028"/>
    <s v="VND-002"/>
    <s v="TechSupplies Inc"/>
    <s v="IT"/>
    <s v="North"/>
    <d v="2024-08-20T00:00:00"/>
    <s v="Damaged Goods"/>
    <n v="67877.77"/>
    <n v="28169.52"/>
    <x v="0"/>
    <s v="Ana Torres"/>
    <s v="Resolved"/>
    <n v="285"/>
    <d v="2024-10-31T00:00:00"/>
    <n v="72"/>
    <s v="Full Credit"/>
    <n v="28169.52"/>
  </r>
  <r>
    <s v="DIS-0029"/>
    <s v="INV-1029"/>
    <s v="VND-002"/>
    <s v="TechSupplies Inc"/>
    <s v="IT"/>
    <s v="North"/>
    <d v="2024-12-22T00:00:00"/>
    <s v="Service Quality"/>
    <n v="10430.700000000001"/>
    <n v="5091.57"/>
    <x v="1"/>
    <s v="Sofia Ruiz"/>
    <s v="In Progress"/>
    <n v="161"/>
    <m/>
    <m/>
    <s v="Pending"/>
    <n v="0"/>
  </r>
  <r>
    <s v="DIS-0030"/>
    <s v="INV-1030"/>
    <s v="VND-002"/>
    <s v="TechSupplies Inc"/>
    <s v="IT"/>
    <s v="North"/>
    <d v="2024-09-13T00:00:00"/>
    <s v="Contract Terms"/>
    <n v="12610.59"/>
    <n v="2388.0500000000002"/>
    <x v="1"/>
    <s v="Luis Herrera"/>
    <s v="Resolved"/>
    <n v="261"/>
    <d v="2025-01-07T00:00:00"/>
    <n v="116"/>
    <s v="Partial Credit"/>
    <n v="1307.0999999999999"/>
  </r>
  <r>
    <s v="DIS-0031"/>
    <s v="INV-1031"/>
    <s v="VND-002"/>
    <s v="TechSupplies Inc"/>
    <s v="IT"/>
    <s v="North"/>
    <d v="2025-05-11T00:00:00"/>
    <s v="Service Quality"/>
    <n v="63841.24"/>
    <n v="23264.94"/>
    <x v="1"/>
    <s v="Diego Castillo"/>
    <s v="Closed"/>
    <n v="21"/>
    <d v="2025-05-20T00:00:00"/>
    <n v="9"/>
    <s v="Payment Adjusted"/>
    <n v="5250.28"/>
  </r>
  <r>
    <s v="DIS-0032"/>
    <s v="INV-1032"/>
    <s v="VND-002"/>
    <s v="TechSupplies Inc"/>
    <s v="IT"/>
    <s v="North"/>
    <d v="2025-01-16T00:00:00"/>
    <s v="Missing Goods"/>
    <n v="42599.66"/>
    <n v="23590.31"/>
    <x v="1"/>
    <s v="Carlos Mendez"/>
    <s v="Open"/>
    <n v="136"/>
    <m/>
    <m/>
    <s v="Pending"/>
    <n v="0"/>
  </r>
  <r>
    <s v="DIS-0033"/>
    <s v="INV-1033"/>
    <s v="VND-002"/>
    <s v="TechSupplies Inc"/>
    <s v="IT"/>
    <s v="North"/>
    <d v="2024-07-17T00:00:00"/>
    <s v="Damaged Goods"/>
    <n v="99853.17"/>
    <n v="79590.2"/>
    <x v="0"/>
    <s v="Marta Lopez"/>
    <s v="Resolved"/>
    <n v="319"/>
    <d v="2024-09-02T00:00:00"/>
    <n v="47"/>
    <s v="No Action"/>
    <n v="0"/>
  </r>
  <r>
    <s v="DIS-0034"/>
    <s v="INV-1034"/>
    <s v="VND-002"/>
    <s v="TechSupplies Inc"/>
    <s v="IT"/>
    <s v="North"/>
    <d v="2025-01-26T00:00:00"/>
    <s v="Contract Terms"/>
    <n v="40105.07"/>
    <n v="6750.09"/>
    <x v="3"/>
    <s v="Marta Lopez"/>
    <s v="Resolved"/>
    <n v="126"/>
    <d v="2025-05-12T00:00:00"/>
    <n v="106"/>
    <s v="Payment Adjusted"/>
    <n v="696.13"/>
  </r>
  <r>
    <s v="DIS-0035"/>
    <s v="INV-1035"/>
    <s v="VND-002"/>
    <s v="TechSupplies Inc"/>
    <s v="IT"/>
    <s v="North"/>
    <d v="2024-08-21T00:00:00"/>
    <s v="Damaged Goods"/>
    <n v="33440.980000000003"/>
    <n v="18310.330000000002"/>
    <x v="2"/>
    <s v="Marta Lopez"/>
    <s v="Resolved"/>
    <n v="284"/>
    <d v="2024-09-06T00:00:00"/>
    <n v="16"/>
    <s v="Payment Adjusted"/>
    <n v="2969.55"/>
  </r>
  <r>
    <s v="DIS-0036"/>
    <s v="INV-1036"/>
    <s v="VND-002"/>
    <s v="TechSupplies Inc"/>
    <s v="IT"/>
    <s v="North"/>
    <d v="2025-01-07T00:00:00"/>
    <s v="Contract Terms"/>
    <n v="62458.83"/>
    <n v="36738.85"/>
    <x v="0"/>
    <s v="Marta Lopez"/>
    <s v="Resolved"/>
    <n v="145"/>
    <d v="2025-02-11T00:00:00"/>
    <n v="35"/>
    <s v="No Action"/>
    <n v="0"/>
  </r>
  <r>
    <s v="DIS-0037"/>
    <s v="INV-1037"/>
    <s v="VND-002"/>
    <s v="TechSupplies Inc"/>
    <s v="IT"/>
    <s v="North"/>
    <d v="2025-05-05T00:00:00"/>
    <s v="Price Discrepancy"/>
    <n v="13768.35"/>
    <n v="5062.37"/>
    <x v="1"/>
    <s v="Diego Castillo"/>
    <s v="Resolved"/>
    <n v="27"/>
    <d v="2025-05-28T00:00:00"/>
    <n v="23"/>
    <s v="Pending"/>
    <n v="0"/>
  </r>
  <r>
    <s v="DIS-0038"/>
    <s v="INV-1038"/>
    <s v="VND-002"/>
    <s v="TechSupplies Inc"/>
    <s v="IT"/>
    <s v="North"/>
    <d v="2025-03-10T00:00:00"/>
    <s v="Price Discrepancy"/>
    <n v="75416.94"/>
    <n v="34975.379999999997"/>
    <x v="1"/>
    <s v="Carlos Mendez"/>
    <s v="Open"/>
    <n v="83"/>
    <m/>
    <m/>
    <s v="Pending"/>
    <n v="0"/>
  </r>
  <r>
    <s v="DIS-0039"/>
    <s v="INV-1039"/>
    <s v="VND-002"/>
    <s v="TechSupplies Inc"/>
    <s v="IT"/>
    <s v="North"/>
    <d v="2024-06-12T00:00:00"/>
    <s v="Service Quality"/>
    <n v="90873.21"/>
    <n v="41728.32"/>
    <x v="3"/>
    <s v="Sofia Ruiz"/>
    <s v="Resolved"/>
    <n v="354"/>
    <d v="2024-06-20T00:00:00"/>
    <n v="8"/>
    <s v="Full Credit"/>
    <n v="41728.32"/>
  </r>
  <r>
    <s v="DIS-0040"/>
    <s v="INV-1040"/>
    <s v="VND-002"/>
    <s v="TechSupplies Inc"/>
    <s v="IT"/>
    <s v="North"/>
    <d v="2025-05-11T00:00:00"/>
    <s v="Price Discrepancy"/>
    <n v="90397.84"/>
    <n v="18762.740000000002"/>
    <x v="0"/>
    <s v="Diego Castillo"/>
    <s v="Resolved"/>
    <n v="21"/>
    <d v="2025-05-27T00:00:00"/>
    <n v="16"/>
    <s v="Pending"/>
    <n v="0"/>
  </r>
  <r>
    <s v="DIS-0041"/>
    <s v="INV-1041"/>
    <s v="VND-002"/>
    <s v="TechSupplies Inc"/>
    <s v="IT"/>
    <s v="North"/>
    <d v="2025-03-13T00:00:00"/>
    <s v="Damaged Goods"/>
    <n v="92947.56"/>
    <n v="21150.5"/>
    <x v="0"/>
    <s v="Valeria Moreno"/>
    <s v="Open"/>
    <n v="80"/>
    <m/>
    <m/>
    <s v="Pending"/>
    <n v="0"/>
  </r>
  <r>
    <s v="DIS-0042"/>
    <s v="INV-1042"/>
    <s v="VND-002"/>
    <s v="TechSupplies Inc"/>
    <s v="IT"/>
    <s v="North"/>
    <d v="2024-12-12T00:00:00"/>
    <s v="Contract Terms"/>
    <n v="79326.720000000001"/>
    <n v="28461.23"/>
    <x v="3"/>
    <s v="Luis Herrera"/>
    <s v="Resolved"/>
    <n v="171"/>
    <d v="2025-03-25T00:00:00"/>
    <n v="103"/>
    <s v="Payment Adjusted"/>
    <n v="7201.17"/>
  </r>
  <r>
    <s v="DIS-0043"/>
    <s v="INV-1043"/>
    <s v="VND-002"/>
    <s v="TechSupplies Inc"/>
    <s v="IT"/>
    <s v="North"/>
    <d v="2025-05-12T00:00:00"/>
    <s v="Duplicate Invoice"/>
    <n v="86566.36"/>
    <n v="18769.78"/>
    <x v="3"/>
    <s v="Diego Castillo"/>
    <s v="Open"/>
    <n v="20"/>
    <m/>
    <m/>
    <s v="Pending"/>
    <n v="0"/>
  </r>
  <r>
    <s v="DIS-0044"/>
    <s v="INV-1044"/>
    <s v="VND-002"/>
    <s v="TechSupplies Inc"/>
    <s v="IT"/>
    <s v="North"/>
    <d v="2025-02-04T00:00:00"/>
    <s v="Missing Goods"/>
    <n v="26177.74"/>
    <n v="14267.52"/>
    <x v="1"/>
    <s v="Carlos Mendez"/>
    <s v="Closed"/>
    <n v="117"/>
    <d v="2025-03-14T00:00:00"/>
    <n v="38"/>
    <s v="Full Credit"/>
    <n v="14267.52"/>
  </r>
  <r>
    <s v="DIS-0045"/>
    <s v="INV-1045"/>
    <s v="VND-002"/>
    <s v="TechSupplies Inc"/>
    <s v="IT"/>
    <s v="North"/>
    <d v="2024-09-13T00:00:00"/>
    <s v="Price Discrepancy"/>
    <n v="42969.45"/>
    <n v="33768.07"/>
    <x v="1"/>
    <s v="Carlos Mendez"/>
    <s v="Closed"/>
    <n v="261"/>
    <d v="2024-10-19T00:00:00"/>
    <n v="36"/>
    <s v="Full Credit"/>
    <n v="33768.07"/>
  </r>
  <r>
    <s v="DIS-0046"/>
    <s v="INV-1046"/>
    <s v="VND-002"/>
    <s v="TechSupplies Inc"/>
    <s v="IT"/>
    <s v="North"/>
    <d v="2025-01-16T00:00:00"/>
    <s v="Missing Goods"/>
    <n v="8634.43"/>
    <n v="4295.01"/>
    <x v="1"/>
    <s v="Valeria Moreno"/>
    <s v="Resolved"/>
    <n v="136"/>
    <d v="2025-03-25T00:00:00"/>
    <n v="68"/>
    <s v="Full Credit"/>
    <n v="4295.01"/>
  </r>
  <r>
    <s v="DIS-0047"/>
    <s v="INV-1047"/>
    <s v="VND-002"/>
    <s v="TechSupplies Inc"/>
    <s v="IT"/>
    <s v="North"/>
    <d v="2024-08-09T00:00:00"/>
    <s v="Service Quality"/>
    <n v="23057.48"/>
    <n v="1920.46"/>
    <x v="1"/>
    <s v="Luis Herrera"/>
    <s v="Resolved"/>
    <n v="296"/>
    <d v="2024-08-20T00:00:00"/>
    <n v="11"/>
    <s v="Pending"/>
    <n v="0"/>
  </r>
  <r>
    <s v="DIS-0048"/>
    <s v="INV-1048"/>
    <s v="VND-003"/>
    <s v="LogiExpress"/>
    <s v="Logistics"/>
    <s v="East"/>
    <d v="2024-06-26T00:00:00"/>
    <s v="Missing Goods"/>
    <n v="85561.45"/>
    <n v="50465.49"/>
    <x v="1"/>
    <s v="Valeria Moreno"/>
    <s v="Resolved"/>
    <n v="340"/>
    <d v="2024-09-26T00:00:00"/>
    <n v="92"/>
    <s v="Full Credit"/>
    <n v="50465.49"/>
  </r>
  <r>
    <s v="DIS-0049"/>
    <s v="INV-1049"/>
    <s v="VND-003"/>
    <s v="LogiExpress"/>
    <s v="Logistics"/>
    <s v="East"/>
    <d v="2025-03-27T00:00:00"/>
    <s v="Contract Terms"/>
    <n v="23224.81"/>
    <n v="12743.39"/>
    <x v="1"/>
    <s v="Sofia Ruiz"/>
    <s v="Resolved"/>
    <n v="66"/>
    <d v="2025-05-07T00:00:00"/>
    <n v="41"/>
    <s v="Partial Credit"/>
    <n v="8923.3700000000008"/>
  </r>
  <r>
    <s v="DIS-0050"/>
    <s v="INV-1050"/>
    <s v="VND-003"/>
    <s v="LogiExpress"/>
    <s v="Logistics"/>
    <s v="East"/>
    <d v="2024-12-27T00:00:00"/>
    <s v="Contract Terms"/>
    <n v="32256.799999999999"/>
    <n v="12012.95"/>
    <x v="1"/>
    <s v="Diego Castillo"/>
    <s v="Resolved"/>
    <n v="156"/>
    <d v="2025-02-24T00:00:00"/>
    <n v="59"/>
    <s v="Payment Adjusted"/>
    <n v="3657.58"/>
  </r>
  <r>
    <s v="DIS-0051"/>
    <s v="INV-1051"/>
    <s v="VND-003"/>
    <s v="LogiExpress"/>
    <s v="Logistics"/>
    <s v="East"/>
    <d v="2025-03-06T00:00:00"/>
    <s v="Service Quality"/>
    <n v="67590.820000000007"/>
    <n v="17765.560000000001"/>
    <x v="3"/>
    <s v="Diego Castillo"/>
    <s v="Open"/>
    <n v="87"/>
    <m/>
    <m/>
    <s v="Pending"/>
    <n v="0"/>
  </r>
  <r>
    <s v="DIS-0052"/>
    <s v="INV-1052"/>
    <s v="VND-003"/>
    <s v="LogiExpress"/>
    <s v="Logistics"/>
    <s v="East"/>
    <d v="2025-01-31T00:00:00"/>
    <s v="Price Discrepancy"/>
    <n v="68915.59"/>
    <n v="15056.71"/>
    <x v="0"/>
    <s v="Ana Torres"/>
    <s v="Resolved"/>
    <n v="121"/>
    <d v="2025-04-04T00:00:00"/>
    <n v="63"/>
    <s v="Partial Credit"/>
    <n v="9953.89"/>
  </r>
  <r>
    <s v="DIS-0053"/>
    <s v="INV-1053"/>
    <s v="VND-003"/>
    <s v="LogiExpress"/>
    <s v="Logistics"/>
    <s v="East"/>
    <d v="2024-10-10T00:00:00"/>
    <s v="Contract Terms"/>
    <n v="44371.9"/>
    <n v="23176.51"/>
    <x v="0"/>
    <s v="Valeria Moreno"/>
    <s v="Resolved"/>
    <n v="234"/>
    <d v="2024-11-13T00:00:00"/>
    <n v="34"/>
    <s v="Full Credit"/>
    <n v="23176.51"/>
  </r>
  <r>
    <s v="DIS-0054"/>
    <s v="INV-1054"/>
    <s v="VND-003"/>
    <s v="LogiExpress"/>
    <s v="Logistics"/>
    <s v="East"/>
    <d v="2024-06-13T00:00:00"/>
    <s v="Price Discrepancy"/>
    <n v="5526.76"/>
    <n v="3389.14"/>
    <x v="3"/>
    <s v="Valeria Moreno"/>
    <s v="Resolved"/>
    <n v="353"/>
    <d v="2024-09-26T00:00:00"/>
    <n v="105"/>
    <s v="Pending"/>
    <n v="0"/>
  </r>
  <r>
    <s v="DIS-0055"/>
    <s v="INV-1055"/>
    <s v="VND-003"/>
    <s v="LogiExpress"/>
    <s v="Logistics"/>
    <s v="East"/>
    <d v="2024-09-08T00:00:00"/>
    <s v="Price Discrepancy"/>
    <n v="49132.24"/>
    <n v="22996.560000000001"/>
    <x v="2"/>
    <s v="Juan Vargas"/>
    <s v="Resolved"/>
    <n v="266"/>
    <d v="2024-11-09T00:00:00"/>
    <n v="62"/>
    <s v="Payment Adjusted"/>
    <n v="11386.91"/>
  </r>
  <r>
    <s v="DIS-0056"/>
    <s v="INV-1056"/>
    <s v="VND-003"/>
    <s v="LogiExpress"/>
    <s v="Logistics"/>
    <s v="East"/>
    <d v="2024-07-31T00:00:00"/>
    <s v="Contract Terms"/>
    <n v="35143.31"/>
    <n v="21663.65"/>
    <x v="1"/>
    <s v="Valeria Moreno"/>
    <s v="Closed"/>
    <n v="305"/>
    <d v="2024-10-12T00:00:00"/>
    <n v="73"/>
    <s v="Partial Credit"/>
    <n v="6401.49"/>
  </r>
  <r>
    <s v="DIS-0057"/>
    <s v="INV-1057"/>
    <s v="VND-003"/>
    <s v="LogiExpress"/>
    <s v="Logistics"/>
    <s v="East"/>
    <d v="2024-09-30T00:00:00"/>
    <s v="Missing Goods"/>
    <n v="47756.63"/>
    <n v="29314.58"/>
    <x v="3"/>
    <s v="Juan Vargas"/>
    <s v="Resolved"/>
    <n v="244"/>
    <d v="2024-11-07T00:00:00"/>
    <n v="38"/>
    <s v="Partial Credit"/>
    <n v="18413.28"/>
  </r>
  <r>
    <s v="DIS-0058"/>
    <s v="INV-1058"/>
    <s v="VND-003"/>
    <s v="LogiExpress"/>
    <s v="Logistics"/>
    <s v="East"/>
    <d v="2025-01-31T00:00:00"/>
    <s v="Damaged Goods"/>
    <n v="30812.94"/>
    <n v="8929.0400000000009"/>
    <x v="1"/>
    <s v="Sofia Ruiz"/>
    <s v="Resolved"/>
    <n v="121"/>
    <d v="2025-05-02T00:00:00"/>
    <n v="91"/>
    <s v="Full Credit"/>
    <n v="8929.0400000000009"/>
  </r>
  <r>
    <s v="DIS-0059"/>
    <s v="INV-1059"/>
    <s v="VND-003"/>
    <s v="LogiExpress"/>
    <s v="Logistics"/>
    <s v="East"/>
    <d v="2025-02-11T00:00:00"/>
    <s v="Duplicate Invoice"/>
    <n v="11101.74"/>
    <n v="3948.88"/>
    <x v="1"/>
    <s v="Ana Torres"/>
    <s v="Resolved"/>
    <n v="110"/>
    <d v="2025-04-08T00:00:00"/>
    <n v="56"/>
    <s v="Full Credit"/>
    <n v="3948.88"/>
  </r>
  <r>
    <s v="DIS-0060"/>
    <s v="INV-1060"/>
    <s v="VND-003"/>
    <s v="LogiExpress"/>
    <s v="Logistics"/>
    <s v="East"/>
    <d v="2024-08-05T00:00:00"/>
    <s v="Service Quality"/>
    <n v="94875.89"/>
    <n v="6133.63"/>
    <x v="3"/>
    <s v="Valeria Moreno"/>
    <s v="Resolved"/>
    <n v="300"/>
    <d v="2024-09-22T00:00:00"/>
    <n v="48"/>
    <s v="Full Credit"/>
    <n v="6133.63"/>
  </r>
  <r>
    <s v="DIS-0061"/>
    <s v="INV-1061"/>
    <s v="VND-003"/>
    <s v="LogiExpress"/>
    <s v="Logistics"/>
    <s v="East"/>
    <d v="2024-11-13T00:00:00"/>
    <s v="Contract Terms"/>
    <n v="86077.56"/>
    <n v="65855.600000000006"/>
    <x v="1"/>
    <s v="Luis Herrera"/>
    <s v="Resolved"/>
    <n v="200"/>
    <d v="2024-12-20T00:00:00"/>
    <n v="37"/>
    <s v="Partial Credit"/>
    <n v="14317.99"/>
  </r>
  <r>
    <s v="DIS-0062"/>
    <s v="INV-1062"/>
    <s v="VND-003"/>
    <s v="LogiExpress"/>
    <s v="Logistics"/>
    <s v="East"/>
    <d v="2024-12-10T00:00:00"/>
    <s v="Duplicate Invoice"/>
    <n v="68542.990000000005"/>
    <n v="44457.45"/>
    <x v="3"/>
    <s v="Sofia Ruiz"/>
    <s v="Closed"/>
    <n v="173"/>
    <d v="2025-02-19T00:00:00"/>
    <n v="71"/>
    <s v="Full Credit"/>
    <n v="44457.45"/>
  </r>
  <r>
    <s v="DIS-0063"/>
    <s v="INV-1063"/>
    <s v="VND-003"/>
    <s v="LogiExpress"/>
    <s v="Logistics"/>
    <s v="East"/>
    <d v="2024-11-11T00:00:00"/>
    <s v="Duplicate Invoice"/>
    <n v="61229.81"/>
    <n v="33508"/>
    <x v="0"/>
    <s v="Sofia Ruiz"/>
    <s v="Closed"/>
    <n v="202"/>
    <d v="2024-12-07T00:00:00"/>
    <n v="26"/>
    <s v="Full Credit"/>
    <n v="33508"/>
  </r>
  <r>
    <s v="DIS-0064"/>
    <s v="INV-1064"/>
    <s v="VND-003"/>
    <s v="LogiExpress"/>
    <s v="Logistics"/>
    <s v="East"/>
    <d v="2024-11-18T00:00:00"/>
    <s v="Duplicate Invoice"/>
    <n v="36098.5"/>
    <n v="14115.4"/>
    <x v="1"/>
    <s v="Marta Lopez"/>
    <s v="Escalated"/>
    <n v="195"/>
    <d v="2025-03-07T00:00:00"/>
    <n v="109"/>
    <s v="Partial Credit"/>
    <n v="9894.14"/>
  </r>
  <r>
    <s v="DIS-0065"/>
    <s v="INV-1065"/>
    <s v="VND-003"/>
    <s v="LogiExpress"/>
    <s v="Logistics"/>
    <s v="East"/>
    <d v="2024-10-03T00:00:00"/>
    <s v="Missing Goods"/>
    <n v="6841.41"/>
    <n v="3109.86"/>
    <x v="2"/>
    <s v="Luis Herrera"/>
    <s v="Escalated"/>
    <n v="241"/>
    <d v="2025-01-13T00:00:00"/>
    <n v="102"/>
    <s v="Pending"/>
    <n v="0"/>
  </r>
  <r>
    <s v="DIS-0066"/>
    <s v="INV-1066"/>
    <s v="VND-003"/>
    <s v="LogiExpress"/>
    <s v="Logistics"/>
    <s v="East"/>
    <d v="2025-05-11T00:00:00"/>
    <s v="Price Discrepancy"/>
    <n v="76652.149999999994"/>
    <n v="58424.94"/>
    <x v="0"/>
    <s v="Sofia Ruiz"/>
    <s v="Open"/>
    <n v="21"/>
    <m/>
    <m/>
    <s v="Pending"/>
    <n v="0"/>
  </r>
  <r>
    <s v="DIS-0067"/>
    <s v="INV-1067"/>
    <s v="VND-003"/>
    <s v="LogiExpress"/>
    <s v="Logistics"/>
    <s v="East"/>
    <d v="2024-10-01T00:00:00"/>
    <s v="Contract Terms"/>
    <n v="68598.59"/>
    <n v="32445.57"/>
    <x v="0"/>
    <s v="Marta Lopez"/>
    <s v="Escalated"/>
    <n v="243"/>
    <d v="2024-10-25T00:00:00"/>
    <n v="24"/>
    <s v="Partial Credit"/>
    <n v="25250.47"/>
  </r>
  <r>
    <s v="DIS-0068"/>
    <s v="INV-1068"/>
    <s v="VND-003"/>
    <s v="LogiExpress"/>
    <s v="Logistics"/>
    <s v="East"/>
    <d v="2025-04-03T00:00:00"/>
    <s v="Service Quality"/>
    <n v="78890.23"/>
    <n v="13634.15"/>
    <x v="1"/>
    <s v="Ana Torres"/>
    <s v="Closed"/>
    <n v="59"/>
    <d v="2025-05-12T00:00:00"/>
    <n v="39"/>
    <s v="Payment Adjusted"/>
    <n v="6588.96"/>
  </r>
  <r>
    <s v="DIS-0069"/>
    <s v="INV-1069"/>
    <s v="VND-003"/>
    <s v="LogiExpress"/>
    <s v="Logistics"/>
    <s v="East"/>
    <d v="2024-11-09T00:00:00"/>
    <s v="Contract Terms"/>
    <n v="94439.71"/>
    <n v="18769.64"/>
    <x v="1"/>
    <s v="Luis Herrera"/>
    <s v="Resolved"/>
    <n v="204"/>
    <d v="2025-02-18T00:00:00"/>
    <n v="101"/>
    <s v="Full Credit"/>
    <n v="18769.64"/>
  </r>
  <r>
    <s v="DIS-0070"/>
    <s v="INV-1070"/>
    <s v="VND-003"/>
    <s v="LogiExpress"/>
    <s v="Logistics"/>
    <s v="East"/>
    <d v="2024-06-15T00:00:00"/>
    <s v="Price Discrepancy"/>
    <n v="62039.1"/>
    <n v="8734.57"/>
    <x v="2"/>
    <s v="Diego Castillo"/>
    <s v="Resolved"/>
    <n v="351"/>
    <d v="2024-09-10T00:00:00"/>
    <n v="87"/>
    <s v="Full Credit"/>
    <n v="8734.57"/>
  </r>
  <r>
    <s v="DIS-0071"/>
    <s v="INV-1071"/>
    <s v="VND-003"/>
    <s v="LogiExpress"/>
    <s v="Logistics"/>
    <s v="East"/>
    <d v="2024-09-14T00:00:00"/>
    <s v="Duplicate Invoice"/>
    <n v="66516.61"/>
    <n v="3957.01"/>
    <x v="1"/>
    <s v="Carlos Mendez"/>
    <s v="Resolved"/>
    <n v="260"/>
    <d v="2024-11-02T00:00:00"/>
    <n v="49"/>
    <s v="Partial Credit"/>
    <n v="2758.92"/>
  </r>
  <r>
    <s v="DIS-0072"/>
    <s v="INV-1072"/>
    <s v="VND-003"/>
    <s v="LogiExpress"/>
    <s v="Logistics"/>
    <s v="East"/>
    <d v="2024-06-03T00:00:00"/>
    <s v="Contract Terms"/>
    <n v="19534.16"/>
    <n v="3557.22"/>
    <x v="1"/>
    <s v="Marta Lopez"/>
    <s v="Resolved"/>
    <n v="363"/>
    <d v="2024-10-01T00:00:00"/>
    <n v="120"/>
    <s v="Partial Credit"/>
    <n v="1743.39"/>
  </r>
  <r>
    <s v="DIS-0073"/>
    <s v="INV-1073"/>
    <s v="VND-003"/>
    <s v="LogiExpress"/>
    <s v="Logistics"/>
    <s v="East"/>
    <d v="2024-10-20T00:00:00"/>
    <s v="Damaged Goods"/>
    <n v="83444.789999999994"/>
    <n v="41251.43"/>
    <x v="1"/>
    <s v="Carlos Mendez"/>
    <s v="Resolved"/>
    <n v="224"/>
    <d v="2024-12-19T00:00:00"/>
    <n v="60"/>
    <s v="Full Credit"/>
    <n v="41251.43"/>
  </r>
  <r>
    <s v="DIS-0074"/>
    <s v="INV-1074"/>
    <s v="VND-003"/>
    <s v="LogiExpress"/>
    <s v="Logistics"/>
    <s v="East"/>
    <d v="2024-10-06T00:00:00"/>
    <s v="Duplicate Invoice"/>
    <n v="59135.72"/>
    <n v="32592.14"/>
    <x v="1"/>
    <s v="Diego Castillo"/>
    <s v="Resolved"/>
    <n v="238"/>
    <d v="2024-11-05T00:00:00"/>
    <n v="30"/>
    <s v="Full Credit"/>
    <n v="32592.14"/>
  </r>
  <r>
    <s v="DIS-0075"/>
    <s v="INV-1075"/>
    <s v="VND-003"/>
    <s v="LogiExpress"/>
    <s v="Logistics"/>
    <s v="East"/>
    <d v="2025-01-19T00:00:00"/>
    <s v="Missing Goods"/>
    <n v="37332.19"/>
    <n v="26514.81"/>
    <x v="3"/>
    <s v="Ana Torres"/>
    <s v="Resolved"/>
    <n v="133"/>
    <d v="2025-02-15T00:00:00"/>
    <n v="27"/>
    <s v="Full Credit"/>
    <n v="26514.81"/>
  </r>
  <r>
    <s v="DIS-0076"/>
    <s v="INV-1076"/>
    <s v="VND-003"/>
    <s v="LogiExpress"/>
    <s v="Logistics"/>
    <s v="East"/>
    <d v="2024-11-04T00:00:00"/>
    <s v="Contract Terms"/>
    <n v="51414.9"/>
    <n v="31806.46"/>
    <x v="3"/>
    <s v="Juan Vargas"/>
    <s v="Resolved"/>
    <n v="209"/>
    <d v="2024-11-09T00:00:00"/>
    <n v="5"/>
    <s v="Full Credit"/>
    <n v="31806.46"/>
  </r>
  <r>
    <s v="DIS-0077"/>
    <s v="INV-1077"/>
    <s v="VND-003"/>
    <s v="LogiExpress"/>
    <s v="Logistics"/>
    <s v="East"/>
    <d v="2025-02-07T00:00:00"/>
    <s v="Missing Goods"/>
    <n v="43418.11"/>
    <n v="10093.790000000001"/>
    <x v="3"/>
    <s v="Juan Vargas"/>
    <s v="Resolved"/>
    <n v="114"/>
    <d v="2025-03-26T00:00:00"/>
    <n v="47"/>
    <s v="Partial Credit"/>
    <n v="6536.35"/>
  </r>
  <r>
    <s v="DIS-0078"/>
    <s v="INV-1078"/>
    <s v="VND-004"/>
    <s v="Grupo Servicios Pro"/>
    <s v="Services"/>
    <s v="East"/>
    <d v="2024-06-06T00:00:00"/>
    <s v="Contract Terms"/>
    <n v="48105.8"/>
    <n v="13468.05"/>
    <x v="0"/>
    <s v="Luis Herrera"/>
    <s v="Resolved"/>
    <n v="360"/>
    <d v="2024-09-12T00:00:00"/>
    <n v="98"/>
    <s v="Partial Credit"/>
    <n v="8852.73"/>
  </r>
  <r>
    <s v="DIS-0079"/>
    <s v="INV-1079"/>
    <s v="VND-004"/>
    <s v="Grupo Servicios Pro"/>
    <s v="Services"/>
    <s v="East"/>
    <d v="2025-02-26T00:00:00"/>
    <s v="Service Quality"/>
    <n v="23196.39"/>
    <n v="14009.54"/>
    <x v="1"/>
    <s v="Marta Lopez"/>
    <s v="Closed"/>
    <n v="95"/>
    <d v="2025-03-25T00:00:00"/>
    <n v="27"/>
    <s v="Full Credit"/>
    <n v="14009.54"/>
  </r>
  <r>
    <s v="DIS-0080"/>
    <s v="INV-1080"/>
    <s v="VND-004"/>
    <s v="Grupo Servicios Pro"/>
    <s v="Services"/>
    <s v="East"/>
    <d v="2024-11-28T00:00:00"/>
    <s v="Missing Goods"/>
    <n v="22046.95"/>
    <n v="1336.29"/>
    <x v="1"/>
    <s v="Ana Torres"/>
    <s v="Closed"/>
    <n v="185"/>
    <d v="2025-02-09T00:00:00"/>
    <n v="73"/>
    <s v="Full Credit"/>
    <n v="1336.29"/>
  </r>
  <r>
    <s v="DIS-0081"/>
    <s v="INV-1081"/>
    <s v="VND-004"/>
    <s v="Grupo Servicios Pro"/>
    <s v="Services"/>
    <s v="East"/>
    <d v="2025-03-28T00:00:00"/>
    <s v="Price Discrepancy"/>
    <n v="65597.62"/>
    <n v="40315.910000000003"/>
    <x v="0"/>
    <s v="Marta Lopez"/>
    <s v="Resolved"/>
    <n v="65"/>
    <d v="2025-04-28T00:00:00"/>
    <n v="31"/>
    <s v="Full Credit"/>
    <n v="40315.910000000003"/>
  </r>
  <r>
    <s v="DIS-0082"/>
    <s v="INV-1082"/>
    <s v="VND-004"/>
    <s v="Grupo Servicios Pro"/>
    <s v="Services"/>
    <s v="East"/>
    <d v="2025-05-05T00:00:00"/>
    <s v="Price Discrepancy"/>
    <n v="28985.45"/>
    <n v="20182.34"/>
    <x v="0"/>
    <s v="Valeria Moreno"/>
    <s v="In Progress"/>
    <n v="27"/>
    <m/>
    <m/>
    <s v="Pending"/>
    <n v="0"/>
  </r>
  <r>
    <s v="DIS-0083"/>
    <s v="INV-1083"/>
    <s v="VND-004"/>
    <s v="Grupo Servicios Pro"/>
    <s v="Services"/>
    <s v="East"/>
    <d v="2024-08-09T00:00:00"/>
    <s v="Service Quality"/>
    <n v="64797.34"/>
    <n v="5845.16"/>
    <x v="0"/>
    <s v="Marta Lopez"/>
    <s v="In Progress"/>
    <n v="296"/>
    <m/>
    <m/>
    <s v="Pending"/>
    <n v="0"/>
  </r>
  <r>
    <s v="DIS-0084"/>
    <s v="INV-1084"/>
    <s v="VND-004"/>
    <s v="Grupo Servicios Pro"/>
    <s v="Services"/>
    <s v="East"/>
    <d v="2025-01-24T00:00:00"/>
    <s v="Service Quality"/>
    <n v="16252.9"/>
    <n v="10130.959999999999"/>
    <x v="1"/>
    <s v="Luis Herrera"/>
    <s v="Escalated"/>
    <n v="128"/>
    <d v="2025-03-16T00:00:00"/>
    <n v="51"/>
    <s v="Partial Credit"/>
    <n v="4717.3100000000004"/>
  </r>
  <r>
    <s v="DIS-0085"/>
    <s v="INV-1085"/>
    <s v="VND-004"/>
    <s v="Grupo Servicios Pro"/>
    <s v="Services"/>
    <s v="East"/>
    <d v="2024-08-03T00:00:00"/>
    <s v="Service Quality"/>
    <n v="99052.97"/>
    <n v="27639.26"/>
    <x v="1"/>
    <s v="Carlos Mendez"/>
    <s v="Closed"/>
    <n v="302"/>
    <d v="2024-09-01T00:00:00"/>
    <n v="29"/>
    <s v="Partial Credit"/>
    <n v="9916.6299999999992"/>
  </r>
  <r>
    <s v="DIS-0086"/>
    <s v="INV-1086"/>
    <s v="VND-004"/>
    <s v="Grupo Servicios Pro"/>
    <s v="Services"/>
    <s v="East"/>
    <d v="2025-04-20T00:00:00"/>
    <s v="Price Discrepancy"/>
    <n v="19920.419999999998"/>
    <n v="3592.85"/>
    <x v="0"/>
    <s v="Valeria Moreno"/>
    <s v="Resolved"/>
    <n v="42"/>
    <d v="2025-05-31T00:00:00"/>
    <n v="41"/>
    <s v="Partial Credit"/>
    <n v="788.93"/>
  </r>
  <r>
    <s v="DIS-0087"/>
    <s v="INV-1087"/>
    <s v="VND-004"/>
    <s v="Grupo Servicios Pro"/>
    <s v="Services"/>
    <s v="East"/>
    <d v="2025-01-04T00:00:00"/>
    <s v="Contract Terms"/>
    <n v="72160.800000000003"/>
    <n v="41654.15"/>
    <x v="1"/>
    <s v="Luis Herrera"/>
    <s v="Closed"/>
    <n v="148"/>
    <d v="2025-04-17T00:00:00"/>
    <n v="103"/>
    <s v="Payment Adjusted"/>
    <n v="13992.29"/>
  </r>
  <r>
    <s v="DIS-0088"/>
    <s v="INV-1088"/>
    <s v="VND-004"/>
    <s v="Grupo Servicios Pro"/>
    <s v="Services"/>
    <s v="East"/>
    <d v="2025-02-19T00:00:00"/>
    <s v="Missing Goods"/>
    <n v="45388.2"/>
    <n v="20806.939999999999"/>
    <x v="1"/>
    <s v="Sofia Ruiz"/>
    <s v="In Progress"/>
    <n v="102"/>
    <m/>
    <m/>
    <s v="Pending"/>
    <n v="0"/>
  </r>
  <r>
    <s v="DIS-0089"/>
    <s v="INV-1089"/>
    <s v="VND-004"/>
    <s v="Grupo Servicios Pro"/>
    <s v="Services"/>
    <s v="East"/>
    <d v="2025-03-08T00:00:00"/>
    <s v="Missing Goods"/>
    <n v="80299.710000000006"/>
    <n v="39851.379999999997"/>
    <x v="3"/>
    <s v="Juan Vargas"/>
    <s v="Open"/>
    <n v="85"/>
    <m/>
    <m/>
    <s v="Pending"/>
    <n v="0"/>
  </r>
  <r>
    <s v="DIS-0090"/>
    <s v="INV-1090"/>
    <s v="VND-004"/>
    <s v="Grupo Servicios Pro"/>
    <s v="Services"/>
    <s v="East"/>
    <d v="2024-06-13T00:00:00"/>
    <s v="Service Quality"/>
    <n v="33888.660000000003"/>
    <n v="11924.79"/>
    <x v="1"/>
    <s v="Juan Vargas"/>
    <s v="Resolved"/>
    <n v="353"/>
    <d v="2024-08-31T00:00:00"/>
    <n v="79"/>
    <s v="Full Credit"/>
    <n v="11924.79"/>
  </r>
  <r>
    <s v="DIS-0091"/>
    <s v="INV-1091"/>
    <s v="VND-004"/>
    <s v="Grupo Servicios Pro"/>
    <s v="Services"/>
    <s v="East"/>
    <d v="2024-10-22T00:00:00"/>
    <s v="Damaged Goods"/>
    <n v="74780.72"/>
    <n v="37598.639999999999"/>
    <x v="0"/>
    <s v="Ana Torres"/>
    <s v="Closed"/>
    <n v="222"/>
    <d v="2025-01-19T00:00:00"/>
    <n v="89"/>
    <s v="No Action"/>
    <n v="0"/>
  </r>
  <r>
    <s v="DIS-0092"/>
    <s v="INV-1092"/>
    <s v="VND-004"/>
    <s v="Grupo Servicios Pro"/>
    <s v="Services"/>
    <s v="East"/>
    <d v="2024-08-09T00:00:00"/>
    <s v="Contract Terms"/>
    <n v="8822.01"/>
    <n v="5444.96"/>
    <x v="1"/>
    <s v="Juan Vargas"/>
    <s v="Closed"/>
    <n v="296"/>
    <d v="2024-09-04T00:00:00"/>
    <n v="26"/>
    <s v="Pending"/>
    <n v="0"/>
  </r>
  <r>
    <s v="DIS-0093"/>
    <s v="INV-1093"/>
    <s v="VND-004"/>
    <s v="Grupo Servicios Pro"/>
    <s v="Services"/>
    <s v="East"/>
    <d v="2024-10-20T00:00:00"/>
    <s v="Missing Goods"/>
    <n v="65304.55"/>
    <n v="27349.18"/>
    <x v="0"/>
    <s v="Valeria Moreno"/>
    <s v="Resolved"/>
    <n v="224"/>
    <d v="2025-01-16T00:00:00"/>
    <n v="88"/>
    <s v="Full Credit"/>
    <n v="27349.18"/>
  </r>
  <r>
    <s v="DIS-0094"/>
    <s v="INV-1094"/>
    <s v="VND-004"/>
    <s v="Grupo Servicios Pro"/>
    <s v="Services"/>
    <s v="East"/>
    <d v="2025-03-10T00:00:00"/>
    <s v="Duplicate Invoice"/>
    <n v="36331.35"/>
    <n v="20718.14"/>
    <x v="1"/>
    <s v="Ana Torres"/>
    <s v="Resolved"/>
    <n v="83"/>
    <d v="2025-04-22T00:00:00"/>
    <n v="43"/>
    <s v="Full Credit"/>
    <n v="20718.14"/>
  </r>
  <r>
    <s v="DIS-0095"/>
    <s v="INV-1095"/>
    <s v="VND-004"/>
    <s v="Grupo Servicios Pro"/>
    <s v="Services"/>
    <s v="East"/>
    <d v="2025-04-02T00:00:00"/>
    <s v="Price Discrepancy"/>
    <n v="97167.55"/>
    <n v="34312.9"/>
    <x v="1"/>
    <s v="Juan Vargas"/>
    <s v="Resolved"/>
    <n v="60"/>
    <d v="2025-04-17T00:00:00"/>
    <n v="15"/>
    <s v="Partial Credit"/>
    <n v="19681.2"/>
  </r>
  <r>
    <s v="DIS-0096"/>
    <s v="INV-1096"/>
    <s v="VND-004"/>
    <s v="Grupo Servicios Pro"/>
    <s v="Services"/>
    <s v="East"/>
    <d v="2024-09-18T00:00:00"/>
    <s v="Service Quality"/>
    <n v="64413.83"/>
    <n v="39936.120000000003"/>
    <x v="0"/>
    <s v="Sofia Ruiz"/>
    <s v="Closed"/>
    <n v="256"/>
    <d v="2024-11-16T00:00:00"/>
    <n v="59"/>
    <s v="No Action"/>
    <n v="0"/>
  </r>
  <r>
    <s v="DIS-0097"/>
    <s v="INV-1097"/>
    <s v="VND-004"/>
    <s v="Grupo Servicios Pro"/>
    <s v="Services"/>
    <s v="East"/>
    <d v="2024-09-25T00:00:00"/>
    <s v="Damaged Goods"/>
    <n v="16535.48"/>
    <n v="12895.36"/>
    <x v="1"/>
    <s v="Sofia Ruiz"/>
    <s v="Resolved"/>
    <n v="249"/>
    <d v="2024-09-29T00:00:00"/>
    <n v="4"/>
    <s v="Partial Credit"/>
    <n v="3300.25"/>
  </r>
  <r>
    <s v="DIS-0098"/>
    <s v="INV-1098"/>
    <s v="VND-004"/>
    <s v="Grupo Servicios Pro"/>
    <s v="Services"/>
    <s v="East"/>
    <d v="2025-04-03T00:00:00"/>
    <s v="Duplicate Invoice"/>
    <n v="48837.55"/>
    <n v="6744.45"/>
    <x v="3"/>
    <s v="Marta Lopez"/>
    <s v="Resolved"/>
    <n v="59"/>
    <d v="2025-04-23T00:00:00"/>
    <n v="20"/>
    <s v="Partial Credit"/>
    <n v="3301.41"/>
  </r>
  <r>
    <s v="DIS-0099"/>
    <s v="INV-1099"/>
    <s v="VND-004"/>
    <s v="Grupo Servicios Pro"/>
    <s v="Services"/>
    <s v="East"/>
    <d v="2024-10-02T00:00:00"/>
    <s v="Service Quality"/>
    <n v="28154.44"/>
    <n v="13048.14"/>
    <x v="1"/>
    <s v="Sofia Ruiz"/>
    <s v="Closed"/>
    <n v="242"/>
    <d v="2024-11-09T00:00:00"/>
    <n v="38"/>
    <s v="Payment Adjusted"/>
    <n v="5764.21"/>
  </r>
  <r>
    <s v="DIS-0100"/>
    <s v="INV-1100"/>
    <s v="VND-004"/>
    <s v="Grupo Servicios Pro"/>
    <s v="Services"/>
    <s v="East"/>
    <d v="2024-12-08T00:00:00"/>
    <s v="Missing Goods"/>
    <n v="93753.600000000006"/>
    <n v="40389.360000000001"/>
    <x v="3"/>
    <s v="Marta Lopez"/>
    <s v="Closed"/>
    <n v="175"/>
    <d v="2025-02-23T00:00:00"/>
    <n v="77"/>
    <s v="Pending"/>
    <n v="0"/>
  </r>
  <r>
    <s v="DIS-0101"/>
    <s v="INV-1101"/>
    <s v="VND-004"/>
    <s v="Grupo Servicios Pro"/>
    <s v="Services"/>
    <s v="East"/>
    <d v="2024-09-23T00:00:00"/>
    <s v="Missing Goods"/>
    <n v="87199.76"/>
    <n v="33564.11"/>
    <x v="1"/>
    <s v="Valeria Moreno"/>
    <s v="Resolved"/>
    <n v="251"/>
    <d v="2024-11-06T00:00:00"/>
    <n v="44"/>
    <s v="No Action"/>
    <n v="0"/>
  </r>
  <r>
    <s v="DIS-0102"/>
    <s v="INV-1102"/>
    <s v="VND-004"/>
    <s v="Grupo Servicios Pro"/>
    <s v="Services"/>
    <s v="East"/>
    <d v="2024-06-08T00:00:00"/>
    <s v="Duplicate Invoice"/>
    <n v="27686.53"/>
    <n v="9336.68"/>
    <x v="3"/>
    <s v="Ana Torres"/>
    <s v="Resolved"/>
    <n v="358"/>
    <d v="2024-08-10T00:00:00"/>
    <n v="63"/>
    <s v="Payment Adjusted"/>
    <n v="3964.01"/>
  </r>
  <r>
    <s v="DIS-0103"/>
    <s v="INV-1103"/>
    <s v="VND-004"/>
    <s v="Grupo Servicios Pro"/>
    <s v="Services"/>
    <s v="East"/>
    <d v="2024-11-15T00:00:00"/>
    <s v="Damaged Goods"/>
    <n v="98899.33"/>
    <n v="63720.37"/>
    <x v="3"/>
    <s v="Juan Vargas"/>
    <s v="Closed"/>
    <n v="198"/>
    <d v="2024-12-04T00:00:00"/>
    <n v="19"/>
    <s v="Partial Credit"/>
    <n v="35307.980000000003"/>
  </r>
  <r>
    <s v="DIS-0104"/>
    <s v="INV-1104"/>
    <s v="VND-004"/>
    <s v="Grupo Servicios Pro"/>
    <s v="Services"/>
    <s v="East"/>
    <d v="2025-04-10T00:00:00"/>
    <s v="Duplicate Invoice"/>
    <n v="88048.09"/>
    <n v="33478.5"/>
    <x v="1"/>
    <s v="Ana Torres"/>
    <s v="Escalated"/>
    <n v="52"/>
    <d v="2025-05-09T00:00:00"/>
    <n v="29"/>
    <s v="No Action"/>
    <n v="0"/>
  </r>
  <r>
    <s v="DIS-0105"/>
    <s v="INV-1105"/>
    <s v="VND-004"/>
    <s v="Grupo Servicios Pro"/>
    <s v="Services"/>
    <s v="East"/>
    <d v="2025-03-13T00:00:00"/>
    <s v="Service Quality"/>
    <n v="12108.68"/>
    <n v="7702.86"/>
    <x v="1"/>
    <s v="Valeria Moreno"/>
    <s v="Resolved"/>
    <n v="80"/>
    <d v="2025-04-27T00:00:00"/>
    <n v="45"/>
    <s v="No Action"/>
    <n v="0"/>
  </r>
  <r>
    <s v="DIS-0106"/>
    <s v="INV-1106"/>
    <s v="VND-004"/>
    <s v="Grupo Servicios Pro"/>
    <s v="Services"/>
    <s v="East"/>
    <d v="2024-08-31T00:00:00"/>
    <s v="Duplicate Invoice"/>
    <n v="41100.89"/>
    <n v="11816.34"/>
    <x v="3"/>
    <s v="Ana Torres"/>
    <s v="Resolved"/>
    <n v="274"/>
    <d v="2024-10-03T00:00:00"/>
    <n v="33"/>
    <s v="Partial Credit"/>
    <n v="8892.4699999999993"/>
  </r>
  <r>
    <s v="DIS-0107"/>
    <s v="INV-1107"/>
    <s v="VND-004"/>
    <s v="Grupo Servicios Pro"/>
    <s v="Services"/>
    <s v="East"/>
    <d v="2025-02-04T00:00:00"/>
    <s v="Contract Terms"/>
    <n v="75942.8"/>
    <n v="28514.9"/>
    <x v="0"/>
    <s v="Carlos Mendez"/>
    <s v="Resolved"/>
    <n v="117"/>
    <d v="2025-05-06T00:00:00"/>
    <n v="91"/>
    <s v="Full Credit"/>
    <n v="28514.9"/>
  </r>
  <r>
    <s v="DIS-0108"/>
    <s v="INV-1108"/>
    <s v="VND-004"/>
    <s v="Grupo Servicios Pro"/>
    <s v="Services"/>
    <s v="East"/>
    <d v="2025-05-17T00:00:00"/>
    <s v="Missing Goods"/>
    <n v="9369.14"/>
    <n v="6062.84"/>
    <x v="1"/>
    <s v="Valeria Moreno"/>
    <s v="Open"/>
    <n v="15"/>
    <m/>
    <m/>
    <s v="Pending"/>
    <n v="0"/>
  </r>
  <r>
    <s v="DIS-0109"/>
    <s v="INV-1109"/>
    <s v="VND-005"/>
    <s v="EnergyPlus Corp"/>
    <s v="Utilities"/>
    <s v="Central"/>
    <d v="2024-08-15T00:00:00"/>
    <s v="Service Quality"/>
    <n v="69771.039999999994"/>
    <n v="12910.62"/>
    <x v="0"/>
    <s v="Valeria Moreno"/>
    <s v="Resolved"/>
    <n v="290"/>
    <d v="2024-09-17T00:00:00"/>
    <n v="33"/>
    <s v="Partial Credit"/>
    <n v="7099.48"/>
  </r>
  <r>
    <s v="DIS-0110"/>
    <s v="INV-1110"/>
    <s v="VND-005"/>
    <s v="EnergyPlus Corp"/>
    <s v="Utilities"/>
    <s v="Central"/>
    <d v="2025-02-02T00:00:00"/>
    <s v="Price Discrepancy"/>
    <n v="48809.24"/>
    <n v="11737.79"/>
    <x v="1"/>
    <s v="Juan Vargas"/>
    <s v="Closed"/>
    <n v="119"/>
    <d v="2025-05-02T00:00:00"/>
    <n v="89"/>
    <s v="Partial Credit"/>
    <n v="2867.74"/>
  </r>
  <r>
    <s v="DIS-0111"/>
    <s v="INV-1111"/>
    <s v="VND-005"/>
    <s v="EnergyPlus Corp"/>
    <s v="Utilities"/>
    <s v="Central"/>
    <d v="2024-12-06T00:00:00"/>
    <s v="Contract Terms"/>
    <n v="98826.91"/>
    <n v="27114.71"/>
    <x v="2"/>
    <s v="Marta Lopez"/>
    <s v="Resolved"/>
    <n v="177"/>
    <d v="2025-01-16T00:00:00"/>
    <n v="41"/>
    <s v="Full Credit"/>
    <n v="27114.71"/>
  </r>
  <r>
    <s v="DIS-0112"/>
    <s v="INV-1112"/>
    <s v="VND-005"/>
    <s v="EnergyPlus Corp"/>
    <s v="Utilities"/>
    <s v="Central"/>
    <d v="2024-11-16T00:00:00"/>
    <s v="Missing Goods"/>
    <n v="86066.87"/>
    <n v="11187.83"/>
    <x v="1"/>
    <s v="Marta Lopez"/>
    <s v="Closed"/>
    <n v="197"/>
    <d v="2024-12-26T00:00:00"/>
    <n v="40"/>
    <s v="Full Credit"/>
    <n v="11187.83"/>
  </r>
  <r>
    <s v="DIS-0113"/>
    <s v="INV-1113"/>
    <s v="VND-005"/>
    <s v="EnergyPlus Corp"/>
    <s v="Utilities"/>
    <s v="Central"/>
    <d v="2024-06-28T00:00:00"/>
    <s v="Contract Terms"/>
    <n v="42601.55"/>
    <n v="2388.8200000000002"/>
    <x v="3"/>
    <s v="Ana Torres"/>
    <s v="Closed"/>
    <n v="338"/>
    <d v="2024-10-04T00:00:00"/>
    <n v="98"/>
    <s v="Partial Credit"/>
    <n v="1773.68"/>
  </r>
  <r>
    <s v="DIS-0114"/>
    <s v="INV-1114"/>
    <s v="VND-005"/>
    <s v="EnergyPlus Corp"/>
    <s v="Utilities"/>
    <s v="Central"/>
    <d v="2025-01-05T00:00:00"/>
    <s v="Damaged Goods"/>
    <n v="78695.39"/>
    <n v="17516.71"/>
    <x v="3"/>
    <s v="Luis Herrera"/>
    <s v="Resolved"/>
    <n v="147"/>
    <d v="2025-04-04T00:00:00"/>
    <n v="89"/>
    <s v="Payment Adjusted"/>
    <n v="7129.1"/>
  </r>
  <r>
    <s v="DIS-0115"/>
    <s v="INV-1115"/>
    <s v="VND-005"/>
    <s v="EnergyPlus Corp"/>
    <s v="Utilities"/>
    <s v="Central"/>
    <d v="2024-06-17T00:00:00"/>
    <s v="Contract Terms"/>
    <n v="84642.03"/>
    <n v="44114.25"/>
    <x v="2"/>
    <s v="Ana Torres"/>
    <s v="Resolved"/>
    <n v="349"/>
    <d v="2024-08-15T00:00:00"/>
    <n v="59"/>
    <s v="Full Credit"/>
    <n v="44114.25"/>
  </r>
  <r>
    <s v="DIS-0116"/>
    <s v="INV-1116"/>
    <s v="VND-005"/>
    <s v="EnergyPlus Corp"/>
    <s v="Utilities"/>
    <s v="Central"/>
    <d v="2024-11-26T00:00:00"/>
    <s v="Contract Terms"/>
    <n v="74574.179999999993"/>
    <n v="8769.93"/>
    <x v="1"/>
    <s v="Valeria Moreno"/>
    <s v="Resolved"/>
    <n v="187"/>
    <d v="2024-12-15T00:00:00"/>
    <n v="19"/>
    <s v="Payment Adjusted"/>
    <n v="3951.59"/>
  </r>
  <r>
    <s v="DIS-0117"/>
    <s v="INV-1117"/>
    <s v="VND-005"/>
    <s v="EnergyPlus Corp"/>
    <s v="Utilities"/>
    <s v="Central"/>
    <d v="2024-11-25T00:00:00"/>
    <s v="Missing Goods"/>
    <n v="55430.98"/>
    <n v="40748.160000000003"/>
    <x v="3"/>
    <s v="Juan Vargas"/>
    <s v="Closed"/>
    <n v="188"/>
    <d v="2025-01-04T00:00:00"/>
    <n v="40"/>
    <s v="Payment Adjusted"/>
    <n v="9595.6299999999992"/>
  </r>
  <r>
    <s v="DIS-0118"/>
    <s v="INV-1118"/>
    <s v="VND-005"/>
    <s v="EnergyPlus Corp"/>
    <s v="Utilities"/>
    <s v="Central"/>
    <d v="2025-04-03T00:00:00"/>
    <s v="Damaged Goods"/>
    <n v="49491.48"/>
    <n v="5269.58"/>
    <x v="3"/>
    <s v="Valeria Moreno"/>
    <s v="Closed"/>
    <n v="59"/>
    <d v="2025-05-27T00:00:00"/>
    <n v="54"/>
    <s v="Partial Credit"/>
    <n v="1339.43"/>
  </r>
  <r>
    <s v="DIS-0119"/>
    <s v="INV-1119"/>
    <s v="VND-005"/>
    <s v="EnergyPlus Corp"/>
    <s v="Utilities"/>
    <s v="Central"/>
    <d v="2024-11-10T00:00:00"/>
    <s v="Contract Terms"/>
    <n v="6322.27"/>
    <n v="2860.38"/>
    <x v="1"/>
    <s v="Marta Lopez"/>
    <s v="Resolved"/>
    <n v="203"/>
    <d v="2025-02-26T00:00:00"/>
    <n v="108"/>
    <s v="Partial Credit"/>
    <n v="1209.6099999999999"/>
  </r>
  <r>
    <s v="DIS-0120"/>
    <s v="INV-1120"/>
    <s v="VND-005"/>
    <s v="EnergyPlus Corp"/>
    <s v="Utilities"/>
    <s v="Central"/>
    <d v="2024-06-20T00:00:00"/>
    <s v="Service Quality"/>
    <n v="27213.08"/>
    <n v="1871.4"/>
    <x v="3"/>
    <s v="Diego Castillo"/>
    <s v="Closed"/>
    <n v="346"/>
    <d v="2024-07-21T00:00:00"/>
    <n v="31"/>
    <s v="Partial Credit"/>
    <n v="1087.74"/>
  </r>
  <r>
    <s v="DIS-0121"/>
    <s v="INV-1121"/>
    <s v="VND-005"/>
    <s v="EnergyPlus Corp"/>
    <s v="Utilities"/>
    <s v="Central"/>
    <d v="2024-10-06T00:00:00"/>
    <s v="Damaged Goods"/>
    <n v="91391.83"/>
    <n v="25282.880000000001"/>
    <x v="1"/>
    <s v="Ana Torres"/>
    <s v="Closed"/>
    <n v="238"/>
    <d v="2024-11-16T00:00:00"/>
    <n v="41"/>
    <s v="Pending"/>
    <n v="0"/>
  </r>
  <r>
    <s v="DIS-0122"/>
    <s v="INV-1122"/>
    <s v="VND-005"/>
    <s v="EnergyPlus Corp"/>
    <s v="Utilities"/>
    <s v="Central"/>
    <d v="2025-04-02T00:00:00"/>
    <s v="Duplicate Invoice"/>
    <n v="14233.24"/>
    <n v="10183.09"/>
    <x v="0"/>
    <s v="Diego Castillo"/>
    <s v="Resolved"/>
    <n v="60"/>
    <d v="2025-05-22T00:00:00"/>
    <n v="50"/>
    <s v="Payment Adjusted"/>
    <n v="3218.64"/>
  </r>
  <r>
    <s v="DIS-0123"/>
    <s v="INV-1123"/>
    <s v="VND-005"/>
    <s v="EnergyPlus Corp"/>
    <s v="Utilities"/>
    <s v="Central"/>
    <d v="2024-08-04T00:00:00"/>
    <s v="Price Discrepancy"/>
    <n v="75515.56"/>
    <n v="12527.44"/>
    <x v="1"/>
    <s v="Juan Vargas"/>
    <s v="Resolved"/>
    <n v="301"/>
    <d v="2024-09-11T00:00:00"/>
    <n v="38"/>
    <s v="Full Credit"/>
    <n v="12527.44"/>
  </r>
  <r>
    <s v="DIS-0124"/>
    <s v="INV-1124"/>
    <s v="VND-005"/>
    <s v="EnergyPlus Corp"/>
    <s v="Utilities"/>
    <s v="Central"/>
    <d v="2024-11-23T00:00:00"/>
    <s v="Missing Goods"/>
    <n v="25640.62"/>
    <n v="9833.74"/>
    <x v="0"/>
    <s v="Carlos Mendez"/>
    <s v="Closed"/>
    <n v="190"/>
    <d v="2025-01-12T00:00:00"/>
    <n v="50"/>
    <s v="Partial Credit"/>
    <n v="7736.26"/>
  </r>
  <r>
    <s v="DIS-0125"/>
    <s v="INV-1125"/>
    <s v="VND-005"/>
    <s v="EnergyPlus Corp"/>
    <s v="Utilities"/>
    <s v="Central"/>
    <d v="2024-11-29T00:00:00"/>
    <s v="Duplicate Invoice"/>
    <n v="10752.26"/>
    <n v="2762.37"/>
    <x v="2"/>
    <s v="Carlos Mendez"/>
    <s v="Escalated"/>
    <n v="184"/>
    <d v="2025-02-22T00:00:00"/>
    <n v="85"/>
    <s v="Partial Credit"/>
    <n v="2161.9899999999998"/>
  </r>
  <r>
    <s v="DIS-0126"/>
    <s v="INV-1126"/>
    <s v="VND-005"/>
    <s v="EnergyPlus Corp"/>
    <s v="Utilities"/>
    <s v="Central"/>
    <d v="2025-05-06T00:00:00"/>
    <s v="Service Quality"/>
    <n v="79745.490000000005"/>
    <n v="18554.919999999998"/>
    <x v="0"/>
    <s v="Luis Herrera"/>
    <s v="Open"/>
    <n v="26"/>
    <m/>
    <m/>
    <s v="Pending"/>
    <n v="0"/>
  </r>
  <r>
    <s v="DIS-0127"/>
    <s v="INV-1127"/>
    <s v="VND-005"/>
    <s v="EnergyPlus Corp"/>
    <s v="Utilities"/>
    <s v="Central"/>
    <d v="2024-08-21T00:00:00"/>
    <s v="Missing Goods"/>
    <n v="24679.95"/>
    <n v="5231.25"/>
    <x v="3"/>
    <s v="Sofia Ruiz"/>
    <s v="Escalated"/>
    <n v="284"/>
    <d v="2024-11-08T00:00:00"/>
    <n v="79"/>
    <s v="Full Credit"/>
    <n v="5231.25"/>
  </r>
  <r>
    <s v="DIS-0128"/>
    <s v="INV-1128"/>
    <s v="VND-005"/>
    <s v="EnergyPlus Corp"/>
    <s v="Utilities"/>
    <s v="Central"/>
    <d v="2025-03-18T00:00:00"/>
    <s v="Price Discrepancy"/>
    <n v="98815.09"/>
    <n v="44976.83"/>
    <x v="3"/>
    <s v="Ana Torres"/>
    <s v="Open"/>
    <n v="75"/>
    <m/>
    <m/>
    <s v="Pending"/>
    <n v="0"/>
  </r>
  <r>
    <s v="DIS-0129"/>
    <s v="INV-1129"/>
    <s v="VND-005"/>
    <s v="EnergyPlus Corp"/>
    <s v="Utilities"/>
    <s v="Central"/>
    <d v="2024-11-29T00:00:00"/>
    <s v="Damaged Goods"/>
    <n v="80048.539999999994"/>
    <n v="18286.990000000002"/>
    <x v="1"/>
    <s v="Marta Lopez"/>
    <s v="In Progress"/>
    <n v="184"/>
    <m/>
    <m/>
    <s v="Pending"/>
    <n v="0"/>
  </r>
  <r>
    <s v="DIS-0130"/>
    <s v="INV-1130"/>
    <s v="VND-005"/>
    <s v="EnergyPlus Corp"/>
    <s v="Utilities"/>
    <s v="Central"/>
    <d v="2024-10-28T00:00:00"/>
    <s v="Missing Goods"/>
    <n v="54978.13"/>
    <n v="33495.370000000003"/>
    <x v="1"/>
    <s v="Carlos Mendez"/>
    <s v="Resolved"/>
    <n v="216"/>
    <d v="2024-11-28T00:00:00"/>
    <n v="31"/>
    <s v="Pending"/>
    <n v="0"/>
  </r>
  <r>
    <s v="DIS-0131"/>
    <s v="INV-1131"/>
    <s v="VND-005"/>
    <s v="EnergyPlus Corp"/>
    <s v="Utilities"/>
    <s v="Central"/>
    <d v="2025-05-09T00:00:00"/>
    <s v="Missing Goods"/>
    <n v="74088.08"/>
    <n v="54200.15"/>
    <x v="3"/>
    <s v="Juan Vargas"/>
    <s v="In Progress"/>
    <n v="23"/>
    <m/>
    <m/>
    <s v="Pending"/>
    <n v="0"/>
  </r>
  <r>
    <s v="DIS-0132"/>
    <s v="INV-1132"/>
    <s v="VND-005"/>
    <s v="EnergyPlus Corp"/>
    <s v="Utilities"/>
    <s v="Central"/>
    <d v="2025-05-16T00:00:00"/>
    <s v="Contract Terms"/>
    <n v="10778.41"/>
    <n v="4410.92"/>
    <x v="1"/>
    <s v="Carlos Mendez"/>
    <s v="In Progress"/>
    <n v="16"/>
    <m/>
    <m/>
    <s v="Pending"/>
    <n v="0"/>
  </r>
  <r>
    <s v="DIS-0133"/>
    <s v="INV-1133"/>
    <s v="VND-005"/>
    <s v="EnergyPlus Corp"/>
    <s v="Utilities"/>
    <s v="Central"/>
    <d v="2024-10-16T00:00:00"/>
    <s v="Price Discrepancy"/>
    <n v="11981.62"/>
    <n v="1325.08"/>
    <x v="1"/>
    <s v="Sofia Ruiz"/>
    <s v="Resolved"/>
    <n v="228"/>
    <d v="2025-01-08T00:00:00"/>
    <n v="84"/>
    <s v="Partial Credit"/>
    <n v="831.21"/>
  </r>
  <r>
    <s v="DIS-0134"/>
    <s v="INV-1134"/>
    <s v="VND-005"/>
    <s v="EnergyPlus Corp"/>
    <s v="Utilities"/>
    <s v="Central"/>
    <d v="2024-11-17T00:00:00"/>
    <s v="Service Quality"/>
    <n v="99489.64"/>
    <n v="44563.16"/>
    <x v="1"/>
    <s v="Valeria Moreno"/>
    <s v="In Progress"/>
    <n v="196"/>
    <m/>
    <m/>
    <s v="Pending"/>
    <n v="0"/>
  </r>
  <r>
    <s v="DIS-0135"/>
    <s v="INV-1135"/>
    <s v="VND-005"/>
    <s v="EnergyPlus Corp"/>
    <s v="Utilities"/>
    <s v="Central"/>
    <d v="2024-06-06T00:00:00"/>
    <s v="Service Quality"/>
    <n v="15869.34"/>
    <n v="8585.86"/>
    <x v="3"/>
    <s v="Luis Herrera"/>
    <s v="Resolved"/>
    <n v="360"/>
    <d v="2024-09-30T00:00:00"/>
    <n v="116"/>
    <s v="Full Credit"/>
    <n v="8585.86"/>
  </r>
  <r>
    <s v="DIS-0136"/>
    <s v="INV-1136"/>
    <s v="VND-005"/>
    <s v="EnergyPlus Corp"/>
    <s v="Utilities"/>
    <s v="Central"/>
    <d v="2024-12-09T00:00:00"/>
    <s v="Missing Goods"/>
    <n v="83604.83"/>
    <n v="29182.07"/>
    <x v="3"/>
    <s v="Valeria Moreno"/>
    <s v="Resolved"/>
    <n v="174"/>
    <d v="2025-01-13T00:00:00"/>
    <n v="35"/>
    <s v="Full Credit"/>
    <n v="29182.07"/>
  </r>
  <r>
    <s v="DIS-0137"/>
    <s v="INV-1137"/>
    <s v="VND-005"/>
    <s v="EnergyPlus Corp"/>
    <s v="Utilities"/>
    <s v="Central"/>
    <d v="2025-03-14T00:00:00"/>
    <s v="Price Discrepancy"/>
    <n v="70248"/>
    <n v="28499.68"/>
    <x v="0"/>
    <s v="Carlos Mendez"/>
    <s v="Resolved"/>
    <n v="79"/>
    <d v="2025-05-03T00:00:00"/>
    <n v="50"/>
    <s v="No Action"/>
    <n v="0"/>
  </r>
  <r>
    <s v="DIS-0138"/>
    <s v="INV-1138"/>
    <s v="VND-005"/>
    <s v="EnergyPlus Corp"/>
    <s v="Utilities"/>
    <s v="Central"/>
    <d v="2024-08-20T00:00:00"/>
    <s v="Contract Terms"/>
    <n v="10698.19"/>
    <n v="8210.52"/>
    <x v="1"/>
    <s v="Carlos Mendez"/>
    <s v="Resolved"/>
    <n v="285"/>
    <d v="2024-12-12T00:00:00"/>
    <n v="114"/>
    <s v="Payment Adjusted"/>
    <n v="3285.14"/>
  </r>
  <r>
    <s v="DIS-0139"/>
    <s v="INV-1139"/>
    <s v="VND-005"/>
    <s v="EnergyPlus Corp"/>
    <s v="Utilities"/>
    <s v="Central"/>
    <d v="2025-05-05T00:00:00"/>
    <s v="Service Quality"/>
    <n v="96997.87"/>
    <n v="48528.77"/>
    <x v="1"/>
    <s v="Luis Herrera"/>
    <s v="Open"/>
    <n v="27"/>
    <m/>
    <m/>
    <s v="Pending"/>
    <n v="0"/>
  </r>
  <r>
    <s v="DIS-0140"/>
    <s v="INV-1140"/>
    <s v="VND-005"/>
    <s v="EnergyPlus Corp"/>
    <s v="Utilities"/>
    <s v="Central"/>
    <d v="2024-09-27T00:00:00"/>
    <s v="Missing Goods"/>
    <n v="26303.26"/>
    <n v="3450.04"/>
    <x v="3"/>
    <s v="Carlos Mendez"/>
    <s v="Escalated"/>
    <n v="247"/>
    <d v="2024-12-12T00:00:00"/>
    <n v="76"/>
    <s v="Full Credit"/>
    <n v="3450.04"/>
  </r>
  <r>
    <s v="DIS-0141"/>
    <s v="INV-1141"/>
    <s v="VND-005"/>
    <s v="EnergyPlus Corp"/>
    <s v="Utilities"/>
    <s v="Central"/>
    <d v="2024-10-24T00:00:00"/>
    <s v="Service Quality"/>
    <n v="85289.74"/>
    <n v="66603.61"/>
    <x v="3"/>
    <s v="Ana Torres"/>
    <s v="Resolved"/>
    <n v="220"/>
    <d v="2025-01-19T00:00:00"/>
    <n v="87"/>
    <s v="No Action"/>
    <n v="0"/>
  </r>
  <r>
    <s v="DIS-0142"/>
    <s v="INV-1142"/>
    <s v="VND-006"/>
    <s v="MegaParts Ltd"/>
    <s v="Materials"/>
    <s v="East"/>
    <d v="2025-02-28T00:00:00"/>
    <s v="Missing Goods"/>
    <n v="30960.69"/>
    <n v="19251.580000000002"/>
    <x v="2"/>
    <s v="Ana Torres"/>
    <s v="Resolved"/>
    <n v="93"/>
    <d v="2025-03-21T00:00:00"/>
    <n v="21"/>
    <s v="Partial Credit"/>
    <n v="8479.76"/>
  </r>
  <r>
    <s v="DIS-0143"/>
    <s v="INV-1143"/>
    <s v="VND-006"/>
    <s v="MegaParts Ltd"/>
    <s v="Materials"/>
    <s v="East"/>
    <d v="2025-03-20T00:00:00"/>
    <s v="Service Quality"/>
    <n v="75392.06"/>
    <n v="58719.69"/>
    <x v="0"/>
    <s v="Luis Herrera"/>
    <s v="Resolved"/>
    <n v="73"/>
    <d v="2025-05-20T00:00:00"/>
    <n v="61"/>
    <s v="Full Credit"/>
    <n v="58719.69"/>
  </r>
  <r>
    <s v="DIS-0144"/>
    <s v="INV-1144"/>
    <s v="VND-006"/>
    <s v="MegaParts Ltd"/>
    <s v="Materials"/>
    <s v="East"/>
    <d v="2024-11-23T00:00:00"/>
    <s v="Service Quality"/>
    <n v="34605.550000000003"/>
    <n v="10149.36"/>
    <x v="2"/>
    <s v="Carlos Mendez"/>
    <s v="Closed"/>
    <n v="190"/>
    <d v="2024-12-15T00:00:00"/>
    <n v="22"/>
    <s v="Full Credit"/>
    <n v="10149.36"/>
  </r>
  <r>
    <s v="DIS-0145"/>
    <s v="INV-1145"/>
    <s v="VND-006"/>
    <s v="MegaParts Ltd"/>
    <s v="Materials"/>
    <s v="East"/>
    <d v="2024-07-19T00:00:00"/>
    <s v="Duplicate Invoice"/>
    <n v="9727.44"/>
    <n v="1081.56"/>
    <x v="1"/>
    <s v="Juan Vargas"/>
    <s v="Resolved"/>
    <n v="317"/>
    <d v="2024-09-13T00:00:00"/>
    <n v="56"/>
    <s v="Full Credit"/>
    <n v="1081.56"/>
  </r>
  <r>
    <s v="DIS-0146"/>
    <s v="INV-1146"/>
    <s v="VND-006"/>
    <s v="MegaParts Ltd"/>
    <s v="Materials"/>
    <s v="East"/>
    <d v="2024-09-11T00:00:00"/>
    <s v="Contract Terms"/>
    <n v="15812.66"/>
    <n v="5889.19"/>
    <x v="1"/>
    <s v="Juan Vargas"/>
    <s v="Resolved"/>
    <n v="263"/>
    <d v="2024-10-23T00:00:00"/>
    <n v="42"/>
    <s v="Full Credit"/>
    <n v="5889.19"/>
  </r>
  <r>
    <s v="DIS-0147"/>
    <s v="INV-1147"/>
    <s v="VND-006"/>
    <s v="MegaParts Ltd"/>
    <s v="Materials"/>
    <s v="East"/>
    <d v="2024-11-10T00:00:00"/>
    <s v="Damaged Goods"/>
    <n v="98522.34"/>
    <n v="8974.0499999999993"/>
    <x v="0"/>
    <s v="Sofia Ruiz"/>
    <s v="Escalated"/>
    <n v="203"/>
    <d v="2024-12-20T00:00:00"/>
    <n v="40"/>
    <s v="Full Credit"/>
    <n v="8974.0499999999993"/>
  </r>
  <r>
    <s v="DIS-0148"/>
    <s v="INV-1148"/>
    <s v="VND-006"/>
    <s v="MegaParts Ltd"/>
    <s v="Materials"/>
    <s v="East"/>
    <d v="2025-05-28T00:00:00"/>
    <s v="Service Quality"/>
    <n v="52251.61"/>
    <n v="19489.39"/>
    <x v="0"/>
    <s v="Luis Herrera"/>
    <s v="Open"/>
    <n v="4"/>
    <m/>
    <m/>
    <s v="Pending"/>
    <n v="0"/>
  </r>
  <r>
    <s v="DIS-0149"/>
    <s v="INV-1149"/>
    <s v="VND-006"/>
    <s v="MegaParts Ltd"/>
    <s v="Materials"/>
    <s v="East"/>
    <d v="2024-06-23T00:00:00"/>
    <s v="Price Discrepancy"/>
    <n v="81589.02"/>
    <n v="8489.8799999999992"/>
    <x v="3"/>
    <s v="Valeria Moreno"/>
    <s v="Open"/>
    <n v="343"/>
    <m/>
    <m/>
    <s v="Pending"/>
    <n v="0"/>
  </r>
  <r>
    <s v="DIS-0150"/>
    <s v="INV-1150"/>
    <s v="VND-006"/>
    <s v="MegaParts Ltd"/>
    <s v="Materials"/>
    <s v="East"/>
    <d v="2025-04-22T00:00:00"/>
    <s v="Contract Terms"/>
    <n v="86900.45"/>
    <n v="41870.32"/>
    <x v="1"/>
    <s v="Valeria Moreno"/>
    <s v="In Progress"/>
    <n v="40"/>
    <m/>
    <m/>
    <s v="Pending"/>
    <n v="0"/>
  </r>
  <r>
    <s v="DIS-0151"/>
    <s v="INV-1151"/>
    <s v="VND-006"/>
    <s v="MegaParts Ltd"/>
    <s v="Materials"/>
    <s v="East"/>
    <d v="2024-11-05T00:00:00"/>
    <s v="Service Quality"/>
    <n v="6981.37"/>
    <n v="2049.56"/>
    <x v="3"/>
    <s v="Juan Vargas"/>
    <s v="Closed"/>
    <n v="208"/>
    <d v="2025-03-05T00:00:00"/>
    <n v="120"/>
    <s v="Full Credit"/>
    <n v="2049.56"/>
  </r>
  <r>
    <s v="DIS-0152"/>
    <s v="INV-1152"/>
    <s v="VND-006"/>
    <s v="MegaParts Ltd"/>
    <s v="Materials"/>
    <s v="East"/>
    <d v="2024-10-20T00:00:00"/>
    <s v="Service Quality"/>
    <n v="85226.01"/>
    <n v="19813.97"/>
    <x v="1"/>
    <s v="Carlos Mendez"/>
    <s v="Resolved"/>
    <n v="224"/>
    <d v="2024-12-01T00:00:00"/>
    <n v="42"/>
    <s v="Payment Adjusted"/>
    <n v="3737.49"/>
  </r>
  <r>
    <s v="DIS-0153"/>
    <s v="INV-1153"/>
    <s v="VND-006"/>
    <s v="MegaParts Ltd"/>
    <s v="Materials"/>
    <s v="East"/>
    <d v="2025-03-06T00:00:00"/>
    <s v="Damaged Goods"/>
    <n v="12256.04"/>
    <n v="6433.42"/>
    <x v="1"/>
    <s v="Diego Castillo"/>
    <s v="Resolved"/>
    <n v="87"/>
    <d v="2025-05-30T00:00:00"/>
    <n v="85"/>
    <s v="No Action"/>
    <n v="0"/>
  </r>
  <r>
    <s v="DIS-0154"/>
    <s v="INV-1154"/>
    <s v="VND-006"/>
    <s v="MegaParts Ltd"/>
    <s v="Materials"/>
    <s v="East"/>
    <d v="2025-01-31T00:00:00"/>
    <s v="Damaged Goods"/>
    <n v="14766.43"/>
    <n v="3573.12"/>
    <x v="0"/>
    <s v="Carlos Mendez"/>
    <s v="Resolved"/>
    <n v="121"/>
    <d v="2025-05-12T00:00:00"/>
    <n v="101"/>
    <s v="Partial Credit"/>
    <n v="1709.28"/>
  </r>
  <r>
    <s v="DIS-0155"/>
    <s v="INV-1155"/>
    <s v="VND-006"/>
    <s v="MegaParts Ltd"/>
    <s v="Materials"/>
    <s v="East"/>
    <d v="2024-08-16T00:00:00"/>
    <s v="Service Quality"/>
    <n v="77188.33"/>
    <n v="29847.1"/>
    <x v="2"/>
    <s v="Diego Castillo"/>
    <s v="Closed"/>
    <n v="289"/>
    <d v="2024-11-07T00:00:00"/>
    <n v="83"/>
    <s v="Full Credit"/>
    <n v="29847.1"/>
  </r>
  <r>
    <s v="DIS-0156"/>
    <s v="INV-1156"/>
    <s v="VND-006"/>
    <s v="MegaParts Ltd"/>
    <s v="Materials"/>
    <s v="East"/>
    <d v="2024-10-18T00:00:00"/>
    <s v="Missing Goods"/>
    <n v="11487.19"/>
    <n v="4384.16"/>
    <x v="1"/>
    <s v="Ana Torres"/>
    <s v="Resolved"/>
    <n v="226"/>
    <d v="2024-10-30T00:00:00"/>
    <n v="12"/>
    <s v="Full Credit"/>
    <n v="4384.16"/>
  </r>
  <r>
    <s v="DIS-0157"/>
    <s v="INV-1157"/>
    <s v="VND-006"/>
    <s v="MegaParts Ltd"/>
    <s v="Materials"/>
    <s v="East"/>
    <d v="2024-10-12T00:00:00"/>
    <s v="Contract Terms"/>
    <n v="8572.69"/>
    <n v="2799.44"/>
    <x v="1"/>
    <s v="Carlos Mendez"/>
    <s v="Resolved"/>
    <n v="232"/>
    <d v="2024-12-18T00:00:00"/>
    <n v="67"/>
    <s v="Full Credit"/>
    <n v="2799.44"/>
  </r>
  <r>
    <s v="DIS-0158"/>
    <s v="INV-1158"/>
    <s v="VND-006"/>
    <s v="MegaParts Ltd"/>
    <s v="Materials"/>
    <s v="East"/>
    <d v="2024-08-07T00:00:00"/>
    <s v="Duplicate Invoice"/>
    <n v="57660.06"/>
    <n v="37125.199999999997"/>
    <x v="3"/>
    <s v="Luis Herrera"/>
    <s v="Resolved"/>
    <n v="298"/>
    <d v="2024-10-09T00:00:00"/>
    <n v="63"/>
    <s v="Partial Credit"/>
    <n v="28758.42"/>
  </r>
  <r>
    <s v="DIS-0159"/>
    <s v="INV-1159"/>
    <s v="VND-006"/>
    <s v="MegaParts Ltd"/>
    <s v="Materials"/>
    <s v="East"/>
    <d v="2024-10-13T00:00:00"/>
    <s v="Contract Terms"/>
    <n v="14832.68"/>
    <n v="10743.98"/>
    <x v="1"/>
    <s v="Carlos Mendez"/>
    <s v="Resolved"/>
    <n v="231"/>
    <d v="2024-11-07T00:00:00"/>
    <n v="25"/>
    <s v="Full Credit"/>
    <n v="10743.98"/>
  </r>
  <r>
    <s v="DIS-0160"/>
    <s v="INV-1160"/>
    <s v="VND-006"/>
    <s v="MegaParts Ltd"/>
    <s v="Materials"/>
    <s v="East"/>
    <d v="2024-06-03T00:00:00"/>
    <s v="Damaged Goods"/>
    <n v="46587.040000000001"/>
    <n v="17682.87"/>
    <x v="1"/>
    <s v="Diego Castillo"/>
    <s v="Resolved"/>
    <n v="363"/>
    <d v="2024-07-12T00:00:00"/>
    <n v="39"/>
    <s v="Full Credit"/>
    <n v="17682.87"/>
  </r>
  <r>
    <s v="DIS-0161"/>
    <s v="INV-1161"/>
    <s v="VND-006"/>
    <s v="MegaParts Ltd"/>
    <s v="Materials"/>
    <s v="East"/>
    <d v="2024-12-09T00:00:00"/>
    <s v="Missing Goods"/>
    <n v="69495.28"/>
    <n v="6204.13"/>
    <x v="1"/>
    <s v="Carlos Mendez"/>
    <s v="Resolved"/>
    <n v="174"/>
    <d v="2025-02-21T00:00:00"/>
    <n v="74"/>
    <s v="Payment Adjusted"/>
    <n v="1325.57"/>
  </r>
  <r>
    <s v="DIS-0162"/>
    <s v="INV-1162"/>
    <s v="VND-007"/>
    <s v="CloudSoft Solutions"/>
    <s v="IT"/>
    <s v="Central"/>
    <d v="2024-12-12T00:00:00"/>
    <s v="Missing Goods"/>
    <n v="12742.69"/>
    <n v="6979.29"/>
    <x v="2"/>
    <s v="Valeria Moreno"/>
    <s v="Resolved"/>
    <n v="171"/>
    <d v="2025-03-15T00:00:00"/>
    <n v="93"/>
    <s v="Pending"/>
    <n v="0"/>
  </r>
  <r>
    <s v="DIS-0163"/>
    <s v="INV-1163"/>
    <s v="VND-007"/>
    <s v="CloudSoft Solutions"/>
    <s v="IT"/>
    <s v="Central"/>
    <d v="2024-12-24T00:00:00"/>
    <s v="Damaged Goods"/>
    <n v="58097.599999999999"/>
    <n v="30943.94"/>
    <x v="1"/>
    <s v="Carlos Mendez"/>
    <s v="Resolved"/>
    <n v="159"/>
    <d v="2025-02-19T00:00:00"/>
    <n v="57"/>
    <s v="Partial Credit"/>
    <n v="6527.26"/>
  </r>
  <r>
    <s v="DIS-0164"/>
    <s v="INV-1164"/>
    <s v="VND-007"/>
    <s v="CloudSoft Solutions"/>
    <s v="IT"/>
    <s v="Central"/>
    <d v="2024-12-24T00:00:00"/>
    <s v="Duplicate Invoice"/>
    <n v="22124.98"/>
    <n v="4660.51"/>
    <x v="2"/>
    <s v="Luis Herrera"/>
    <s v="Resolved"/>
    <n v="159"/>
    <d v="2025-01-13T00:00:00"/>
    <n v="20"/>
    <s v="Full Credit"/>
    <n v="4660.51"/>
  </r>
  <r>
    <s v="DIS-0165"/>
    <s v="INV-1165"/>
    <s v="VND-007"/>
    <s v="CloudSoft Solutions"/>
    <s v="IT"/>
    <s v="Central"/>
    <d v="2024-12-31T00:00:00"/>
    <s v="Contract Terms"/>
    <n v="85220.7"/>
    <n v="10725.5"/>
    <x v="3"/>
    <s v="Ana Torres"/>
    <s v="Escalated"/>
    <n v="152"/>
    <d v="2025-04-25T00:00:00"/>
    <n v="115"/>
    <s v="Payment Adjusted"/>
    <n v="1634.78"/>
  </r>
  <r>
    <s v="DIS-0166"/>
    <s v="INV-1166"/>
    <s v="VND-007"/>
    <s v="CloudSoft Solutions"/>
    <s v="IT"/>
    <s v="Central"/>
    <d v="2024-11-20T00:00:00"/>
    <s v="Service Quality"/>
    <n v="19654.009999999998"/>
    <n v="3648.46"/>
    <x v="3"/>
    <s v="Sofia Ruiz"/>
    <s v="Escalated"/>
    <n v="193"/>
    <d v="2024-11-28T00:00:00"/>
    <n v="8"/>
    <s v="Partial Credit"/>
    <n v="2210.3000000000002"/>
  </r>
  <r>
    <s v="DIS-0167"/>
    <s v="INV-1167"/>
    <s v="VND-007"/>
    <s v="CloudSoft Solutions"/>
    <s v="IT"/>
    <s v="Central"/>
    <d v="2025-01-30T00:00:00"/>
    <s v="Duplicate Invoice"/>
    <n v="97110.92"/>
    <n v="49327.16"/>
    <x v="3"/>
    <s v="Luis Herrera"/>
    <s v="Resolved"/>
    <n v="122"/>
    <d v="2025-03-13T00:00:00"/>
    <n v="42"/>
    <s v="Pending"/>
    <n v="0"/>
  </r>
  <r>
    <s v="DIS-0168"/>
    <s v="INV-1168"/>
    <s v="VND-007"/>
    <s v="CloudSoft Solutions"/>
    <s v="IT"/>
    <s v="Central"/>
    <d v="2024-10-03T00:00:00"/>
    <s v="Service Quality"/>
    <n v="90877.56"/>
    <n v="17767.669999999998"/>
    <x v="3"/>
    <s v="Juan Vargas"/>
    <s v="Resolved"/>
    <n v="241"/>
    <d v="2024-11-11T00:00:00"/>
    <n v="39"/>
    <s v="Payment Adjusted"/>
    <n v="5350.96"/>
  </r>
  <r>
    <s v="DIS-0169"/>
    <s v="INV-1169"/>
    <s v="VND-007"/>
    <s v="CloudSoft Solutions"/>
    <s v="IT"/>
    <s v="Central"/>
    <d v="2024-10-29T00:00:00"/>
    <s v="Damaged Goods"/>
    <n v="96795.47"/>
    <n v="64143.3"/>
    <x v="3"/>
    <s v="Marta Lopez"/>
    <s v="In Progress"/>
    <n v="215"/>
    <m/>
    <m/>
    <s v="Pending"/>
    <n v="0"/>
  </r>
  <r>
    <s v="DIS-0170"/>
    <s v="INV-1170"/>
    <s v="VND-007"/>
    <s v="CloudSoft Solutions"/>
    <s v="IT"/>
    <s v="Central"/>
    <d v="2024-09-27T00:00:00"/>
    <s v="Service Quality"/>
    <n v="88041.11"/>
    <n v="41018.839999999997"/>
    <x v="0"/>
    <s v="Carlos Mendez"/>
    <s v="Resolved"/>
    <n v="247"/>
    <d v="2025-01-05T00:00:00"/>
    <n v="100"/>
    <s v="Full Credit"/>
    <n v="41018.839999999997"/>
  </r>
  <r>
    <s v="DIS-0171"/>
    <s v="INV-1171"/>
    <s v="VND-007"/>
    <s v="CloudSoft Solutions"/>
    <s v="IT"/>
    <s v="Central"/>
    <d v="2024-10-13T00:00:00"/>
    <s v="Damaged Goods"/>
    <n v="91004.09"/>
    <n v="14607.2"/>
    <x v="1"/>
    <s v="Juan Vargas"/>
    <s v="Closed"/>
    <n v="231"/>
    <d v="2024-10-19T00:00:00"/>
    <n v="6"/>
    <s v="Partial Credit"/>
    <n v="6396.09"/>
  </r>
  <r>
    <s v="DIS-0172"/>
    <s v="INV-1172"/>
    <s v="VND-007"/>
    <s v="CloudSoft Solutions"/>
    <s v="IT"/>
    <s v="Central"/>
    <d v="2024-11-21T00:00:00"/>
    <s v="Price Discrepancy"/>
    <n v="27398.92"/>
    <n v="21806.639999999999"/>
    <x v="1"/>
    <s v="Diego Castillo"/>
    <s v="Closed"/>
    <n v="192"/>
    <d v="2025-03-11T00:00:00"/>
    <n v="110"/>
    <s v="Payment Adjusted"/>
    <n v="5105.29"/>
  </r>
  <r>
    <s v="DIS-0173"/>
    <s v="INV-1173"/>
    <s v="VND-007"/>
    <s v="CloudSoft Solutions"/>
    <s v="IT"/>
    <s v="Central"/>
    <d v="2025-03-18T00:00:00"/>
    <s v="Contract Terms"/>
    <n v="18071.96"/>
    <n v="4791.95"/>
    <x v="3"/>
    <s v="Sofia Ruiz"/>
    <s v="Escalated"/>
    <n v="75"/>
    <d v="2025-05-20T00:00:00"/>
    <n v="63"/>
    <s v="Partial Credit"/>
    <n v="973.49"/>
  </r>
  <r>
    <s v="DIS-0174"/>
    <s v="INV-1174"/>
    <s v="VND-007"/>
    <s v="CloudSoft Solutions"/>
    <s v="IT"/>
    <s v="Central"/>
    <d v="2025-04-21T00:00:00"/>
    <s v="Contract Terms"/>
    <n v="6805.37"/>
    <n v="1440.98"/>
    <x v="0"/>
    <s v="Valeria Moreno"/>
    <s v="Open"/>
    <n v="41"/>
    <m/>
    <m/>
    <s v="Pending"/>
    <n v="0"/>
  </r>
  <r>
    <s v="DIS-0175"/>
    <s v="INV-1175"/>
    <s v="VND-007"/>
    <s v="CloudSoft Solutions"/>
    <s v="IT"/>
    <s v="Central"/>
    <d v="2025-01-04T00:00:00"/>
    <s v="Contract Terms"/>
    <n v="27575.82"/>
    <n v="3898.84"/>
    <x v="0"/>
    <s v="Juan Vargas"/>
    <s v="In Progress"/>
    <n v="148"/>
    <m/>
    <m/>
    <s v="Pending"/>
    <n v="0"/>
  </r>
  <r>
    <s v="DIS-0176"/>
    <s v="INV-1176"/>
    <s v="VND-007"/>
    <s v="CloudSoft Solutions"/>
    <s v="IT"/>
    <s v="Central"/>
    <d v="2024-09-18T00:00:00"/>
    <s v="Damaged Goods"/>
    <n v="61690.21"/>
    <n v="3844.94"/>
    <x v="1"/>
    <s v="Sofia Ruiz"/>
    <s v="Resolved"/>
    <n v="256"/>
    <d v="2024-09-21T00:00:00"/>
    <n v="3"/>
    <s v="Partial Credit"/>
    <n v="1323.96"/>
  </r>
  <r>
    <s v="DIS-0177"/>
    <s v="INV-1177"/>
    <s v="VND-007"/>
    <s v="CloudSoft Solutions"/>
    <s v="IT"/>
    <s v="Central"/>
    <d v="2024-10-30T00:00:00"/>
    <s v="Missing Goods"/>
    <n v="22794.82"/>
    <n v="12563.62"/>
    <x v="1"/>
    <s v="Carlos Mendez"/>
    <s v="Closed"/>
    <n v="214"/>
    <d v="2025-01-10T00:00:00"/>
    <n v="72"/>
    <s v="Partial Credit"/>
    <n v="9962.94"/>
  </r>
  <r>
    <s v="DIS-0178"/>
    <s v="INV-1178"/>
    <s v="VND-007"/>
    <s v="CloudSoft Solutions"/>
    <s v="IT"/>
    <s v="Central"/>
    <d v="2024-08-21T00:00:00"/>
    <s v="Duplicate Invoice"/>
    <n v="6931.76"/>
    <n v="4886.88"/>
    <x v="0"/>
    <s v="Diego Castillo"/>
    <s v="Resolved"/>
    <n v="284"/>
    <d v="2024-08-26T00:00:00"/>
    <n v="5"/>
    <s v="Full Credit"/>
    <n v="4886.88"/>
  </r>
  <r>
    <s v="DIS-0179"/>
    <s v="INV-1179"/>
    <s v="VND-007"/>
    <s v="CloudSoft Solutions"/>
    <s v="IT"/>
    <s v="Central"/>
    <d v="2025-04-27T00:00:00"/>
    <s v="Service Quality"/>
    <n v="37756.239999999998"/>
    <n v="22642.63"/>
    <x v="1"/>
    <s v="Diego Castillo"/>
    <s v="Open"/>
    <n v="35"/>
    <m/>
    <m/>
    <s v="Pending"/>
    <n v="0"/>
  </r>
  <r>
    <s v="DIS-0180"/>
    <s v="INV-1180"/>
    <s v="VND-007"/>
    <s v="CloudSoft Solutions"/>
    <s v="IT"/>
    <s v="Central"/>
    <d v="2024-12-02T00:00:00"/>
    <s v="Contract Terms"/>
    <n v="56871.31"/>
    <n v="37542.550000000003"/>
    <x v="0"/>
    <s v="Juan Vargas"/>
    <s v="Closed"/>
    <n v="181"/>
    <d v="2025-02-04T00:00:00"/>
    <n v="64"/>
    <s v="Partial Credit"/>
    <n v="25787.93"/>
  </r>
  <r>
    <s v="DIS-0181"/>
    <s v="INV-1181"/>
    <s v="VND-007"/>
    <s v="CloudSoft Solutions"/>
    <s v="IT"/>
    <s v="Central"/>
    <d v="2025-04-29T00:00:00"/>
    <s v="Damaged Goods"/>
    <n v="73024.28"/>
    <n v="55330.78"/>
    <x v="0"/>
    <s v="Ana Torres"/>
    <s v="Escalated"/>
    <n v="33"/>
    <d v="2025-05-30T00:00:00"/>
    <n v="31"/>
    <s v="Full Credit"/>
    <n v="55330.78"/>
  </r>
  <r>
    <s v="DIS-0182"/>
    <s v="INV-1182"/>
    <s v="VND-007"/>
    <s v="CloudSoft Solutions"/>
    <s v="IT"/>
    <s v="Central"/>
    <d v="2024-12-24T00:00:00"/>
    <s v="Missing Goods"/>
    <n v="53961.440000000002"/>
    <n v="42728.94"/>
    <x v="1"/>
    <s v="Ana Torres"/>
    <s v="Escalated"/>
    <n v="159"/>
    <d v="2025-01-20T00:00:00"/>
    <n v="27"/>
    <s v="Full Credit"/>
    <n v="42728.94"/>
  </r>
  <r>
    <s v="DIS-0183"/>
    <s v="INV-1183"/>
    <s v="VND-007"/>
    <s v="CloudSoft Solutions"/>
    <s v="IT"/>
    <s v="Central"/>
    <d v="2025-05-07T00:00:00"/>
    <s v="Missing Goods"/>
    <n v="87250.84"/>
    <n v="26083.07"/>
    <x v="0"/>
    <s v="Valeria Moreno"/>
    <s v="Escalated"/>
    <n v="25"/>
    <d v="2025-05-24T00:00:00"/>
    <n v="17"/>
    <s v="No Action"/>
    <n v="0"/>
  </r>
  <r>
    <s v="DIS-0184"/>
    <s v="INV-1184"/>
    <s v="VND-007"/>
    <s v="CloudSoft Solutions"/>
    <s v="IT"/>
    <s v="Central"/>
    <d v="2024-11-15T00:00:00"/>
    <s v="Missing Goods"/>
    <n v="37208.480000000003"/>
    <n v="7073.81"/>
    <x v="3"/>
    <s v="Marta Lopez"/>
    <s v="Closed"/>
    <n v="198"/>
    <d v="2025-02-19T00:00:00"/>
    <n v="96"/>
    <s v="Partial Credit"/>
    <n v="3242.38"/>
  </r>
  <r>
    <s v="DIS-0185"/>
    <s v="INV-1185"/>
    <s v="VND-007"/>
    <s v="CloudSoft Solutions"/>
    <s v="IT"/>
    <s v="Central"/>
    <d v="2025-02-28T00:00:00"/>
    <s v="Contract Terms"/>
    <n v="56820.07"/>
    <n v="16529.45"/>
    <x v="0"/>
    <s v="Marta Lopez"/>
    <s v="Resolved"/>
    <n v="93"/>
    <d v="2025-05-19T00:00:00"/>
    <n v="80"/>
    <s v="Payment Adjusted"/>
    <n v="2754.76"/>
  </r>
  <r>
    <s v="DIS-0186"/>
    <s v="INV-1186"/>
    <s v="VND-008"/>
    <s v="Rapi Cargo SA"/>
    <s v="Logistics"/>
    <s v="West"/>
    <d v="2024-10-15T00:00:00"/>
    <s v="Duplicate Invoice"/>
    <n v="9023.74"/>
    <n v="6339.43"/>
    <x v="1"/>
    <s v="Marta Lopez"/>
    <s v="Resolved"/>
    <n v="229"/>
    <d v="2025-01-27T00:00:00"/>
    <n v="104"/>
    <s v="Pending"/>
    <n v="0"/>
  </r>
  <r>
    <s v="DIS-0187"/>
    <s v="INV-1187"/>
    <s v="VND-008"/>
    <s v="Rapi Cargo SA"/>
    <s v="Logistics"/>
    <s v="West"/>
    <d v="2025-04-23T00:00:00"/>
    <s v="Contract Terms"/>
    <n v="68762.47"/>
    <n v="24387.14"/>
    <x v="1"/>
    <s v="Sofia Ruiz"/>
    <s v="Closed"/>
    <n v="39"/>
    <d v="2025-05-05T00:00:00"/>
    <n v="12"/>
    <s v="No Action"/>
    <n v="0"/>
  </r>
  <r>
    <s v="DIS-0188"/>
    <s v="INV-1188"/>
    <s v="VND-008"/>
    <s v="Rapi Cargo SA"/>
    <s v="Logistics"/>
    <s v="West"/>
    <d v="2024-06-18T00:00:00"/>
    <s v="Contract Terms"/>
    <n v="79224.639999999999"/>
    <n v="6028.93"/>
    <x v="0"/>
    <s v="Diego Castillo"/>
    <s v="Resolved"/>
    <n v="348"/>
    <d v="2024-09-01T00:00:00"/>
    <n v="75"/>
    <s v="Full Credit"/>
    <n v="6028.93"/>
  </r>
  <r>
    <s v="DIS-0189"/>
    <s v="INV-1189"/>
    <s v="VND-008"/>
    <s v="Rapi Cargo SA"/>
    <s v="Logistics"/>
    <s v="West"/>
    <d v="2025-03-14T00:00:00"/>
    <s v="Price Discrepancy"/>
    <n v="69510.899999999994"/>
    <n v="52940.73"/>
    <x v="1"/>
    <s v="Sofia Ruiz"/>
    <s v="Resolved"/>
    <n v="79"/>
    <d v="2025-05-06T00:00:00"/>
    <n v="53"/>
    <s v="Full Credit"/>
    <n v="52940.73"/>
  </r>
  <r>
    <s v="DIS-0190"/>
    <s v="INV-1190"/>
    <s v="VND-008"/>
    <s v="Rapi Cargo SA"/>
    <s v="Logistics"/>
    <s v="West"/>
    <d v="2025-01-09T00:00:00"/>
    <s v="Duplicate Invoice"/>
    <n v="28713.11"/>
    <n v="3878.75"/>
    <x v="3"/>
    <s v="Valeria Moreno"/>
    <s v="Closed"/>
    <n v="143"/>
    <d v="2025-01-27T00:00:00"/>
    <n v="18"/>
    <s v="Full Credit"/>
    <n v="3878.75"/>
  </r>
  <r>
    <s v="DIS-0191"/>
    <s v="INV-1191"/>
    <s v="VND-008"/>
    <s v="Rapi Cargo SA"/>
    <s v="Logistics"/>
    <s v="West"/>
    <d v="2025-01-18T00:00:00"/>
    <s v="Contract Terms"/>
    <n v="71883.59"/>
    <n v="15162.25"/>
    <x v="1"/>
    <s v="Juan Vargas"/>
    <s v="Resolved"/>
    <n v="134"/>
    <d v="2025-02-07T00:00:00"/>
    <n v="20"/>
    <s v="No Action"/>
    <n v="0"/>
  </r>
  <r>
    <s v="DIS-0192"/>
    <s v="INV-1192"/>
    <s v="VND-008"/>
    <s v="Rapi Cargo SA"/>
    <s v="Logistics"/>
    <s v="West"/>
    <d v="2024-10-12T00:00:00"/>
    <s v="Contract Terms"/>
    <n v="21402.35"/>
    <n v="12520.96"/>
    <x v="2"/>
    <s v="Diego Castillo"/>
    <s v="Escalated"/>
    <n v="232"/>
    <d v="2025-01-13T00:00:00"/>
    <n v="93"/>
    <s v="Full Credit"/>
    <n v="12520.96"/>
  </r>
  <r>
    <s v="DIS-0193"/>
    <s v="INV-1193"/>
    <s v="VND-008"/>
    <s v="Rapi Cargo SA"/>
    <s v="Logistics"/>
    <s v="West"/>
    <d v="2024-08-27T00:00:00"/>
    <s v="Contract Terms"/>
    <n v="32584.42"/>
    <n v="8959.66"/>
    <x v="0"/>
    <s v="Sofia Ruiz"/>
    <s v="Escalated"/>
    <n v="278"/>
    <d v="2024-11-03T00:00:00"/>
    <n v="68"/>
    <s v="Full Credit"/>
    <n v="8959.66"/>
  </r>
  <r>
    <s v="DIS-0194"/>
    <s v="INV-1194"/>
    <s v="VND-008"/>
    <s v="Rapi Cargo SA"/>
    <s v="Logistics"/>
    <s v="West"/>
    <d v="2025-02-18T00:00:00"/>
    <s v="Missing Goods"/>
    <n v="80246.240000000005"/>
    <n v="18260.2"/>
    <x v="1"/>
    <s v="Diego Castillo"/>
    <s v="Resolved"/>
    <n v="103"/>
    <d v="2025-05-02T00:00:00"/>
    <n v="73"/>
    <s v="Full Credit"/>
    <n v="18260.2"/>
  </r>
  <r>
    <s v="DIS-0195"/>
    <s v="INV-1195"/>
    <s v="VND-008"/>
    <s v="Rapi Cargo SA"/>
    <s v="Logistics"/>
    <s v="West"/>
    <d v="2025-04-17T00:00:00"/>
    <s v="Duplicate Invoice"/>
    <n v="11246.07"/>
    <n v="3920.6"/>
    <x v="3"/>
    <s v="Valeria Moreno"/>
    <s v="Escalated"/>
    <n v="45"/>
    <d v="2025-05-26T00:00:00"/>
    <n v="39"/>
    <s v="Full Credit"/>
    <n v="3920.6"/>
  </r>
  <r>
    <s v="DIS-0196"/>
    <s v="INV-1196"/>
    <s v="VND-008"/>
    <s v="Rapi Cargo SA"/>
    <s v="Logistics"/>
    <s v="West"/>
    <d v="2024-12-20T00:00:00"/>
    <s v="Missing Goods"/>
    <n v="66022.17"/>
    <n v="25582.33"/>
    <x v="3"/>
    <s v="Sofia Ruiz"/>
    <s v="Closed"/>
    <n v="163"/>
    <d v="2025-04-01T00:00:00"/>
    <n v="102"/>
    <s v="Partial Credit"/>
    <n v="14138.63"/>
  </r>
  <r>
    <s v="DIS-0197"/>
    <s v="INV-1197"/>
    <s v="VND-008"/>
    <s v="Rapi Cargo SA"/>
    <s v="Logistics"/>
    <s v="West"/>
    <d v="2025-03-26T00:00:00"/>
    <s v="Price Discrepancy"/>
    <n v="46098.74"/>
    <n v="33791.949999999997"/>
    <x v="0"/>
    <s v="Sofia Ruiz"/>
    <s v="Resolved"/>
    <n v="67"/>
    <d v="2025-04-18T00:00:00"/>
    <n v="23"/>
    <s v="Full Credit"/>
    <n v="33791.949999999997"/>
  </r>
  <r>
    <s v="DIS-0198"/>
    <s v="INV-1198"/>
    <s v="VND-008"/>
    <s v="Rapi Cargo SA"/>
    <s v="Logistics"/>
    <s v="West"/>
    <d v="2024-06-02T00:00:00"/>
    <s v="Missing Goods"/>
    <n v="26419.68"/>
    <n v="20095.13"/>
    <x v="1"/>
    <s v="Carlos Mendez"/>
    <s v="Resolved"/>
    <n v="364"/>
    <d v="2024-08-25T00:00:00"/>
    <n v="84"/>
    <s v="Pending"/>
    <n v="0"/>
  </r>
  <r>
    <s v="DIS-0199"/>
    <s v="INV-1199"/>
    <s v="VND-008"/>
    <s v="Rapi Cargo SA"/>
    <s v="Logistics"/>
    <s v="West"/>
    <d v="2025-01-11T00:00:00"/>
    <s v="Service Quality"/>
    <n v="16891.18"/>
    <n v="4680.8599999999997"/>
    <x v="1"/>
    <s v="Sofia Ruiz"/>
    <s v="Resolved"/>
    <n v="141"/>
    <d v="2025-03-29T00:00:00"/>
    <n v="77"/>
    <s v="Full Credit"/>
    <n v="4680.8599999999997"/>
  </r>
  <r>
    <s v="DIS-0200"/>
    <s v="INV-1200"/>
    <s v="VND-008"/>
    <s v="Rapi Cargo SA"/>
    <s v="Logistics"/>
    <s v="West"/>
    <d v="2024-06-28T00:00:00"/>
    <s v="Service Quality"/>
    <n v="64325.52"/>
    <n v="46732.53"/>
    <x v="1"/>
    <s v="Ana Torres"/>
    <s v="Closed"/>
    <n v="338"/>
    <d v="2024-07-04T00:00:00"/>
    <n v="6"/>
    <s v="Full Credit"/>
    <n v="46732.53"/>
  </r>
  <r>
    <s v="DIS-0201"/>
    <s v="INV-1201"/>
    <s v="VND-008"/>
    <s v="Rapi Cargo SA"/>
    <s v="Logistics"/>
    <s v="West"/>
    <d v="2024-07-07T00:00:00"/>
    <s v="Service Quality"/>
    <n v="78247.13"/>
    <n v="19443.78"/>
    <x v="0"/>
    <s v="Valeria Moreno"/>
    <s v="Resolved"/>
    <n v="329"/>
    <d v="2024-07-13T00:00:00"/>
    <n v="6"/>
    <s v="Partial Credit"/>
    <n v="11205.42"/>
  </r>
  <r>
    <s v="DIS-0202"/>
    <s v="INV-1202"/>
    <s v="VND-008"/>
    <s v="Rapi Cargo SA"/>
    <s v="Logistics"/>
    <s v="West"/>
    <d v="2025-01-03T00:00:00"/>
    <s v="Contract Terms"/>
    <n v="65981.19"/>
    <n v="18248.46"/>
    <x v="0"/>
    <s v="Valeria Moreno"/>
    <s v="Resolved"/>
    <n v="149"/>
    <d v="2025-01-15T00:00:00"/>
    <n v="12"/>
    <s v="Payment Adjusted"/>
    <n v="2978.74"/>
  </r>
  <r>
    <s v="DIS-0203"/>
    <s v="INV-1203"/>
    <s v="VND-008"/>
    <s v="Rapi Cargo SA"/>
    <s v="Logistics"/>
    <s v="West"/>
    <d v="2024-10-31T00:00:00"/>
    <s v="Missing Goods"/>
    <n v="51003.86"/>
    <n v="10354.66"/>
    <x v="1"/>
    <s v="Diego Castillo"/>
    <s v="Escalated"/>
    <n v="213"/>
    <d v="2025-02-21T00:00:00"/>
    <n v="113"/>
    <s v="Full Credit"/>
    <n v="10354.66"/>
  </r>
  <r>
    <s v="DIS-0204"/>
    <s v="INV-1204"/>
    <s v="VND-008"/>
    <s v="Rapi Cargo SA"/>
    <s v="Logistics"/>
    <s v="West"/>
    <d v="2024-11-08T00:00:00"/>
    <s v="Missing Goods"/>
    <n v="17422.78"/>
    <n v="5713.02"/>
    <x v="1"/>
    <s v="Luis Herrera"/>
    <s v="Resolved"/>
    <n v="205"/>
    <d v="2024-12-15T00:00:00"/>
    <n v="37"/>
    <s v="Partial Credit"/>
    <n v="1625.51"/>
  </r>
  <r>
    <s v="DIS-0205"/>
    <s v="INV-1205"/>
    <s v="VND-008"/>
    <s v="Rapi Cargo SA"/>
    <s v="Logistics"/>
    <s v="West"/>
    <d v="2025-05-06T00:00:00"/>
    <s v="Damaged Goods"/>
    <n v="32570.14"/>
    <n v="11012.37"/>
    <x v="1"/>
    <s v="Sofia Ruiz"/>
    <s v="Escalated"/>
    <n v="26"/>
    <d v="2025-05-27T00:00:00"/>
    <n v="21"/>
    <s v="Payment Adjusted"/>
    <n v="1937.45"/>
  </r>
  <r>
    <s v="DIS-0206"/>
    <s v="INV-1206"/>
    <s v="VND-008"/>
    <s v="Rapi Cargo SA"/>
    <s v="Logistics"/>
    <s v="West"/>
    <d v="2025-03-11T00:00:00"/>
    <s v="Missing Goods"/>
    <n v="52335.23"/>
    <n v="22820.44"/>
    <x v="1"/>
    <s v="Juan Vargas"/>
    <s v="Open"/>
    <n v="82"/>
    <m/>
    <m/>
    <s v="Pending"/>
    <n v="0"/>
  </r>
  <r>
    <s v="DIS-0207"/>
    <s v="INV-1207"/>
    <s v="VND-008"/>
    <s v="Rapi Cargo SA"/>
    <s v="Logistics"/>
    <s v="West"/>
    <d v="2024-11-11T00:00:00"/>
    <s v="Missing Goods"/>
    <n v="53017.22"/>
    <n v="41089.14"/>
    <x v="0"/>
    <s v="Ana Torres"/>
    <s v="In Progress"/>
    <n v="202"/>
    <m/>
    <m/>
    <s v="Pending"/>
    <n v="0"/>
  </r>
  <r>
    <s v="DIS-0208"/>
    <s v="INV-1208"/>
    <s v="VND-008"/>
    <s v="Rapi Cargo SA"/>
    <s v="Logistics"/>
    <s v="West"/>
    <d v="2024-09-20T00:00:00"/>
    <s v="Missing Goods"/>
    <n v="61764.28"/>
    <n v="42131.72"/>
    <x v="3"/>
    <s v="Ana Torres"/>
    <s v="Closed"/>
    <n v="254"/>
    <d v="2024-11-17T00:00:00"/>
    <n v="58"/>
    <s v="Full Credit"/>
    <n v="42131.72"/>
  </r>
  <r>
    <s v="DIS-0209"/>
    <s v="INV-1209"/>
    <s v="VND-008"/>
    <s v="Rapi Cargo SA"/>
    <s v="Logistics"/>
    <s v="West"/>
    <d v="2025-01-16T00:00:00"/>
    <s v="Duplicate Invoice"/>
    <n v="74113.27"/>
    <n v="46164.61"/>
    <x v="1"/>
    <s v="Ana Torres"/>
    <s v="Resolved"/>
    <n v="136"/>
    <d v="2025-02-12T00:00:00"/>
    <n v="27"/>
    <s v="Full Credit"/>
    <n v="46164.61"/>
  </r>
  <r>
    <s v="DIS-0210"/>
    <s v="INV-1210"/>
    <s v="VND-008"/>
    <s v="Rapi Cargo SA"/>
    <s v="Logistics"/>
    <s v="West"/>
    <d v="2025-01-04T00:00:00"/>
    <s v="Missing Goods"/>
    <n v="11985.52"/>
    <n v="5132.1000000000004"/>
    <x v="3"/>
    <s v="Carlos Mendez"/>
    <s v="Resolved"/>
    <n v="148"/>
    <d v="2025-01-19T00:00:00"/>
    <n v="15"/>
    <s v="Full Credit"/>
    <n v="5132.1000000000004"/>
  </r>
  <r>
    <s v="DIS-0211"/>
    <s v="INV-1211"/>
    <s v="VND-008"/>
    <s v="Rapi Cargo SA"/>
    <s v="Logistics"/>
    <s v="West"/>
    <d v="2024-12-09T00:00:00"/>
    <s v="Service Quality"/>
    <n v="57994.02"/>
    <n v="18801.939999999999"/>
    <x v="0"/>
    <s v="Valeria Moreno"/>
    <s v="Resolved"/>
    <n v="174"/>
    <d v="2024-12-17T00:00:00"/>
    <n v="8"/>
    <s v="Full Credit"/>
    <n v="18801.939999999999"/>
  </r>
  <r>
    <s v="DIS-0212"/>
    <s v="INV-1212"/>
    <s v="VND-008"/>
    <s v="Rapi Cargo SA"/>
    <s v="Logistics"/>
    <s v="West"/>
    <d v="2024-12-12T00:00:00"/>
    <s v="Service Quality"/>
    <n v="81376.759999999995"/>
    <n v="35765.050000000003"/>
    <x v="0"/>
    <s v="Sofia Ruiz"/>
    <s v="Resolved"/>
    <n v="171"/>
    <d v="2025-03-03T00:00:00"/>
    <n v="81"/>
    <s v="Full Credit"/>
    <n v="35765.050000000003"/>
  </r>
  <r>
    <s v="DIS-0213"/>
    <s v="INV-1213"/>
    <s v="VND-008"/>
    <s v="Rapi Cargo SA"/>
    <s v="Logistics"/>
    <s v="West"/>
    <d v="2024-11-11T00:00:00"/>
    <s v="Missing Goods"/>
    <n v="99108.5"/>
    <n v="59910.05"/>
    <x v="1"/>
    <s v="Juan Vargas"/>
    <s v="Escalated"/>
    <n v="202"/>
    <d v="2024-12-22T00:00:00"/>
    <n v="41"/>
    <s v="Partial Credit"/>
    <n v="12580.04"/>
  </r>
  <r>
    <s v="DIS-0214"/>
    <s v="INV-1214"/>
    <s v="VND-008"/>
    <s v="Rapi Cargo SA"/>
    <s v="Logistics"/>
    <s v="West"/>
    <d v="2024-12-13T00:00:00"/>
    <s v="Contract Terms"/>
    <n v="69011.61"/>
    <n v="54168.84"/>
    <x v="1"/>
    <s v="Ana Torres"/>
    <s v="Resolved"/>
    <n v="170"/>
    <d v="2025-01-18T00:00:00"/>
    <n v="36"/>
    <s v="Pending"/>
    <n v="0"/>
  </r>
  <r>
    <s v="DIS-0215"/>
    <s v="INV-1215"/>
    <s v="VND-008"/>
    <s v="Rapi Cargo SA"/>
    <s v="Logistics"/>
    <s v="West"/>
    <d v="2024-08-08T00:00:00"/>
    <s v="Damaged Goods"/>
    <n v="59875.27"/>
    <n v="35389.279999999999"/>
    <x v="1"/>
    <s v="Valeria Moreno"/>
    <s v="Resolved"/>
    <n v="297"/>
    <d v="2024-11-06T00:00:00"/>
    <n v="90"/>
    <s v="Full Credit"/>
    <n v="35389.279999999999"/>
  </r>
  <r>
    <s v="DIS-0216"/>
    <s v="INV-1216"/>
    <s v="VND-008"/>
    <s v="Rapi Cargo SA"/>
    <s v="Logistics"/>
    <s v="West"/>
    <d v="2024-08-11T00:00:00"/>
    <s v="Missing Goods"/>
    <n v="95079.49"/>
    <n v="12590.58"/>
    <x v="0"/>
    <s v="Valeria Moreno"/>
    <s v="Resolved"/>
    <n v="294"/>
    <d v="2024-11-10T00:00:00"/>
    <n v="91"/>
    <s v="Full Credit"/>
    <n v="12590.58"/>
  </r>
  <r>
    <s v="DIS-0217"/>
    <s v="INV-1217"/>
    <s v="VND-009"/>
    <s v="Consulting Masters"/>
    <s v="Services"/>
    <s v="Central"/>
    <d v="2025-04-30T00:00:00"/>
    <s v="Contract Terms"/>
    <n v="72048.649999999994"/>
    <n v="31630.25"/>
    <x v="1"/>
    <s v="Juan Vargas"/>
    <s v="Resolved"/>
    <n v="32"/>
    <d v="2025-05-13T00:00:00"/>
    <n v="13"/>
    <s v="Pending"/>
    <n v="0"/>
  </r>
  <r>
    <s v="DIS-0218"/>
    <s v="INV-1218"/>
    <s v="VND-009"/>
    <s v="Consulting Masters"/>
    <s v="Services"/>
    <s v="Central"/>
    <d v="2024-10-08T00:00:00"/>
    <s v="Contract Terms"/>
    <n v="91651.8"/>
    <n v="28113.759999999998"/>
    <x v="1"/>
    <s v="Marta Lopez"/>
    <s v="Resolved"/>
    <n v="236"/>
    <d v="2024-11-04T00:00:00"/>
    <n v="27"/>
    <s v="Pending"/>
    <n v="0"/>
  </r>
  <r>
    <s v="DIS-0219"/>
    <s v="INV-1219"/>
    <s v="VND-009"/>
    <s v="Consulting Masters"/>
    <s v="Services"/>
    <s v="Central"/>
    <d v="2025-01-09T00:00:00"/>
    <s v="Missing Goods"/>
    <n v="58018.23"/>
    <n v="12685.7"/>
    <x v="2"/>
    <s v="Marta Lopez"/>
    <s v="Escalated"/>
    <n v="143"/>
    <d v="2025-04-10T00:00:00"/>
    <n v="91"/>
    <s v="Payment Adjusted"/>
    <n v="2877.32"/>
  </r>
  <r>
    <s v="DIS-0220"/>
    <s v="INV-1220"/>
    <s v="VND-009"/>
    <s v="Consulting Masters"/>
    <s v="Services"/>
    <s v="Central"/>
    <d v="2024-12-04T00:00:00"/>
    <s v="Missing Goods"/>
    <n v="58246.32"/>
    <n v="43735.07"/>
    <x v="3"/>
    <s v="Carlos Mendez"/>
    <s v="Resolved"/>
    <n v="179"/>
    <d v="2025-02-14T00:00:00"/>
    <n v="72"/>
    <s v="Full Credit"/>
    <n v="43735.07"/>
  </r>
  <r>
    <s v="DIS-0221"/>
    <s v="INV-1221"/>
    <s v="VND-009"/>
    <s v="Consulting Masters"/>
    <s v="Services"/>
    <s v="Central"/>
    <d v="2024-11-10T00:00:00"/>
    <s v="Missing Goods"/>
    <n v="82745.86"/>
    <n v="63379.74"/>
    <x v="3"/>
    <s v="Ana Torres"/>
    <s v="Resolved"/>
    <n v="203"/>
    <d v="2025-02-12T00:00:00"/>
    <n v="94"/>
    <s v="Full Credit"/>
    <n v="63379.74"/>
  </r>
  <r>
    <s v="DIS-0222"/>
    <s v="INV-1222"/>
    <s v="VND-009"/>
    <s v="Consulting Masters"/>
    <s v="Services"/>
    <s v="Central"/>
    <d v="2024-10-17T00:00:00"/>
    <s v="Service Quality"/>
    <n v="67317.34"/>
    <n v="41097.5"/>
    <x v="0"/>
    <s v="Marta Lopez"/>
    <s v="Closed"/>
    <n v="227"/>
    <d v="2025-01-17T00:00:00"/>
    <n v="92"/>
    <s v="Full Credit"/>
    <n v="41097.5"/>
  </r>
  <r>
    <s v="DIS-0223"/>
    <s v="INV-1223"/>
    <s v="VND-009"/>
    <s v="Consulting Masters"/>
    <s v="Services"/>
    <s v="Central"/>
    <d v="2025-04-06T00:00:00"/>
    <s v="Contract Terms"/>
    <n v="63489.32"/>
    <n v="31117.57"/>
    <x v="0"/>
    <s v="Luis Herrera"/>
    <s v="Resolved"/>
    <n v="56"/>
    <d v="2025-04-12T00:00:00"/>
    <n v="6"/>
    <s v="Full Credit"/>
    <n v="31117.57"/>
  </r>
  <r>
    <s v="DIS-0224"/>
    <s v="INV-1224"/>
    <s v="VND-009"/>
    <s v="Consulting Masters"/>
    <s v="Services"/>
    <s v="Central"/>
    <d v="2024-12-13T00:00:00"/>
    <s v="Price Discrepancy"/>
    <n v="73149.02"/>
    <n v="9173.52"/>
    <x v="3"/>
    <s v="Sofia Ruiz"/>
    <s v="Resolved"/>
    <n v="170"/>
    <d v="2025-04-07T00:00:00"/>
    <n v="115"/>
    <s v="No Action"/>
    <n v="0"/>
  </r>
  <r>
    <s v="DIS-0225"/>
    <s v="INV-1225"/>
    <s v="VND-009"/>
    <s v="Consulting Masters"/>
    <s v="Services"/>
    <s v="Central"/>
    <d v="2024-09-29T00:00:00"/>
    <s v="Missing Goods"/>
    <n v="66801.179999999993"/>
    <n v="41211.870000000003"/>
    <x v="1"/>
    <s v="Ana Torres"/>
    <s v="Closed"/>
    <n v="245"/>
    <d v="2024-10-13T00:00:00"/>
    <n v="14"/>
    <s v="Payment Adjusted"/>
    <n v="7949.28"/>
  </r>
  <r>
    <s v="DIS-0226"/>
    <s v="INV-1226"/>
    <s v="VND-009"/>
    <s v="Consulting Masters"/>
    <s v="Services"/>
    <s v="Central"/>
    <d v="2025-05-12T00:00:00"/>
    <s v="Damaged Goods"/>
    <n v="91756.82"/>
    <n v="16635.38"/>
    <x v="3"/>
    <s v="Ana Torres"/>
    <s v="Closed"/>
    <n v="20"/>
    <d v="2025-05-27T00:00:00"/>
    <n v="15"/>
    <s v="Payment Adjusted"/>
    <n v="2903.28"/>
  </r>
  <r>
    <s v="DIS-0227"/>
    <s v="INV-1227"/>
    <s v="VND-009"/>
    <s v="Consulting Masters"/>
    <s v="Services"/>
    <s v="Central"/>
    <d v="2025-01-03T00:00:00"/>
    <s v="Price Discrepancy"/>
    <n v="88290.6"/>
    <n v="5028.18"/>
    <x v="1"/>
    <s v="Diego Castillo"/>
    <s v="Resolved"/>
    <n v="149"/>
    <d v="2025-03-29T00:00:00"/>
    <n v="85"/>
    <s v="Partial Credit"/>
    <n v="2495.7199999999998"/>
  </r>
  <r>
    <s v="DIS-0228"/>
    <s v="INV-1228"/>
    <s v="VND-009"/>
    <s v="Consulting Masters"/>
    <s v="Services"/>
    <s v="Central"/>
    <d v="2025-03-24T00:00:00"/>
    <s v="Price Discrepancy"/>
    <n v="85850.68"/>
    <n v="34427.46"/>
    <x v="0"/>
    <s v="Diego Castillo"/>
    <s v="In Progress"/>
    <n v="69"/>
    <m/>
    <m/>
    <s v="Pending"/>
    <n v="0"/>
  </r>
  <r>
    <s v="DIS-0229"/>
    <s v="INV-1229"/>
    <s v="VND-009"/>
    <s v="Consulting Masters"/>
    <s v="Services"/>
    <s v="Central"/>
    <d v="2024-10-09T00:00:00"/>
    <s v="Missing Goods"/>
    <n v="66587.11"/>
    <n v="39216.39"/>
    <x v="0"/>
    <s v="Marta Lopez"/>
    <s v="Resolved"/>
    <n v="235"/>
    <d v="2025-01-16T00:00:00"/>
    <n v="99"/>
    <s v="Full Credit"/>
    <n v="39216.39"/>
  </r>
  <r>
    <s v="DIS-0230"/>
    <s v="INV-1230"/>
    <s v="VND-009"/>
    <s v="Consulting Masters"/>
    <s v="Services"/>
    <s v="Central"/>
    <d v="2024-07-23T00:00:00"/>
    <s v="Service Quality"/>
    <n v="86333.92"/>
    <n v="62400.61"/>
    <x v="3"/>
    <s v="Diego Castillo"/>
    <s v="In Progress"/>
    <n v="313"/>
    <m/>
    <m/>
    <s v="Pending"/>
    <n v="0"/>
  </r>
  <r>
    <s v="DIS-0231"/>
    <s v="INV-1231"/>
    <s v="VND-009"/>
    <s v="Consulting Masters"/>
    <s v="Services"/>
    <s v="Central"/>
    <d v="2024-06-23T00:00:00"/>
    <s v="Damaged Goods"/>
    <n v="14061.59"/>
    <n v="11056.12"/>
    <x v="1"/>
    <s v="Ana Torres"/>
    <s v="Resolved"/>
    <n v="343"/>
    <d v="2024-07-26T00:00:00"/>
    <n v="33"/>
    <s v="Partial Credit"/>
    <n v="3982.38"/>
  </r>
  <r>
    <s v="DIS-0232"/>
    <s v="INV-1232"/>
    <s v="VND-009"/>
    <s v="Consulting Masters"/>
    <s v="Services"/>
    <s v="Central"/>
    <d v="2024-12-14T00:00:00"/>
    <s v="Contract Terms"/>
    <n v="33684.85"/>
    <n v="19946.88"/>
    <x v="0"/>
    <s v="Diego Castillo"/>
    <s v="Escalated"/>
    <n v="169"/>
    <d v="2024-12-24T00:00:00"/>
    <n v="10"/>
    <s v="Payment Adjusted"/>
    <n v="5707.96"/>
  </r>
  <r>
    <s v="DIS-0233"/>
    <s v="INV-1233"/>
    <s v="VND-009"/>
    <s v="Consulting Masters"/>
    <s v="Services"/>
    <s v="Central"/>
    <d v="2025-03-11T00:00:00"/>
    <s v="Contract Terms"/>
    <n v="43514.58"/>
    <n v="18575.95"/>
    <x v="3"/>
    <s v="Marta Lopez"/>
    <s v="Resolved"/>
    <n v="82"/>
    <d v="2025-04-20T00:00:00"/>
    <n v="40"/>
    <s v="Full Credit"/>
    <n v="18575.95"/>
  </r>
  <r>
    <s v="DIS-0234"/>
    <s v="INV-1234"/>
    <s v="VND-009"/>
    <s v="Consulting Masters"/>
    <s v="Services"/>
    <s v="Central"/>
    <d v="2025-02-07T00:00:00"/>
    <s v="Contract Terms"/>
    <n v="25817.22"/>
    <n v="3877.14"/>
    <x v="0"/>
    <s v="Diego Castillo"/>
    <s v="Resolved"/>
    <n v="114"/>
    <d v="2025-04-21T00:00:00"/>
    <n v="73"/>
    <s v="No Action"/>
    <n v="0"/>
  </r>
  <r>
    <s v="DIS-0235"/>
    <s v="INV-1235"/>
    <s v="VND-009"/>
    <s v="Consulting Masters"/>
    <s v="Services"/>
    <s v="Central"/>
    <d v="2024-08-29T00:00:00"/>
    <s v="Contract Terms"/>
    <n v="81189.52"/>
    <n v="54332.24"/>
    <x v="3"/>
    <s v="Carlos Mendez"/>
    <s v="Resolved"/>
    <n v="276"/>
    <d v="2024-11-07T00:00:00"/>
    <n v="70"/>
    <s v="Payment Adjusted"/>
    <n v="7130.62"/>
  </r>
  <r>
    <s v="DIS-0236"/>
    <s v="INV-1236"/>
    <s v="VND-009"/>
    <s v="Consulting Masters"/>
    <s v="Services"/>
    <s v="Central"/>
    <d v="2024-08-16T00:00:00"/>
    <s v="Damaged Goods"/>
    <n v="15659.84"/>
    <n v="10516.84"/>
    <x v="2"/>
    <s v="Sofia Ruiz"/>
    <s v="Resolved"/>
    <n v="289"/>
    <d v="2024-12-06T00:00:00"/>
    <n v="112"/>
    <s v="Partial Credit"/>
    <n v="2836.85"/>
  </r>
  <r>
    <s v="DIS-0237"/>
    <s v="INV-1237"/>
    <s v="VND-009"/>
    <s v="Consulting Masters"/>
    <s v="Services"/>
    <s v="Central"/>
    <d v="2025-02-15T00:00:00"/>
    <s v="Duplicate Invoice"/>
    <n v="73107.210000000006"/>
    <n v="30458"/>
    <x v="3"/>
    <s v="Ana Torres"/>
    <s v="Resolved"/>
    <n v="106"/>
    <d v="2025-04-24T00:00:00"/>
    <n v="68"/>
    <s v="Partial Credit"/>
    <n v="16396.96"/>
  </r>
  <r>
    <s v="DIS-0238"/>
    <s v="INV-1238"/>
    <s v="VND-009"/>
    <s v="Consulting Masters"/>
    <s v="Services"/>
    <s v="Central"/>
    <d v="2024-08-18T00:00:00"/>
    <s v="Duplicate Invoice"/>
    <n v="48925.94"/>
    <n v="32055.62"/>
    <x v="3"/>
    <s v="Marta Lopez"/>
    <s v="Closed"/>
    <n v="287"/>
    <d v="2024-11-24T00:00:00"/>
    <n v="98"/>
    <s v="Full Credit"/>
    <n v="32055.62"/>
  </r>
  <r>
    <s v="DIS-0239"/>
    <s v="INV-1239"/>
    <s v="VND-009"/>
    <s v="Consulting Masters"/>
    <s v="Services"/>
    <s v="Central"/>
    <d v="2025-04-24T00:00:00"/>
    <s v="Price Discrepancy"/>
    <n v="9302.5300000000007"/>
    <n v="2868.87"/>
    <x v="0"/>
    <s v="Carlos Mendez"/>
    <s v="Closed"/>
    <n v="38"/>
    <d v="2025-05-27T00:00:00"/>
    <n v="33"/>
    <s v="Full Credit"/>
    <n v="2868.87"/>
  </r>
  <r>
    <s v="DIS-0240"/>
    <s v="INV-1240"/>
    <s v="VND-009"/>
    <s v="Consulting Masters"/>
    <s v="Services"/>
    <s v="Central"/>
    <d v="2024-11-03T00:00:00"/>
    <s v="Contract Terms"/>
    <n v="22098.23"/>
    <n v="3349.47"/>
    <x v="1"/>
    <s v="Valeria Moreno"/>
    <s v="Resolved"/>
    <n v="210"/>
    <d v="2025-02-28T00:00:00"/>
    <n v="117"/>
    <s v="Full Credit"/>
    <n v="3349.47"/>
  </r>
  <r>
    <s v="DIS-0241"/>
    <s v="INV-1241"/>
    <s v="VND-009"/>
    <s v="Consulting Masters"/>
    <s v="Services"/>
    <s v="Central"/>
    <d v="2024-11-19T00:00:00"/>
    <s v="Service Quality"/>
    <n v="40686.33"/>
    <n v="22867.66"/>
    <x v="3"/>
    <s v="Sofia Ruiz"/>
    <s v="Escalated"/>
    <n v="194"/>
    <d v="2025-01-05T00:00:00"/>
    <n v="47"/>
    <s v="Full Credit"/>
    <n v="22867.66"/>
  </r>
  <r>
    <s v="DIS-0242"/>
    <s v="INV-1242"/>
    <s v="VND-009"/>
    <s v="Consulting Masters"/>
    <s v="Services"/>
    <s v="Central"/>
    <d v="2024-08-29T00:00:00"/>
    <s v="Price Discrepancy"/>
    <n v="42340.57"/>
    <n v="6160.99"/>
    <x v="2"/>
    <s v="Ana Torres"/>
    <s v="Closed"/>
    <n v="276"/>
    <d v="2024-10-30T00:00:00"/>
    <n v="62"/>
    <s v="Payment Adjusted"/>
    <n v="1957.83"/>
  </r>
  <r>
    <s v="DIS-0243"/>
    <s v="INV-1243"/>
    <s v="VND-009"/>
    <s v="Consulting Masters"/>
    <s v="Services"/>
    <s v="Central"/>
    <d v="2024-09-01T00:00:00"/>
    <s v="Damaged Goods"/>
    <n v="41031.26"/>
    <n v="9119.1200000000008"/>
    <x v="1"/>
    <s v="Marta Lopez"/>
    <s v="Resolved"/>
    <n v="273"/>
    <d v="2024-12-25T00:00:00"/>
    <n v="115"/>
    <s v="Payment Adjusted"/>
    <n v="1323.53"/>
  </r>
  <r>
    <s v="DIS-0244"/>
    <s v="INV-1244"/>
    <s v="VND-009"/>
    <s v="Consulting Masters"/>
    <s v="Services"/>
    <s v="Central"/>
    <d v="2024-06-27T00:00:00"/>
    <s v="Price Discrepancy"/>
    <n v="44827.86"/>
    <n v="27996.799999999999"/>
    <x v="3"/>
    <s v="Luis Herrera"/>
    <s v="Resolved"/>
    <n v="339"/>
    <d v="2024-07-12T00:00:00"/>
    <n v="15"/>
    <s v="Partial Credit"/>
    <n v="13098.71"/>
  </r>
  <r>
    <s v="DIS-0245"/>
    <s v="INV-1245"/>
    <s v="VND-009"/>
    <s v="Consulting Masters"/>
    <s v="Services"/>
    <s v="Central"/>
    <d v="2024-06-21T00:00:00"/>
    <s v="Duplicate Invoice"/>
    <n v="71812.2"/>
    <n v="6212.28"/>
    <x v="3"/>
    <s v="Juan Vargas"/>
    <s v="Resolved"/>
    <n v="345"/>
    <d v="2024-07-21T00:00:00"/>
    <n v="30"/>
    <s v="Payment Adjusted"/>
    <n v="2549.6799999999998"/>
  </r>
  <r>
    <s v="DIS-0246"/>
    <s v="INV-1246"/>
    <s v="VND-009"/>
    <s v="Consulting Masters"/>
    <s v="Services"/>
    <s v="Central"/>
    <d v="2025-03-21T00:00:00"/>
    <s v="Contract Terms"/>
    <n v="52870.11"/>
    <n v="14113.55"/>
    <x v="3"/>
    <s v="Diego Castillo"/>
    <s v="Resolved"/>
    <n v="72"/>
    <d v="2025-05-04T00:00:00"/>
    <n v="44"/>
    <s v="Full Credit"/>
    <n v="14113.55"/>
  </r>
  <r>
    <s v="DIS-0247"/>
    <s v="INV-1247"/>
    <s v="VND-009"/>
    <s v="Consulting Masters"/>
    <s v="Services"/>
    <s v="Central"/>
    <d v="2025-03-19T00:00:00"/>
    <s v="Missing Goods"/>
    <n v="98641.08"/>
    <n v="43494.63"/>
    <x v="1"/>
    <s v="Ana Torres"/>
    <s v="Resolved"/>
    <n v="74"/>
    <d v="2025-04-13T00:00:00"/>
    <n v="25"/>
    <s v="Partial Credit"/>
    <n v="19847.48"/>
  </r>
  <r>
    <s v="DIS-0248"/>
    <s v="INV-1248"/>
    <s v="VND-009"/>
    <s v="Consulting Masters"/>
    <s v="Services"/>
    <s v="Central"/>
    <d v="2024-09-20T00:00:00"/>
    <s v="Duplicate Invoice"/>
    <n v="9453.99"/>
    <n v="2914.77"/>
    <x v="1"/>
    <s v="Diego Castillo"/>
    <s v="Escalated"/>
    <n v="254"/>
    <d v="2024-11-14T00:00:00"/>
    <n v="55"/>
    <s v="Full Credit"/>
    <n v="2914.77"/>
  </r>
  <r>
    <s v="DIS-0249"/>
    <s v="INV-1249"/>
    <s v="VND-009"/>
    <s v="Consulting Masters"/>
    <s v="Services"/>
    <s v="Central"/>
    <d v="2024-11-20T00:00:00"/>
    <s v="Damaged Goods"/>
    <n v="22468.5"/>
    <n v="10188.26"/>
    <x v="0"/>
    <s v="Marta Lopez"/>
    <s v="Closed"/>
    <n v="193"/>
    <d v="2024-12-11T00:00:00"/>
    <n v="21"/>
    <s v="No Action"/>
    <n v="0"/>
  </r>
  <r>
    <s v="DIS-0250"/>
    <s v="INV-1250"/>
    <s v="VND-009"/>
    <s v="Consulting Masters"/>
    <s v="Services"/>
    <s v="Central"/>
    <d v="2025-05-02T00:00:00"/>
    <s v="Damaged Goods"/>
    <n v="58426.67"/>
    <n v="45329.73"/>
    <x v="1"/>
    <s v="Valeria Moreno"/>
    <s v="Open"/>
    <n v="30"/>
    <m/>
    <m/>
    <s v="Pending"/>
    <n v="0"/>
  </r>
  <r>
    <s v="DIS-0251"/>
    <s v="INV-1251"/>
    <s v="VND-009"/>
    <s v="Consulting Masters"/>
    <s v="Services"/>
    <s v="Central"/>
    <d v="2025-02-16T00:00:00"/>
    <s v="Missing Goods"/>
    <n v="36374.980000000003"/>
    <n v="3975.89"/>
    <x v="1"/>
    <s v="Carlos Mendez"/>
    <s v="Resolved"/>
    <n v="105"/>
    <d v="2025-03-15T00:00:00"/>
    <n v="27"/>
    <s v="Full Credit"/>
    <n v="3975.89"/>
  </r>
  <r>
    <s v="DIS-0252"/>
    <s v="INV-1252"/>
    <s v="VND-010"/>
    <s v="AquaServ"/>
    <s v="Utilities"/>
    <s v="West"/>
    <d v="2025-04-24T00:00:00"/>
    <s v="Service Quality"/>
    <n v="22875.51"/>
    <n v="14211.92"/>
    <x v="3"/>
    <s v="Luis Herrera"/>
    <s v="Resolved"/>
    <n v="38"/>
    <d v="2025-05-18T00:00:00"/>
    <n v="24"/>
    <s v="Full Credit"/>
    <n v="14211.92"/>
  </r>
  <r>
    <s v="DIS-0253"/>
    <s v="INV-1253"/>
    <s v="VND-010"/>
    <s v="AquaServ"/>
    <s v="Utilities"/>
    <s v="West"/>
    <d v="2025-05-24T00:00:00"/>
    <s v="Contract Terms"/>
    <n v="25121.74"/>
    <n v="4836.38"/>
    <x v="3"/>
    <s v="Juan Vargas"/>
    <s v="In Progress"/>
    <n v="8"/>
    <m/>
    <m/>
    <s v="Pending"/>
    <n v="0"/>
  </r>
  <r>
    <s v="DIS-0254"/>
    <s v="INV-1254"/>
    <s v="VND-010"/>
    <s v="AquaServ"/>
    <s v="Utilities"/>
    <s v="West"/>
    <d v="2024-06-09T00:00:00"/>
    <s v="Service Quality"/>
    <n v="62418.15"/>
    <n v="12694.91"/>
    <x v="2"/>
    <s v="Diego Castillo"/>
    <s v="Escalated"/>
    <n v="357"/>
    <d v="2024-07-30T00:00:00"/>
    <n v="51"/>
    <s v="Partial Credit"/>
    <n v="7480.26"/>
  </r>
  <r>
    <s v="DIS-0255"/>
    <s v="INV-1255"/>
    <s v="VND-010"/>
    <s v="AquaServ"/>
    <s v="Utilities"/>
    <s v="West"/>
    <d v="2024-12-25T00:00:00"/>
    <s v="Price Discrepancy"/>
    <n v="29848.35"/>
    <n v="12972.46"/>
    <x v="1"/>
    <s v="Juan Vargas"/>
    <s v="Escalated"/>
    <n v="158"/>
    <d v="2025-02-06T00:00:00"/>
    <n v="43"/>
    <s v="No Action"/>
    <n v="0"/>
  </r>
  <r>
    <s v="DIS-0256"/>
    <s v="INV-1256"/>
    <s v="VND-010"/>
    <s v="AquaServ"/>
    <s v="Utilities"/>
    <s v="West"/>
    <d v="2024-11-23T00:00:00"/>
    <s v="Contract Terms"/>
    <n v="34727.589999999997"/>
    <n v="2927.07"/>
    <x v="3"/>
    <s v="Sofia Ruiz"/>
    <s v="Open"/>
    <n v="190"/>
    <m/>
    <m/>
    <s v="Pending"/>
    <n v="0"/>
  </r>
  <r>
    <s v="DIS-0257"/>
    <s v="INV-1257"/>
    <s v="VND-010"/>
    <s v="AquaServ"/>
    <s v="Utilities"/>
    <s v="West"/>
    <d v="2024-08-21T00:00:00"/>
    <s v="Damaged Goods"/>
    <n v="93802.03"/>
    <n v="45433.69"/>
    <x v="1"/>
    <s v="Luis Herrera"/>
    <s v="Resolved"/>
    <n v="284"/>
    <d v="2024-10-11T00:00:00"/>
    <n v="51"/>
    <s v="Partial Credit"/>
    <n v="15785.39"/>
  </r>
  <r>
    <s v="DIS-0258"/>
    <s v="INV-1258"/>
    <s v="VND-010"/>
    <s v="AquaServ"/>
    <s v="Utilities"/>
    <s v="West"/>
    <d v="2024-08-23T00:00:00"/>
    <s v="Duplicate Invoice"/>
    <n v="67187.759999999995"/>
    <n v="37869.370000000003"/>
    <x v="1"/>
    <s v="Juan Vargas"/>
    <s v="Resolved"/>
    <n v="282"/>
    <d v="2024-11-27T00:00:00"/>
    <n v="96"/>
    <s v="Payment Adjusted"/>
    <n v="6350.93"/>
  </r>
  <r>
    <s v="DIS-0259"/>
    <s v="INV-1259"/>
    <s v="VND-010"/>
    <s v="AquaServ"/>
    <s v="Utilities"/>
    <s v="West"/>
    <d v="2024-08-25T00:00:00"/>
    <s v="Contract Terms"/>
    <n v="51390.05"/>
    <n v="37909.129999999997"/>
    <x v="1"/>
    <s v="Ana Torres"/>
    <s v="Resolved"/>
    <n v="280"/>
    <d v="2024-12-13T00:00:00"/>
    <n v="110"/>
    <s v="No Action"/>
    <n v="0"/>
  </r>
  <r>
    <s v="DIS-0260"/>
    <s v="INV-1260"/>
    <s v="VND-010"/>
    <s v="AquaServ"/>
    <s v="Utilities"/>
    <s v="West"/>
    <d v="2024-06-23T00:00:00"/>
    <s v="Contract Terms"/>
    <n v="9608.8700000000008"/>
    <n v="526.45000000000005"/>
    <x v="0"/>
    <s v="Luis Herrera"/>
    <s v="In Progress"/>
    <n v="343"/>
    <m/>
    <m/>
    <s v="Pending"/>
    <n v="0"/>
  </r>
  <r>
    <s v="DIS-0261"/>
    <s v="INV-1261"/>
    <s v="VND-010"/>
    <s v="AquaServ"/>
    <s v="Utilities"/>
    <s v="West"/>
    <d v="2025-03-15T00:00:00"/>
    <s v="Service Quality"/>
    <n v="5868.44"/>
    <n v="2519.3200000000002"/>
    <x v="1"/>
    <s v="Juan Vargas"/>
    <s v="Resolved"/>
    <n v="78"/>
    <d v="2025-03-20T00:00:00"/>
    <n v="5"/>
    <s v="Full Credit"/>
    <n v="2519.3200000000002"/>
  </r>
  <r>
    <s v="DIS-0262"/>
    <s v="INV-1262"/>
    <s v="VND-010"/>
    <s v="AquaServ"/>
    <s v="Utilities"/>
    <s v="West"/>
    <d v="2024-08-22T00:00:00"/>
    <s v="Service Quality"/>
    <n v="44077.16"/>
    <n v="2756.79"/>
    <x v="3"/>
    <s v="Marta Lopez"/>
    <s v="Open"/>
    <n v="283"/>
    <m/>
    <m/>
    <s v="Pending"/>
    <n v="0"/>
  </r>
  <r>
    <s v="DIS-0263"/>
    <s v="INV-1263"/>
    <s v="VND-010"/>
    <s v="AquaServ"/>
    <s v="Utilities"/>
    <s v="West"/>
    <d v="2024-06-08T00:00:00"/>
    <s v="Price Discrepancy"/>
    <n v="69033.13"/>
    <n v="45190.87"/>
    <x v="2"/>
    <s v="Carlos Mendez"/>
    <s v="Resolved"/>
    <n v="358"/>
    <d v="2024-07-11T00:00:00"/>
    <n v="33"/>
    <s v="Full Credit"/>
    <n v="45190.87"/>
  </r>
  <r>
    <s v="DIS-0264"/>
    <s v="INV-1264"/>
    <s v="VND-010"/>
    <s v="AquaServ"/>
    <s v="Utilities"/>
    <s v="West"/>
    <d v="2024-09-04T00:00:00"/>
    <s v="Price Discrepancy"/>
    <n v="28979.73"/>
    <n v="9152.69"/>
    <x v="3"/>
    <s v="Diego Castillo"/>
    <s v="Closed"/>
    <n v="270"/>
    <d v="2024-11-04T00:00:00"/>
    <n v="61"/>
    <s v="Partial Credit"/>
    <n v="7268.52"/>
  </r>
  <r>
    <s v="DIS-0265"/>
    <s v="INV-1265"/>
    <s v="VND-010"/>
    <s v="AquaServ"/>
    <s v="Utilities"/>
    <s v="West"/>
    <d v="2025-02-05T00:00:00"/>
    <s v="Contract Terms"/>
    <n v="33497.589999999997"/>
    <n v="22478.44"/>
    <x v="0"/>
    <s v="Ana Torres"/>
    <s v="In Progress"/>
    <n v="116"/>
    <m/>
    <m/>
    <s v="Pending"/>
    <n v="0"/>
  </r>
  <r>
    <s v="DIS-0266"/>
    <s v="INV-1266"/>
    <s v="VND-010"/>
    <s v="AquaServ"/>
    <s v="Utilities"/>
    <s v="West"/>
    <d v="2024-11-18T00:00:00"/>
    <s v="Contract Terms"/>
    <n v="40831.11"/>
    <n v="16618.419999999998"/>
    <x v="1"/>
    <s v="Sofia Ruiz"/>
    <s v="In Progress"/>
    <n v="195"/>
    <m/>
    <m/>
    <s v="Pending"/>
    <n v="0"/>
  </r>
  <r>
    <s v="DIS-0267"/>
    <s v="INV-1267"/>
    <s v="VND-010"/>
    <s v="AquaServ"/>
    <s v="Utilities"/>
    <s v="West"/>
    <d v="2024-10-21T00:00:00"/>
    <s v="Price Discrepancy"/>
    <n v="66266.19"/>
    <n v="19777.34"/>
    <x v="2"/>
    <s v="Ana Torres"/>
    <s v="Resolved"/>
    <n v="223"/>
    <d v="2025-02-16T00:00:00"/>
    <n v="118"/>
    <s v="No Action"/>
    <n v="0"/>
  </r>
  <r>
    <s v="DIS-0268"/>
    <s v="INV-1268"/>
    <s v="VND-010"/>
    <s v="AquaServ"/>
    <s v="Utilities"/>
    <s v="West"/>
    <d v="2024-08-14T00:00:00"/>
    <s v="Missing Goods"/>
    <n v="50172.53"/>
    <n v="4260.7299999999996"/>
    <x v="0"/>
    <s v="Ana Torres"/>
    <s v="Resolved"/>
    <n v="291"/>
    <d v="2024-12-03T00:00:00"/>
    <n v="111"/>
    <s v="Full Credit"/>
    <n v="4260.7299999999996"/>
  </r>
  <r>
    <s v="DIS-0269"/>
    <s v="INV-1269"/>
    <s v="VND-010"/>
    <s v="AquaServ"/>
    <s v="Utilities"/>
    <s v="West"/>
    <d v="2025-02-14T00:00:00"/>
    <s v="Duplicate Invoice"/>
    <n v="60768.43"/>
    <n v="37323.410000000003"/>
    <x v="3"/>
    <s v="Carlos Mendez"/>
    <s v="Resolved"/>
    <n v="107"/>
    <d v="2025-04-30T00:00:00"/>
    <n v="75"/>
    <s v="Full Credit"/>
    <n v="37323.410000000003"/>
  </r>
  <r>
    <s v="DIS-0270"/>
    <s v="INV-1270"/>
    <s v="VND-010"/>
    <s v="AquaServ"/>
    <s v="Utilities"/>
    <s v="West"/>
    <d v="2024-11-13T00:00:00"/>
    <s v="Contract Terms"/>
    <n v="69318.320000000007"/>
    <n v="31569.08"/>
    <x v="1"/>
    <s v="Sofia Ruiz"/>
    <s v="Escalated"/>
    <n v="200"/>
    <d v="2025-02-12T00:00:00"/>
    <n v="91"/>
    <s v="Payment Adjusted"/>
    <n v="9480.74"/>
  </r>
  <r>
    <s v="DIS-0271"/>
    <s v="INV-1271"/>
    <s v="VND-010"/>
    <s v="AquaServ"/>
    <s v="Utilities"/>
    <s v="West"/>
    <d v="2024-12-05T00:00:00"/>
    <s v="Missing Goods"/>
    <n v="10101.16"/>
    <n v="3816.38"/>
    <x v="3"/>
    <s v="Valeria Moreno"/>
    <s v="Closed"/>
    <n v="178"/>
    <d v="2025-01-18T00:00:00"/>
    <n v="44"/>
    <s v="Full Credit"/>
    <n v="3816.38"/>
  </r>
  <r>
    <s v="DIS-0272"/>
    <s v="INV-1272"/>
    <s v="VND-010"/>
    <s v="AquaServ"/>
    <s v="Utilities"/>
    <s v="West"/>
    <d v="2025-01-12T00:00:00"/>
    <s v="Service Quality"/>
    <n v="79437.070000000007"/>
    <n v="30814.639999999999"/>
    <x v="0"/>
    <s v="Valeria Moreno"/>
    <s v="Resolved"/>
    <n v="140"/>
    <d v="2025-04-12T00:00:00"/>
    <n v="90"/>
    <s v="Partial Credit"/>
    <n v="13190.01"/>
  </r>
  <r>
    <s v="DIS-0273"/>
    <s v="INV-1273"/>
    <s v="VND-011"/>
    <s v="SteelBuild Co"/>
    <s v="Materials"/>
    <s v="Central"/>
    <d v="2025-01-25T00:00:00"/>
    <s v="Contract Terms"/>
    <n v="72745.31"/>
    <n v="8113.18"/>
    <x v="0"/>
    <s v="Sofia Ruiz"/>
    <s v="Escalated"/>
    <n v="127"/>
    <d v="2025-03-09T00:00:00"/>
    <n v="43"/>
    <s v="Full Credit"/>
    <n v="8113.18"/>
  </r>
  <r>
    <s v="DIS-0274"/>
    <s v="INV-1274"/>
    <s v="VND-011"/>
    <s v="SteelBuild Co"/>
    <s v="Materials"/>
    <s v="Central"/>
    <d v="2025-04-15T00:00:00"/>
    <s v="Missing Goods"/>
    <n v="5493.55"/>
    <n v="1544.79"/>
    <x v="1"/>
    <s v="Carlos Mendez"/>
    <s v="Open"/>
    <n v="47"/>
    <m/>
    <m/>
    <s v="Pending"/>
    <n v="0"/>
  </r>
  <r>
    <s v="DIS-0275"/>
    <s v="INV-1275"/>
    <s v="VND-011"/>
    <s v="SteelBuild Co"/>
    <s v="Materials"/>
    <s v="Central"/>
    <d v="2025-02-25T00:00:00"/>
    <s v="Price Discrepancy"/>
    <n v="45943.05"/>
    <n v="21489.35"/>
    <x v="1"/>
    <s v="Ana Torres"/>
    <s v="In Progress"/>
    <n v="96"/>
    <m/>
    <m/>
    <s v="Pending"/>
    <n v="0"/>
  </r>
  <r>
    <s v="DIS-0276"/>
    <s v="INV-1276"/>
    <s v="VND-011"/>
    <s v="SteelBuild Co"/>
    <s v="Materials"/>
    <s v="Central"/>
    <d v="2024-08-21T00:00:00"/>
    <s v="Duplicate Invoice"/>
    <n v="13841.1"/>
    <n v="6900.24"/>
    <x v="1"/>
    <s v="Ana Torres"/>
    <s v="Resolved"/>
    <n v="284"/>
    <d v="2024-10-12T00:00:00"/>
    <n v="52"/>
    <s v="Payment Adjusted"/>
    <n v="2690.66"/>
  </r>
  <r>
    <s v="DIS-0277"/>
    <s v="INV-1277"/>
    <s v="VND-011"/>
    <s v="SteelBuild Co"/>
    <s v="Materials"/>
    <s v="Central"/>
    <d v="2024-08-18T00:00:00"/>
    <s v="Damaged Goods"/>
    <n v="90994.72"/>
    <n v="71306.17"/>
    <x v="1"/>
    <s v="Valeria Moreno"/>
    <s v="Resolved"/>
    <n v="287"/>
    <d v="2024-09-24T00:00:00"/>
    <n v="37"/>
    <s v="Full Credit"/>
    <n v="71306.17"/>
  </r>
  <r>
    <s v="DIS-0278"/>
    <s v="INV-1278"/>
    <s v="VND-011"/>
    <s v="SteelBuild Co"/>
    <s v="Materials"/>
    <s v="Central"/>
    <d v="2024-09-21T00:00:00"/>
    <s v="Missing Goods"/>
    <n v="18863.810000000001"/>
    <n v="3308.82"/>
    <x v="1"/>
    <s v="Juan Vargas"/>
    <s v="Escalated"/>
    <n v="253"/>
    <d v="2024-11-09T00:00:00"/>
    <n v="49"/>
    <s v="Full Credit"/>
    <n v="3308.82"/>
  </r>
  <r>
    <s v="DIS-0279"/>
    <s v="INV-1279"/>
    <s v="VND-011"/>
    <s v="SteelBuild Co"/>
    <s v="Materials"/>
    <s v="Central"/>
    <d v="2025-01-25T00:00:00"/>
    <s v="Duplicate Invoice"/>
    <n v="73485.45"/>
    <n v="30999.97"/>
    <x v="1"/>
    <s v="Carlos Mendez"/>
    <s v="Resolved"/>
    <n v="127"/>
    <d v="2025-01-28T00:00:00"/>
    <n v="3"/>
    <s v="Pending"/>
    <n v="0"/>
  </r>
  <r>
    <s v="DIS-0280"/>
    <s v="INV-1280"/>
    <s v="VND-011"/>
    <s v="SteelBuild Co"/>
    <s v="Materials"/>
    <s v="Central"/>
    <d v="2024-12-12T00:00:00"/>
    <s v="Duplicate Invoice"/>
    <n v="84953.27"/>
    <n v="28452.33"/>
    <x v="3"/>
    <s v="Diego Castillo"/>
    <s v="Resolved"/>
    <n v="171"/>
    <d v="2025-03-30T00:00:00"/>
    <n v="108"/>
    <s v="No Action"/>
    <n v="0"/>
  </r>
  <r>
    <s v="DIS-0281"/>
    <s v="INV-1281"/>
    <s v="VND-011"/>
    <s v="SteelBuild Co"/>
    <s v="Materials"/>
    <s v="Central"/>
    <d v="2024-07-31T00:00:00"/>
    <s v="Damaged Goods"/>
    <n v="17931.82"/>
    <n v="5209.17"/>
    <x v="2"/>
    <s v="Juan Vargas"/>
    <s v="Resolved"/>
    <n v="305"/>
    <d v="2024-09-22T00:00:00"/>
    <n v="53"/>
    <s v="Pending"/>
    <n v="0"/>
  </r>
  <r>
    <s v="DIS-0282"/>
    <s v="INV-1282"/>
    <s v="VND-011"/>
    <s v="SteelBuild Co"/>
    <s v="Materials"/>
    <s v="Central"/>
    <d v="2025-01-02T00:00:00"/>
    <s v="Damaged Goods"/>
    <n v="74813.06"/>
    <n v="39252.68"/>
    <x v="2"/>
    <s v="Diego Castillo"/>
    <s v="Resolved"/>
    <n v="150"/>
    <d v="2025-04-19T00:00:00"/>
    <n v="107"/>
    <s v="Payment Adjusted"/>
    <n v="9656.4"/>
  </r>
  <r>
    <s v="DIS-0283"/>
    <s v="INV-1283"/>
    <s v="VND-011"/>
    <s v="SteelBuild Co"/>
    <s v="Materials"/>
    <s v="Central"/>
    <d v="2024-08-16T00:00:00"/>
    <s v="Service Quality"/>
    <n v="23981"/>
    <n v="19135.61"/>
    <x v="0"/>
    <s v="Ana Torres"/>
    <s v="Closed"/>
    <n v="289"/>
    <d v="2024-10-17T00:00:00"/>
    <n v="62"/>
    <s v="Pending"/>
    <n v="0"/>
  </r>
  <r>
    <s v="DIS-0284"/>
    <s v="INV-1284"/>
    <s v="VND-011"/>
    <s v="SteelBuild Co"/>
    <s v="Materials"/>
    <s v="Central"/>
    <d v="2025-02-13T00:00:00"/>
    <s v="Duplicate Invoice"/>
    <n v="46653.22"/>
    <n v="12526.32"/>
    <x v="3"/>
    <s v="Juan Vargas"/>
    <s v="Resolved"/>
    <n v="108"/>
    <d v="2025-03-26T00:00:00"/>
    <n v="41"/>
    <s v="Full Credit"/>
    <n v="12526.32"/>
  </r>
  <r>
    <s v="DIS-0285"/>
    <s v="INV-1285"/>
    <s v="VND-011"/>
    <s v="SteelBuild Co"/>
    <s v="Materials"/>
    <s v="Central"/>
    <d v="2024-06-28T00:00:00"/>
    <s v="Duplicate Invoice"/>
    <n v="19643.61"/>
    <n v="7216"/>
    <x v="1"/>
    <s v="Juan Vargas"/>
    <s v="Resolved"/>
    <n v="338"/>
    <d v="2024-09-07T00:00:00"/>
    <n v="71"/>
    <s v="Partial Credit"/>
    <n v="5428.13"/>
  </r>
  <r>
    <s v="DIS-0286"/>
    <s v="INV-1286"/>
    <s v="VND-011"/>
    <s v="SteelBuild Co"/>
    <s v="Materials"/>
    <s v="Central"/>
    <d v="2024-06-11T00:00:00"/>
    <s v="Contract Terms"/>
    <n v="44738.57"/>
    <n v="3470.54"/>
    <x v="2"/>
    <s v="Carlos Mendez"/>
    <s v="Resolved"/>
    <n v="355"/>
    <d v="2024-07-15T00:00:00"/>
    <n v="34"/>
    <s v="Payment Adjusted"/>
    <n v="839.88"/>
  </r>
  <r>
    <s v="DIS-0287"/>
    <s v="INV-1287"/>
    <s v="VND-011"/>
    <s v="SteelBuild Co"/>
    <s v="Materials"/>
    <s v="Central"/>
    <d v="2024-07-04T00:00:00"/>
    <s v="Contract Terms"/>
    <n v="63204.4"/>
    <n v="29858.720000000001"/>
    <x v="1"/>
    <s v="Valeria Moreno"/>
    <s v="Closed"/>
    <n v="332"/>
    <d v="2024-08-18T00:00:00"/>
    <n v="45"/>
    <s v="Pending"/>
    <n v="0"/>
  </r>
  <r>
    <s v="DIS-0288"/>
    <s v="INV-1288"/>
    <s v="VND-011"/>
    <s v="SteelBuild Co"/>
    <s v="Materials"/>
    <s v="Central"/>
    <d v="2024-10-23T00:00:00"/>
    <s v="Contract Terms"/>
    <n v="15064.73"/>
    <n v="1867.35"/>
    <x v="0"/>
    <s v="Luis Herrera"/>
    <s v="Resolved"/>
    <n v="221"/>
    <d v="2024-12-15T00:00:00"/>
    <n v="53"/>
    <s v="Partial Credit"/>
    <n v="1134.8499999999999"/>
  </r>
  <r>
    <s v="DIS-0289"/>
    <s v="INV-1289"/>
    <s v="VND-011"/>
    <s v="SteelBuild Co"/>
    <s v="Materials"/>
    <s v="Central"/>
    <d v="2024-06-12T00:00:00"/>
    <s v="Price Discrepancy"/>
    <n v="52544.25"/>
    <n v="16221.75"/>
    <x v="0"/>
    <s v="Marta Lopez"/>
    <s v="Resolved"/>
    <n v="354"/>
    <d v="2024-06-25T00:00:00"/>
    <n v="13"/>
    <s v="Full Credit"/>
    <n v="16221.75"/>
  </r>
  <r>
    <s v="DIS-0290"/>
    <s v="INV-1290"/>
    <s v="VND-011"/>
    <s v="SteelBuild Co"/>
    <s v="Materials"/>
    <s v="Central"/>
    <d v="2025-03-20T00:00:00"/>
    <s v="Service Quality"/>
    <n v="38091.22"/>
    <n v="11705.43"/>
    <x v="3"/>
    <s v="Juan Vargas"/>
    <s v="Resolved"/>
    <n v="73"/>
    <d v="2025-04-04T00:00:00"/>
    <n v="15"/>
    <s v="Partial Credit"/>
    <n v="7234.63"/>
  </r>
  <r>
    <s v="DIS-0291"/>
    <s v="INV-1291"/>
    <s v="VND-011"/>
    <s v="SteelBuild Co"/>
    <s v="Materials"/>
    <s v="Central"/>
    <d v="2024-12-19T00:00:00"/>
    <s v="Price Discrepancy"/>
    <n v="11381.56"/>
    <n v="950.5"/>
    <x v="3"/>
    <s v="Diego Castillo"/>
    <s v="Resolved"/>
    <n v="164"/>
    <d v="2025-03-18T00:00:00"/>
    <n v="89"/>
    <s v="No Action"/>
    <n v="0"/>
  </r>
  <r>
    <s v="DIS-0292"/>
    <s v="INV-1292"/>
    <s v="VND-011"/>
    <s v="SteelBuild Co"/>
    <s v="Materials"/>
    <s v="Central"/>
    <d v="2025-01-27T00:00:00"/>
    <s v="Duplicate Invoice"/>
    <n v="54019.42"/>
    <n v="25061.38"/>
    <x v="1"/>
    <s v="Juan Vargas"/>
    <s v="Resolved"/>
    <n v="125"/>
    <d v="2025-03-22T00:00:00"/>
    <n v="54"/>
    <s v="Partial Credit"/>
    <n v="7814.94"/>
  </r>
  <r>
    <s v="DIS-0293"/>
    <s v="INV-1293"/>
    <s v="VND-011"/>
    <s v="SteelBuild Co"/>
    <s v="Materials"/>
    <s v="Central"/>
    <d v="2024-06-29T00:00:00"/>
    <s v="Damaged Goods"/>
    <n v="46052.77"/>
    <n v="3310.93"/>
    <x v="1"/>
    <s v="Juan Vargas"/>
    <s v="Resolved"/>
    <n v="337"/>
    <d v="2024-08-20T00:00:00"/>
    <n v="52"/>
    <s v="Full Credit"/>
    <n v="3310.93"/>
  </r>
  <r>
    <s v="DIS-0294"/>
    <s v="INV-1294"/>
    <s v="VND-011"/>
    <s v="SteelBuild Co"/>
    <s v="Materials"/>
    <s v="Central"/>
    <d v="2025-02-11T00:00:00"/>
    <s v="Price Discrepancy"/>
    <n v="24549.53"/>
    <n v="15079.4"/>
    <x v="3"/>
    <s v="Carlos Mendez"/>
    <s v="Escalated"/>
    <n v="110"/>
    <d v="2025-04-23T00:00:00"/>
    <n v="71"/>
    <s v="Full Credit"/>
    <n v="15079.4"/>
  </r>
  <r>
    <s v="DIS-0295"/>
    <s v="INV-1295"/>
    <s v="VND-011"/>
    <s v="SteelBuild Co"/>
    <s v="Materials"/>
    <s v="Central"/>
    <d v="2024-12-16T00:00:00"/>
    <s v="Duplicate Invoice"/>
    <n v="23722.06"/>
    <n v="3213.54"/>
    <x v="3"/>
    <s v="Diego Castillo"/>
    <s v="Resolved"/>
    <n v="167"/>
    <d v="2025-03-07T00:00:00"/>
    <n v="81"/>
    <s v="Full Credit"/>
    <n v="3213.54"/>
  </r>
  <r>
    <s v="DIS-0296"/>
    <s v="INV-1296"/>
    <s v="VND-011"/>
    <s v="SteelBuild Co"/>
    <s v="Materials"/>
    <s v="Central"/>
    <d v="2025-04-03T00:00:00"/>
    <s v="Contract Terms"/>
    <n v="38052.839999999997"/>
    <n v="26033.41"/>
    <x v="1"/>
    <s v="Marta Lopez"/>
    <s v="Closed"/>
    <n v="59"/>
    <d v="2025-05-13T00:00:00"/>
    <n v="40"/>
    <s v="Full Credit"/>
    <n v="26033.41"/>
  </r>
  <r>
    <s v="DIS-0297"/>
    <s v="INV-1297"/>
    <s v="VND-011"/>
    <s v="SteelBuild Co"/>
    <s v="Materials"/>
    <s v="Central"/>
    <d v="2025-03-24T00:00:00"/>
    <s v="Missing Goods"/>
    <n v="34752.65"/>
    <n v="7955.91"/>
    <x v="0"/>
    <s v="Sofia Ruiz"/>
    <s v="Resolved"/>
    <n v="69"/>
    <d v="2025-05-19T00:00:00"/>
    <n v="56"/>
    <s v="Partial Credit"/>
    <n v="4335.05"/>
  </r>
  <r>
    <s v="DIS-0298"/>
    <s v="INV-1298"/>
    <s v="VND-011"/>
    <s v="SteelBuild Co"/>
    <s v="Materials"/>
    <s v="Central"/>
    <d v="2024-10-27T00:00:00"/>
    <s v="Contract Terms"/>
    <n v="22646.6"/>
    <n v="11926.29"/>
    <x v="3"/>
    <s v="Sofia Ruiz"/>
    <s v="Resolved"/>
    <n v="217"/>
    <d v="2024-12-31T00:00:00"/>
    <n v="65"/>
    <s v="Full Credit"/>
    <n v="11926.29"/>
  </r>
  <r>
    <s v="DIS-0299"/>
    <s v="INV-1299"/>
    <s v="VND-011"/>
    <s v="SteelBuild Co"/>
    <s v="Materials"/>
    <s v="Central"/>
    <d v="2025-02-25T00:00:00"/>
    <s v="Missing Goods"/>
    <n v="34885.1"/>
    <n v="13544.17"/>
    <x v="0"/>
    <s v="Ana Torres"/>
    <s v="Resolved"/>
    <n v="96"/>
    <d v="2025-03-24T00:00:00"/>
    <n v="27"/>
    <s v="No Action"/>
    <n v="0"/>
  </r>
  <r>
    <s v="DIS-0300"/>
    <s v="INV-1300"/>
    <s v="VND-011"/>
    <s v="SteelBuild Co"/>
    <s v="Materials"/>
    <s v="Central"/>
    <d v="2024-08-17T00:00:00"/>
    <s v="Duplicate Invoice"/>
    <n v="53016.61"/>
    <n v="22332.05"/>
    <x v="3"/>
    <s v="Juan Vargas"/>
    <s v="Resolved"/>
    <n v="288"/>
    <d v="2024-08-30T00:00:00"/>
    <n v="13"/>
    <s v="Partial Credit"/>
    <n v="15130.6"/>
  </r>
  <r>
    <s v="DIS-0301"/>
    <s v="INV-1301"/>
    <s v="VND-011"/>
    <s v="SteelBuild Co"/>
    <s v="Materials"/>
    <s v="Central"/>
    <d v="2025-02-08T00:00:00"/>
    <s v="Damaged Goods"/>
    <n v="32748.54"/>
    <n v="8388.2000000000007"/>
    <x v="1"/>
    <s v="Juan Vargas"/>
    <s v="Resolved"/>
    <n v="113"/>
    <d v="2025-05-20T00:00:00"/>
    <n v="101"/>
    <s v="Payment Adjusted"/>
    <n v="2683.31"/>
  </r>
  <r>
    <s v="DIS-0302"/>
    <s v="INV-1302"/>
    <s v="VND-012"/>
    <s v="DataCenter Pro"/>
    <s v="IT"/>
    <s v="North"/>
    <d v="2025-01-14T00:00:00"/>
    <s v="Price Discrepancy"/>
    <n v="78635.740000000005"/>
    <n v="52486.38"/>
    <x v="1"/>
    <s v="Juan Vargas"/>
    <s v="Resolved"/>
    <n v="138"/>
    <d v="2025-03-12T00:00:00"/>
    <n v="57"/>
    <s v="Full Credit"/>
    <n v="52486.38"/>
  </r>
  <r>
    <s v="DIS-0303"/>
    <s v="INV-1303"/>
    <s v="VND-012"/>
    <s v="DataCenter Pro"/>
    <s v="IT"/>
    <s v="North"/>
    <d v="2024-07-01T00:00:00"/>
    <s v="Duplicate Invoice"/>
    <n v="76377.820000000007"/>
    <n v="20872.66"/>
    <x v="2"/>
    <s v="Marta Lopez"/>
    <s v="Resolved"/>
    <n v="335"/>
    <d v="2024-10-16T00:00:00"/>
    <n v="107"/>
    <s v="Full Credit"/>
    <n v="20872.66"/>
  </r>
  <r>
    <s v="DIS-0304"/>
    <s v="INV-1304"/>
    <s v="VND-012"/>
    <s v="DataCenter Pro"/>
    <s v="IT"/>
    <s v="North"/>
    <d v="2025-04-01T00:00:00"/>
    <s v="Service Quality"/>
    <n v="78685.009999999995"/>
    <n v="17917.330000000002"/>
    <x v="3"/>
    <s v="Diego Castillo"/>
    <s v="Closed"/>
    <n v="61"/>
    <d v="2025-05-13T00:00:00"/>
    <n v="42"/>
    <s v="Partial Credit"/>
    <n v="5367.83"/>
  </r>
  <r>
    <s v="DIS-0305"/>
    <s v="INV-1305"/>
    <s v="VND-012"/>
    <s v="DataCenter Pro"/>
    <s v="IT"/>
    <s v="North"/>
    <d v="2025-03-21T00:00:00"/>
    <s v="Service Quality"/>
    <n v="79560.679999999993"/>
    <n v="52521.78"/>
    <x v="3"/>
    <s v="Diego Castillo"/>
    <s v="Resolved"/>
    <n v="72"/>
    <d v="2025-05-31T00:00:00"/>
    <n v="71"/>
    <s v="Full Credit"/>
    <n v="52521.78"/>
  </r>
  <r>
    <s v="DIS-0306"/>
    <s v="INV-1306"/>
    <s v="VND-012"/>
    <s v="DataCenter Pro"/>
    <s v="IT"/>
    <s v="North"/>
    <d v="2024-06-05T00:00:00"/>
    <s v="Service Quality"/>
    <n v="32800.300000000003"/>
    <n v="15729.44"/>
    <x v="2"/>
    <s v="Carlos Mendez"/>
    <s v="Resolved"/>
    <n v="361"/>
    <d v="2024-09-12T00:00:00"/>
    <n v="99"/>
    <s v="Payment Adjusted"/>
    <n v="7353.63"/>
  </r>
  <r>
    <s v="DIS-0307"/>
    <s v="INV-1307"/>
    <s v="VND-012"/>
    <s v="DataCenter Pro"/>
    <s v="IT"/>
    <s v="North"/>
    <d v="2025-01-10T00:00:00"/>
    <s v="Damaged Goods"/>
    <n v="87369.52"/>
    <n v="12683.09"/>
    <x v="3"/>
    <s v="Sofia Ruiz"/>
    <s v="Escalated"/>
    <n v="142"/>
    <d v="2025-04-29T00:00:00"/>
    <n v="109"/>
    <s v="Full Credit"/>
    <n v="12683.09"/>
  </r>
  <r>
    <s v="DIS-0308"/>
    <s v="INV-1308"/>
    <s v="VND-012"/>
    <s v="DataCenter Pro"/>
    <s v="IT"/>
    <s v="North"/>
    <d v="2024-06-19T00:00:00"/>
    <s v="Contract Terms"/>
    <n v="42306.57"/>
    <n v="6626.42"/>
    <x v="1"/>
    <s v="Valeria Moreno"/>
    <s v="Resolved"/>
    <n v="347"/>
    <d v="2024-07-01T00:00:00"/>
    <n v="12"/>
    <s v="Partial Credit"/>
    <n v="4824.53"/>
  </r>
  <r>
    <s v="DIS-0309"/>
    <s v="INV-1309"/>
    <s v="VND-012"/>
    <s v="DataCenter Pro"/>
    <s v="IT"/>
    <s v="North"/>
    <d v="2025-04-14T00:00:00"/>
    <s v="Missing Goods"/>
    <n v="43270.82"/>
    <n v="26496.959999999999"/>
    <x v="3"/>
    <s v="Juan Vargas"/>
    <s v="Closed"/>
    <n v="48"/>
    <d v="2025-05-07T00:00:00"/>
    <n v="23"/>
    <s v="Partial Credit"/>
    <n v="19113.439999999999"/>
  </r>
  <r>
    <s v="DIS-0310"/>
    <s v="INV-1310"/>
    <s v="VND-012"/>
    <s v="DataCenter Pro"/>
    <s v="IT"/>
    <s v="North"/>
    <d v="2025-04-14T00:00:00"/>
    <s v="Missing Goods"/>
    <n v="74438.53"/>
    <n v="29316.639999999999"/>
    <x v="3"/>
    <s v="Carlos Mendez"/>
    <s v="Escalated"/>
    <n v="48"/>
    <d v="2025-05-12T00:00:00"/>
    <n v="28"/>
    <s v="Full Credit"/>
    <n v="29316.639999999999"/>
  </r>
  <r>
    <s v="DIS-0311"/>
    <s v="INV-1311"/>
    <s v="VND-012"/>
    <s v="DataCenter Pro"/>
    <s v="IT"/>
    <s v="North"/>
    <d v="2024-10-24T00:00:00"/>
    <s v="Missing Goods"/>
    <n v="83360.53"/>
    <n v="35097.800000000003"/>
    <x v="1"/>
    <s v="Diego Castillo"/>
    <s v="Resolved"/>
    <n v="220"/>
    <d v="2024-11-12T00:00:00"/>
    <n v="19"/>
    <s v="Partial Credit"/>
    <n v="17240.14"/>
  </r>
  <r>
    <s v="DIS-0312"/>
    <s v="INV-1312"/>
    <s v="VND-012"/>
    <s v="DataCenter Pro"/>
    <s v="IT"/>
    <s v="North"/>
    <d v="2024-12-07T00:00:00"/>
    <s v="Contract Terms"/>
    <n v="89944.69"/>
    <n v="55917.760000000002"/>
    <x v="0"/>
    <s v="Juan Vargas"/>
    <s v="Open"/>
    <n v="176"/>
    <m/>
    <m/>
    <s v="Pending"/>
    <n v="0"/>
  </r>
  <r>
    <s v="DIS-0313"/>
    <s v="INV-1313"/>
    <s v="VND-012"/>
    <s v="DataCenter Pro"/>
    <s v="IT"/>
    <s v="North"/>
    <d v="2025-03-12T00:00:00"/>
    <s v="Damaged Goods"/>
    <n v="46922.17"/>
    <n v="2369.9"/>
    <x v="2"/>
    <s v="Sofia Ruiz"/>
    <s v="Closed"/>
    <n v="81"/>
    <d v="2025-04-22T00:00:00"/>
    <n v="41"/>
    <s v="Full Credit"/>
    <n v="2369.9"/>
  </r>
  <r>
    <s v="DIS-0314"/>
    <s v="INV-1314"/>
    <s v="VND-012"/>
    <s v="DataCenter Pro"/>
    <s v="IT"/>
    <s v="North"/>
    <d v="2025-01-11T00:00:00"/>
    <s v="Contract Terms"/>
    <n v="13867.3"/>
    <n v="4442.0600000000004"/>
    <x v="0"/>
    <s v="Sofia Ruiz"/>
    <s v="In Progress"/>
    <n v="141"/>
    <m/>
    <m/>
    <s v="Pending"/>
    <n v="0"/>
  </r>
  <r>
    <s v="DIS-0315"/>
    <s v="INV-1315"/>
    <s v="VND-012"/>
    <s v="DataCenter Pro"/>
    <s v="IT"/>
    <s v="North"/>
    <d v="2024-07-15T00:00:00"/>
    <s v="Contract Terms"/>
    <n v="34023.379999999997"/>
    <n v="19549.189999999999"/>
    <x v="0"/>
    <s v="Carlos Mendez"/>
    <s v="Escalated"/>
    <n v="321"/>
    <d v="2024-07-18T00:00:00"/>
    <n v="3"/>
    <s v="Full Credit"/>
    <n v="19549.189999999999"/>
  </r>
  <r>
    <s v="DIS-0316"/>
    <s v="INV-1316"/>
    <s v="VND-012"/>
    <s v="DataCenter Pro"/>
    <s v="IT"/>
    <s v="North"/>
    <d v="2025-04-22T00:00:00"/>
    <s v="Price Discrepancy"/>
    <n v="17606.48"/>
    <n v="3867.14"/>
    <x v="3"/>
    <s v="Ana Torres"/>
    <s v="Resolved"/>
    <n v="40"/>
    <d v="2025-05-02T00:00:00"/>
    <n v="10"/>
    <s v="Pending"/>
    <n v="0"/>
  </r>
  <r>
    <s v="DIS-0317"/>
    <s v="INV-1317"/>
    <s v="VND-012"/>
    <s v="DataCenter Pro"/>
    <s v="IT"/>
    <s v="North"/>
    <d v="2024-10-27T00:00:00"/>
    <s v="Price Discrepancy"/>
    <n v="70932.95"/>
    <n v="28960.16"/>
    <x v="0"/>
    <s v="Carlos Mendez"/>
    <s v="Resolved"/>
    <n v="217"/>
    <d v="2024-12-16T00:00:00"/>
    <n v="50"/>
    <s v="No Action"/>
    <n v="0"/>
  </r>
  <r>
    <s v="DIS-0318"/>
    <s v="INV-1318"/>
    <s v="VND-012"/>
    <s v="DataCenter Pro"/>
    <s v="IT"/>
    <s v="North"/>
    <d v="2025-03-22T00:00:00"/>
    <s v="Contract Terms"/>
    <n v="41358.5"/>
    <n v="27297.68"/>
    <x v="3"/>
    <s v="Sofia Ruiz"/>
    <s v="Open"/>
    <n v="71"/>
    <m/>
    <m/>
    <s v="Pending"/>
    <n v="0"/>
  </r>
  <r>
    <s v="DIS-0319"/>
    <s v="INV-1319"/>
    <s v="VND-012"/>
    <s v="DataCenter Pro"/>
    <s v="IT"/>
    <s v="North"/>
    <d v="2024-08-16T00:00:00"/>
    <s v="Contract Terms"/>
    <n v="5805.1"/>
    <n v="3120.33"/>
    <x v="1"/>
    <s v="Luis Herrera"/>
    <s v="Resolved"/>
    <n v="289"/>
    <d v="2024-09-07T00:00:00"/>
    <n v="22"/>
    <s v="No Action"/>
    <n v="0"/>
  </r>
  <r>
    <s v="DIS-0320"/>
    <s v="INV-1320"/>
    <s v="VND-012"/>
    <s v="DataCenter Pro"/>
    <s v="IT"/>
    <s v="North"/>
    <d v="2024-07-20T00:00:00"/>
    <s v="Price Discrepancy"/>
    <n v="70223.789999999994"/>
    <n v="48803.56"/>
    <x v="0"/>
    <s v="Sofia Ruiz"/>
    <s v="Escalated"/>
    <n v="316"/>
    <d v="2024-10-06T00:00:00"/>
    <n v="78"/>
    <s v="Payment Adjusted"/>
    <n v="11742.83"/>
  </r>
  <r>
    <s v="DIS-0321"/>
    <s v="INV-1321"/>
    <s v="VND-012"/>
    <s v="DataCenter Pro"/>
    <s v="IT"/>
    <s v="North"/>
    <d v="2024-10-24T00:00:00"/>
    <s v="Price Discrepancy"/>
    <n v="34877.85"/>
    <n v="5401.62"/>
    <x v="1"/>
    <s v="Luis Herrera"/>
    <s v="Resolved"/>
    <n v="220"/>
    <d v="2025-01-11T00:00:00"/>
    <n v="79"/>
    <s v="Payment Adjusted"/>
    <n v="1155.78"/>
  </r>
  <r>
    <s v="DIS-0322"/>
    <s v="INV-1322"/>
    <s v="VND-012"/>
    <s v="DataCenter Pro"/>
    <s v="IT"/>
    <s v="North"/>
    <d v="2024-06-12T00:00:00"/>
    <s v="Damaged Goods"/>
    <n v="7548.32"/>
    <n v="5172.88"/>
    <x v="3"/>
    <s v="Luis Herrera"/>
    <s v="Escalated"/>
    <n v="354"/>
    <d v="2024-07-22T00:00:00"/>
    <n v="40"/>
    <s v="Partial Credit"/>
    <n v="3467.28"/>
  </r>
  <r>
    <s v="DIS-0323"/>
    <s v="INV-1323"/>
    <s v="VND-012"/>
    <s v="DataCenter Pro"/>
    <s v="IT"/>
    <s v="North"/>
    <d v="2025-01-29T00:00:00"/>
    <s v="Service Quality"/>
    <n v="52014.33"/>
    <n v="6998.93"/>
    <x v="1"/>
    <s v="Carlos Mendez"/>
    <s v="Resolved"/>
    <n v="123"/>
    <d v="2025-02-02T00:00:00"/>
    <n v="4"/>
    <s v="Pending"/>
    <n v="0"/>
  </r>
  <r>
    <s v="DIS-0324"/>
    <s v="INV-1324"/>
    <s v="VND-012"/>
    <s v="DataCenter Pro"/>
    <s v="IT"/>
    <s v="North"/>
    <d v="2024-12-20T00:00:00"/>
    <s v="Missing Goods"/>
    <n v="17538.37"/>
    <n v="12199.87"/>
    <x v="1"/>
    <s v="Sofia Ruiz"/>
    <s v="Escalated"/>
    <n v="163"/>
    <d v="2025-03-31T00:00:00"/>
    <n v="101"/>
    <s v="Full Credit"/>
    <n v="12199.87"/>
  </r>
  <r>
    <s v="DIS-0325"/>
    <s v="INV-1325"/>
    <s v="VND-013"/>
    <s v="FreightKing"/>
    <s v="Logistics"/>
    <s v="Central"/>
    <d v="2025-05-24T00:00:00"/>
    <s v="Duplicate Invoice"/>
    <n v="29907.599999999999"/>
    <n v="2388.7199999999998"/>
    <x v="0"/>
    <s v="Marta Lopez"/>
    <s v="Open"/>
    <n v="8"/>
    <m/>
    <m/>
    <s v="Pending"/>
    <n v="0"/>
  </r>
  <r>
    <s v="DIS-0326"/>
    <s v="INV-1326"/>
    <s v="VND-013"/>
    <s v="FreightKing"/>
    <s v="Logistics"/>
    <s v="Central"/>
    <d v="2024-09-17T00:00:00"/>
    <s v="Contract Terms"/>
    <n v="77875.45"/>
    <n v="28633.360000000001"/>
    <x v="1"/>
    <s v="Sofia Ruiz"/>
    <s v="Resolved"/>
    <n v="257"/>
    <d v="2024-10-29T00:00:00"/>
    <n v="42"/>
    <s v="Full Credit"/>
    <n v="28633.360000000001"/>
  </r>
  <r>
    <s v="DIS-0327"/>
    <s v="INV-1327"/>
    <s v="VND-013"/>
    <s v="FreightKing"/>
    <s v="Logistics"/>
    <s v="Central"/>
    <d v="2025-02-16T00:00:00"/>
    <s v="Service Quality"/>
    <n v="97559.77"/>
    <n v="16246.91"/>
    <x v="1"/>
    <s v="Carlos Mendez"/>
    <s v="Resolved"/>
    <n v="105"/>
    <d v="2025-04-15T00:00:00"/>
    <n v="58"/>
    <s v="Payment Adjusted"/>
    <n v="7125.69"/>
  </r>
  <r>
    <s v="DIS-0328"/>
    <s v="INV-1328"/>
    <s v="VND-013"/>
    <s v="FreightKing"/>
    <s v="Logistics"/>
    <s v="Central"/>
    <d v="2025-05-02T00:00:00"/>
    <s v="Service Quality"/>
    <n v="28225.58"/>
    <n v="20984.89"/>
    <x v="0"/>
    <s v="Ana Torres"/>
    <s v="Open"/>
    <n v="30"/>
    <m/>
    <m/>
    <s v="Pending"/>
    <n v="0"/>
  </r>
  <r>
    <s v="DIS-0329"/>
    <s v="INV-1329"/>
    <s v="VND-013"/>
    <s v="FreightKing"/>
    <s v="Logistics"/>
    <s v="Central"/>
    <d v="2024-06-29T00:00:00"/>
    <s v="Contract Terms"/>
    <n v="75362.53"/>
    <n v="10519.27"/>
    <x v="3"/>
    <s v="Ana Torres"/>
    <s v="Resolved"/>
    <n v="337"/>
    <d v="2024-08-15T00:00:00"/>
    <n v="47"/>
    <s v="Partial Credit"/>
    <n v="7045.73"/>
  </r>
  <r>
    <s v="DIS-0330"/>
    <s v="INV-1330"/>
    <s v="VND-013"/>
    <s v="FreightKing"/>
    <s v="Logistics"/>
    <s v="Central"/>
    <d v="2025-01-19T00:00:00"/>
    <s v="Missing Goods"/>
    <n v="20861.48"/>
    <n v="3029.04"/>
    <x v="3"/>
    <s v="Carlos Mendez"/>
    <s v="Escalated"/>
    <n v="133"/>
    <d v="2025-01-25T00:00:00"/>
    <n v="6"/>
    <s v="Full Credit"/>
    <n v="3029.04"/>
  </r>
  <r>
    <s v="DIS-0331"/>
    <s v="INV-1331"/>
    <s v="VND-013"/>
    <s v="FreightKing"/>
    <s v="Logistics"/>
    <s v="Central"/>
    <d v="2024-10-24T00:00:00"/>
    <s v="Service Quality"/>
    <n v="30838.16"/>
    <n v="3019.18"/>
    <x v="3"/>
    <s v="Carlos Mendez"/>
    <s v="Resolved"/>
    <n v="220"/>
    <d v="2024-12-31T00:00:00"/>
    <n v="68"/>
    <s v="Full Credit"/>
    <n v="3019.18"/>
  </r>
  <r>
    <s v="DIS-0332"/>
    <s v="INV-1332"/>
    <s v="VND-013"/>
    <s v="FreightKing"/>
    <s v="Logistics"/>
    <s v="Central"/>
    <d v="2024-09-18T00:00:00"/>
    <s v="Price Discrepancy"/>
    <n v="86639.18"/>
    <n v="15175.81"/>
    <x v="0"/>
    <s v="Carlos Mendez"/>
    <s v="Resolved"/>
    <n v="256"/>
    <d v="2024-11-25T00:00:00"/>
    <n v="68"/>
    <s v="Full Credit"/>
    <n v="15175.81"/>
  </r>
  <r>
    <s v="DIS-0333"/>
    <s v="INV-1333"/>
    <s v="VND-013"/>
    <s v="FreightKing"/>
    <s v="Logistics"/>
    <s v="Central"/>
    <d v="2025-05-25T00:00:00"/>
    <s v="Damaged Goods"/>
    <n v="28232.39"/>
    <n v="11400.9"/>
    <x v="1"/>
    <s v="Sofia Ruiz"/>
    <s v="In Progress"/>
    <n v="7"/>
    <m/>
    <m/>
    <s v="Pending"/>
    <n v="0"/>
  </r>
  <r>
    <s v="DIS-0334"/>
    <s v="INV-1334"/>
    <s v="VND-013"/>
    <s v="FreightKing"/>
    <s v="Logistics"/>
    <s v="Central"/>
    <d v="2025-05-13T00:00:00"/>
    <s v="Duplicate Invoice"/>
    <n v="57522.15"/>
    <n v="42305.279999999999"/>
    <x v="3"/>
    <s v="Luis Herrera"/>
    <s v="Open"/>
    <n v="19"/>
    <m/>
    <m/>
    <s v="Pending"/>
    <n v="0"/>
  </r>
  <r>
    <s v="DIS-0335"/>
    <s v="INV-1335"/>
    <s v="VND-013"/>
    <s v="FreightKing"/>
    <s v="Logistics"/>
    <s v="Central"/>
    <d v="2024-10-30T00:00:00"/>
    <s v="Service Quality"/>
    <n v="92006.2"/>
    <n v="26677.32"/>
    <x v="3"/>
    <s v="Diego Castillo"/>
    <s v="Resolved"/>
    <n v="214"/>
    <d v="2025-01-27T00:00:00"/>
    <n v="89"/>
    <s v="No Action"/>
    <n v="0"/>
  </r>
  <r>
    <s v="DIS-0336"/>
    <s v="INV-1336"/>
    <s v="VND-013"/>
    <s v="FreightKing"/>
    <s v="Logistics"/>
    <s v="Central"/>
    <d v="2025-03-01T00:00:00"/>
    <s v="Duplicate Invoice"/>
    <n v="26202.58"/>
    <n v="11446.09"/>
    <x v="0"/>
    <s v="Carlos Mendez"/>
    <s v="Closed"/>
    <n v="92"/>
    <d v="2025-04-09T00:00:00"/>
    <n v="39"/>
    <s v="Payment Adjusted"/>
    <n v="2567.12"/>
  </r>
  <r>
    <s v="DIS-0337"/>
    <s v="INV-1337"/>
    <s v="VND-013"/>
    <s v="FreightKing"/>
    <s v="Logistics"/>
    <s v="Central"/>
    <d v="2025-04-17T00:00:00"/>
    <s v="Service Quality"/>
    <n v="57543.68"/>
    <n v="3221.12"/>
    <x v="0"/>
    <s v="Marta Lopez"/>
    <s v="Escalated"/>
    <n v="45"/>
    <d v="2025-05-05T00:00:00"/>
    <n v="18"/>
    <s v="Partial Credit"/>
    <n v="1787.77"/>
  </r>
  <r>
    <s v="DIS-0338"/>
    <s v="INV-1338"/>
    <s v="VND-013"/>
    <s v="FreightKing"/>
    <s v="Logistics"/>
    <s v="Central"/>
    <d v="2024-09-21T00:00:00"/>
    <s v="Service Quality"/>
    <n v="99789.78"/>
    <n v="63058.61"/>
    <x v="3"/>
    <s v="Luis Herrera"/>
    <s v="Resolved"/>
    <n v="253"/>
    <d v="2024-11-15T00:00:00"/>
    <n v="55"/>
    <s v="Full Credit"/>
    <n v="63058.61"/>
  </r>
  <r>
    <s v="DIS-0339"/>
    <s v="INV-1339"/>
    <s v="VND-013"/>
    <s v="FreightKing"/>
    <s v="Logistics"/>
    <s v="Central"/>
    <d v="2024-08-27T00:00:00"/>
    <s v="Missing Goods"/>
    <n v="37910.25"/>
    <n v="25766.86"/>
    <x v="3"/>
    <s v="Ana Torres"/>
    <s v="Escalated"/>
    <n v="278"/>
    <d v="2024-10-17T00:00:00"/>
    <n v="51"/>
    <s v="No Action"/>
    <n v="0"/>
  </r>
  <r>
    <s v="DIS-0340"/>
    <s v="INV-1340"/>
    <s v="VND-013"/>
    <s v="FreightKing"/>
    <s v="Logistics"/>
    <s v="Central"/>
    <d v="2024-12-25T00:00:00"/>
    <s v="Duplicate Invoice"/>
    <n v="14875.16"/>
    <n v="6654.56"/>
    <x v="0"/>
    <s v="Ana Torres"/>
    <s v="Closed"/>
    <n v="158"/>
    <d v="2025-01-15T00:00:00"/>
    <n v="21"/>
    <s v="Payment Adjusted"/>
    <n v="913.08"/>
  </r>
  <r>
    <s v="DIS-0341"/>
    <s v="INV-1341"/>
    <s v="VND-013"/>
    <s v="FreightKing"/>
    <s v="Logistics"/>
    <s v="Central"/>
    <d v="2025-02-02T00:00:00"/>
    <s v="Missing Goods"/>
    <n v="90242.31"/>
    <n v="39690.32"/>
    <x v="3"/>
    <s v="Juan Vargas"/>
    <s v="Closed"/>
    <n v="119"/>
    <d v="2025-02-15T00:00:00"/>
    <n v="13"/>
    <s v="Partial Credit"/>
    <n v="19974.419999999998"/>
  </r>
  <r>
    <s v="DIS-0342"/>
    <s v="INV-1342"/>
    <s v="VND-013"/>
    <s v="FreightKing"/>
    <s v="Logistics"/>
    <s v="Central"/>
    <d v="2024-07-09T00:00:00"/>
    <s v="Duplicate Invoice"/>
    <n v="82896.47"/>
    <n v="8797.2099999999991"/>
    <x v="1"/>
    <s v="Sofia Ruiz"/>
    <s v="Resolved"/>
    <n v="327"/>
    <d v="2024-08-14T00:00:00"/>
    <n v="36"/>
    <s v="No Action"/>
    <n v="0"/>
  </r>
  <r>
    <s v="DIS-0343"/>
    <s v="INV-1343"/>
    <s v="VND-013"/>
    <s v="FreightKing"/>
    <s v="Logistics"/>
    <s v="Central"/>
    <d v="2024-11-11T00:00:00"/>
    <s v="Missing Goods"/>
    <n v="71568.929999999993"/>
    <n v="43049.760000000002"/>
    <x v="1"/>
    <s v="Luis Herrera"/>
    <s v="In Progress"/>
    <n v="202"/>
    <m/>
    <m/>
    <s v="Pending"/>
    <n v="0"/>
  </r>
  <r>
    <s v="DIS-0344"/>
    <s v="INV-1344"/>
    <s v="VND-013"/>
    <s v="FreightKing"/>
    <s v="Logistics"/>
    <s v="Central"/>
    <d v="2025-02-17T00:00:00"/>
    <s v="Price Discrepancy"/>
    <n v="17930.63"/>
    <n v="11253.44"/>
    <x v="0"/>
    <s v="Sofia Ruiz"/>
    <s v="Resolved"/>
    <n v="104"/>
    <d v="2025-04-01T00:00:00"/>
    <n v="43"/>
    <s v="Partial Credit"/>
    <n v="5869.28"/>
  </r>
  <r>
    <s v="DIS-0345"/>
    <s v="INV-1345"/>
    <s v="VND-013"/>
    <s v="FreightKing"/>
    <s v="Logistics"/>
    <s v="Central"/>
    <d v="2025-02-14T00:00:00"/>
    <s v="Price Discrepancy"/>
    <n v="47932.12"/>
    <n v="19053.490000000002"/>
    <x v="3"/>
    <s v="Sofia Ruiz"/>
    <s v="Closed"/>
    <n v="107"/>
    <d v="2025-03-27T00:00:00"/>
    <n v="41"/>
    <s v="No Action"/>
    <n v="0"/>
  </r>
  <r>
    <s v="DIS-0346"/>
    <s v="INV-1346"/>
    <s v="VND-013"/>
    <s v="FreightKing"/>
    <s v="Logistics"/>
    <s v="Central"/>
    <d v="2024-06-09T00:00:00"/>
    <s v="Damaged Goods"/>
    <n v="62313.74"/>
    <n v="13164.75"/>
    <x v="3"/>
    <s v="Carlos Mendez"/>
    <s v="Escalated"/>
    <n v="357"/>
    <d v="2024-07-27T00:00:00"/>
    <n v="48"/>
    <s v="Full Credit"/>
    <n v="13164.75"/>
  </r>
  <r>
    <s v="DIS-0347"/>
    <s v="INV-1347"/>
    <s v="VND-014"/>
    <s v="FacilityPro"/>
    <s v="Services"/>
    <s v="North"/>
    <d v="2025-01-18T00:00:00"/>
    <s v="Duplicate Invoice"/>
    <n v="82908.509999999995"/>
    <n v="14956.76"/>
    <x v="2"/>
    <s v="Luis Herrera"/>
    <s v="In Progress"/>
    <n v="134"/>
    <m/>
    <m/>
    <s v="Pending"/>
    <n v="0"/>
  </r>
  <r>
    <s v="DIS-0348"/>
    <s v="INV-1348"/>
    <s v="VND-014"/>
    <s v="FacilityPro"/>
    <s v="Services"/>
    <s v="North"/>
    <d v="2025-04-09T00:00:00"/>
    <s v="Damaged Goods"/>
    <n v="81370.19"/>
    <n v="12599.75"/>
    <x v="0"/>
    <s v="Sofia Ruiz"/>
    <s v="In Progress"/>
    <n v="53"/>
    <m/>
    <m/>
    <s v="Pending"/>
    <n v="0"/>
  </r>
  <r>
    <s v="DIS-0349"/>
    <s v="INV-1349"/>
    <s v="VND-014"/>
    <s v="FacilityPro"/>
    <s v="Services"/>
    <s v="North"/>
    <d v="2024-11-07T00:00:00"/>
    <s v="Service Quality"/>
    <n v="40362.78"/>
    <n v="21098.560000000001"/>
    <x v="1"/>
    <s v="Marta Lopez"/>
    <s v="Closed"/>
    <n v="206"/>
    <d v="2024-11-19T00:00:00"/>
    <n v="12"/>
    <s v="Full Credit"/>
    <n v="21098.560000000001"/>
  </r>
  <r>
    <s v="DIS-0350"/>
    <s v="INV-1350"/>
    <s v="VND-014"/>
    <s v="FacilityPro"/>
    <s v="Services"/>
    <s v="North"/>
    <d v="2025-04-28T00:00:00"/>
    <s v="Price Discrepancy"/>
    <n v="23786.28"/>
    <n v="12713.53"/>
    <x v="3"/>
    <s v="Diego Castillo"/>
    <s v="Open"/>
    <n v="34"/>
    <m/>
    <m/>
    <s v="Pending"/>
    <n v="0"/>
  </r>
  <r>
    <s v="DIS-0351"/>
    <s v="INV-1351"/>
    <s v="VND-014"/>
    <s v="FacilityPro"/>
    <s v="Services"/>
    <s v="North"/>
    <d v="2024-10-07T00:00:00"/>
    <s v="Contract Terms"/>
    <n v="9810.58"/>
    <n v="7290.23"/>
    <x v="1"/>
    <s v="Valeria Moreno"/>
    <s v="Resolved"/>
    <n v="237"/>
    <d v="2024-11-27T00:00:00"/>
    <n v="51"/>
    <s v="Payment Adjusted"/>
    <n v="1232.94"/>
  </r>
  <r>
    <s v="DIS-0352"/>
    <s v="INV-1352"/>
    <s v="VND-014"/>
    <s v="FacilityPro"/>
    <s v="Services"/>
    <s v="North"/>
    <d v="2025-02-11T00:00:00"/>
    <s v="Damaged Goods"/>
    <n v="91288.9"/>
    <n v="23391.53"/>
    <x v="1"/>
    <s v="Ana Torres"/>
    <s v="Resolved"/>
    <n v="110"/>
    <d v="2025-05-03T00:00:00"/>
    <n v="81"/>
    <s v="Full Credit"/>
    <n v="23391.53"/>
  </r>
  <r>
    <s v="DIS-0353"/>
    <s v="INV-1353"/>
    <s v="VND-014"/>
    <s v="FacilityPro"/>
    <s v="Services"/>
    <s v="North"/>
    <d v="2024-12-31T00:00:00"/>
    <s v="Price Discrepancy"/>
    <n v="52394.7"/>
    <n v="37309.42"/>
    <x v="1"/>
    <s v="Marta Lopez"/>
    <s v="Resolved"/>
    <n v="152"/>
    <d v="2025-02-25T00:00:00"/>
    <n v="56"/>
    <s v="Full Credit"/>
    <n v="37309.42"/>
  </r>
  <r>
    <s v="DIS-0354"/>
    <s v="INV-1354"/>
    <s v="VND-014"/>
    <s v="FacilityPro"/>
    <s v="Services"/>
    <s v="North"/>
    <d v="2024-09-04T00:00:00"/>
    <s v="Price Discrepancy"/>
    <n v="28669.040000000001"/>
    <n v="22808.1"/>
    <x v="1"/>
    <s v="Valeria Moreno"/>
    <s v="Escalated"/>
    <n v="270"/>
    <d v="2024-10-22T00:00:00"/>
    <n v="48"/>
    <s v="Partial Credit"/>
    <n v="15255.45"/>
  </r>
  <r>
    <s v="DIS-0355"/>
    <s v="INV-1355"/>
    <s v="VND-014"/>
    <s v="FacilityPro"/>
    <s v="Services"/>
    <s v="North"/>
    <d v="2024-12-06T00:00:00"/>
    <s v="Damaged Goods"/>
    <n v="91704.320000000007"/>
    <n v="39138.94"/>
    <x v="1"/>
    <s v="Ana Torres"/>
    <s v="Resolved"/>
    <n v="177"/>
    <d v="2025-01-06T00:00:00"/>
    <n v="31"/>
    <s v="Full Credit"/>
    <n v="39138.94"/>
  </r>
  <r>
    <s v="DIS-0356"/>
    <s v="INV-1356"/>
    <s v="VND-014"/>
    <s v="FacilityPro"/>
    <s v="Services"/>
    <s v="North"/>
    <d v="2025-01-08T00:00:00"/>
    <s v="Service Quality"/>
    <n v="10566.17"/>
    <n v="8385.82"/>
    <x v="1"/>
    <s v="Luis Herrera"/>
    <s v="Closed"/>
    <n v="144"/>
    <d v="2025-01-23T00:00:00"/>
    <n v="15"/>
    <s v="Full Credit"/>
    <n v="8385.82"/>
  </r>
  <r>
    <s v="DIS-0357"/>
    <s v="INV-1357"/>
    <s v="VND-014"/>
    <s v="FacilityPro"/>
    <s v="Services"/>
    <s v="North"/>
    <d v="2025-01-28T00:00:00"/>
    <s v="Price Discrepancy"/>
    <n v="30320.07"/>
    <n v="20078.37"/>
    <x v="2"/>
    <s v="Luis Herrera"/>
    <s v="Resolved"/>
    <n v="124"/>
    <d v="2025-05-13T00:00:00"/>
    <n v="105"/>
    <s v="Full Credit"/>
    <n v="20078.37"/>
  </r>
  <r>
    <s v="DIS-0358"/>
    <s v="INV-1358"/>
    <s v="VND-014"/>
    <s v="FacilityPro"/>
    <s v="Services"/>
    <s v="North"/>
    <d v="2025-03-04T00:00:00"/>
    <s v="Contract Terms"/>
    <n v="21729.53"/>
    <n v="10742.85"/>
    <x v="3"/>
    <s v="Diego Castillo"/>
    <s v="Closed"/>
    <n v="89"/>
    <d v="2025-03-10T00:00:00"/>
    <n v="6"/>
    <s v="Payment Adjusted"/>
    <n v="2585.5100000000002"/>
  </r>
  <r>
    <s v="DIS-0359"/>
    <s v="INV-1359"/>
    <s v="VND-014"/>
    <s v="FacilityPro"/>
    <s v="Services"/>
    <s v="North"/>
    <d v="2024-08-14T00:00:00"/>
    <s v="Duplicate Invoice"/>
    <n v="58542.62"/>
    <n v="27651.53"/>
    <x v="0"/>
    <s v="Marta Lopez"/>
    <s v="Resolved"/>
    <n v="291"/>
    <d v="2024-08-21T00:00:00"/>
    <n v="7"/>
    <s v="Full Credit"/>
    <n v="27651.53"/>
  </r>
  <r>
    <s v="DIS-0360"/>
    <s v="INV-1360"/>
    <s v="VND-014"/>
    <s v="FacilityPro"/>
    <s v="Services"/>
    <s v="North"/>
    <d v="2025-02-01T00:00:00"/>
    <s v="Missing Goods"/>
    <n v="62157.96"/>
    <n v="4036.91"/>
    <x v="1"/>
    <s v="Luis Herrera"/>
    <s v="Closed"/>
    <n v="120"/>
    <d v="2025-03-19T00:00:00"/>
    <n v="46"/>
    <s v="Payment Adjusted"/>
    <n v="1887.31"/>
  </r>
  <r>
    <s v="DIS-0361"/>
    <s v="INV-1361"/>
    <s v="VND-014"/>
    <s v="FacilityPro"/>
    <s v="Services"/>
    <s v="North"/>
    <d v="2024-12-17T00:00:00"/>
    <s v="Damaged Goods"/>
    <n v="10657.82"/>
    <n v="1713.61"/>
    <x v="3"/>
    <s v="Carlos Mendez"/>
    <s v="Closed"/>
    <n v="166"/>
    <d v="2025-04-09T00:00:00"/>
    <n v="113"/>
    <s v="Full Credit"/>
    <n v="1713.61"/>
  </r>
  <r>
    <s v="DIS-0362"/>
    <s v="INV-1362"/>
    <s v="VND-014"/>
    <s v="FacilityPro"/>
    <s v="Services"/>
    <s v="North"/>
    <d v="2025-04-24T00:00:00"/>
    <s v="Price Discrepancy"/>
    <n v="40491.120000000003"/>
    <n v="30629.200000000001"/>
    <x v="1"/>
    <s v="Diego Castillo"/>
    <s v="Resolved"/>
    <n v="38"/>
    <d v="2025-05-05T00:00:00"/>
    <n v="11"/>
    <s v="Pending"/>
    <n v="0"/>
  </r>
  <r>
    <s v="DIS-0363"/>
    <s v="INV-1363"/>
    <s v="VND-014"/>
    <s v="FacilityPro"/>
    <s v="Services"/>
    <s v="North"/>
    <d v="2024-10-20T00:00:00"/>
    <s v="Damaged Goods"/>
    <n v="80225.039999999994"/>
    <n v="61813.120000000003"/>
    <x v="1"/>
    <s v="Diego Castillo"/>
    <s v="Resolved"/>
    <n v="224"/>
    <d v="2025-01-06T00:00:00"/>
    <n v="78"/>
    <s v="No Action"/>
    <n v="0"/>
  </r>
  <r>
    <s v="DIS-0364"/>
    <s v="INV-1364"/>
    <s v="VND-014"/>
    <s v="FacilityPro"/>
    <s v="Services"/>
    <s v="North"/>
    <d v="2024-11-19T00:00:00"/>
    <s v="Contract Terms"/>
    <n v="34148.21"/>
    <n v="19340.650000000001"/>
    <x v="0"/>
    <s v="Ana Torres"/>
    <s v="Closed"/>
    <n v="194"/>
    <d v="2025-02-03T00:00:00"/>
    <n v="76"/>
    <s v="Full Credit"/>
    <n v="19340.650000000001"/>
  </r>
  <r>
    <s v="DIS-0365"/>
    <s v="INV-1365"/>
    <s v="VND-014"/>
    <s v="FacilityPro"/>
    <s v="Services"/>
    <s v="North"/>
    <d v="2024-08-14T00:00:00"/>
    <s v="Service Quality"/>
    <n v="8076.36"/>
    <n v="4052.65"/>
    <x v="2"/>
    <s v="Luis Herrera"/>
    <s v="Resolved"/>
    <n v="291"/>
    <d v="2024-08-30T00:00:00"/>
    <n v="16"/>
    <s v="Pending"/>
    <n v="0"/>
  </r>
  <r>
    <s v="DIS-0366"/>
    <s v="INV-1366"/>
    <s v="VND-014"/>
    <s v="FacilityPro"/>
    <s v="Services"/>
    <s v="North"/>
    <d v="2025-03-20T00:00:00"/>
    <s v="Missing Goods"/>
    <n v="36461"/>
    <n v="3950.73"/>
    <x v="1"/>
    <s v="Sofia Ruiz"/>
    <s v="Resolved"/>
    <n v="73"/>
    <d v="2025-04-03T00:00:00"/>
    <n v="14"/>
    <s v="No Action"/>
    <n v="0"/>
  </r>
  <r>
    <s v="DIS-0367"/>
    <s v="INV-1367"/>
    <s v="VND-014"/>
    <s v="FacilityPro"/>
    <s v="Services"/>
    <s v="North"/>
    <d v="2024-06-22T00:00:00"/>
    <s v="Missing Goods"/>
    <n v="65714.759999999995"/>
    <n v="46985.41"/>
    <x v="1"/>
    <s v="Luis Herrera"/>
    <s v="Resolved"/>
    <n v="344"/>
    <d v="2024-07-03T00:00:00"/>
    <n v="11"/>
    <s v="Full Credit"/>
    <n v="46985.41"/>
  </r>
  <r>
    <s v="DIS-0368"/>
    <s v="INV-1368"/>
    <s v="VND-014"/>
    <s v="FacilityPro"/>
    <s v="Services"/>
    <s v="North"/>
    <d v="2025-04-06T00:00:00"/>
    <s v="Duplicate Invoice"/>
    <n v="73439.289999999994"/>
    <n v="6323.9"/>
    <x v="1"/>
    <s v="Sofia Ruiz"/>
    <s v="Closed"/>
    <n v="56"/>
    <d v="2025-05-10T00:00:00"/>
    <n v="34"/>
    <s v="No Action"/>
    <n v="0"/>
  </r>
  <r>
    <s v="DIS-0369"/>
    <s v="INV-1369"/>
    <s v="VND-014"/>
    <s v="FacilityPro"/>
    <s v="Services"/>
    <s v="North"/>
    <d v="2024-12-03T00:00:00"/>
    <s v="Service Quality"/>
    <n v="56872.28"/>
    <n v="7169.97"/>
    <x v="1"/>
    <s v="Luis Herrera"/>
    <s v="Resolved"/>
    <n v="180"/>
    <d v="2024-12-15T00:00:00"/>
    <n v="12"/>
    <s v="Payment Adjusted"/>
    <n v="812.82"/>
  </r>
  <r>
    <s v="DIS-0370"/>
    <s v="INV-1370"/>
    <s v="VND-014"/>
    <s v="FacilityPro"/>
    <s v="Services"/>
    <s v="North"/>
    <d v="2025-05-21T00:00:00"/>
    <s v="Damaged Goods"/>
    <n v="35278.11"/>
    <n v="26943.54"/>
    <x v="0"/>
    <s v="Valeria Moreno"/>
    <s v="Open"/>
    <n v="11"/>
    <m/>
    <m/>
    <s v="Pending"/>
    <n v="0"/>
  </r>
  <r>
    <s v="DIS-0371"/>
    <s v="INV-1371"/>
    <s v="VND-014"/>
    <s v="FacilityPro"/>
    <s v="Services"/>
    <s v="North"/>
    <d v="2025-04-23T00:00:00"/>
    <s v="Service Quality"/>
    <n v="56969.39"/>
    <n v="41222.660000000003"/>
    <x v="0"/>
    <s v="Juan Vargas"/>
    <s v="Escalated"/>
    <n v="39"/>
    <d v="2025-05-23T00:00:00"/>
    <n v="30"/>
    <s v="Pending"/>
    <n v="0"/>
  </r>
  <r>
    <s v="DIS-0372"/>
    <s v="INV-1372"/>
    <s v="VND-014"/>
    <s v="FacilityPro"/>
    <s v="Services"/>
    <s v="North"/>
    <d v="2025-03-08T00:00:00"/>
    <s v="Missing Goods"/>
    <n v="62695.17"/>
    <n v="23551.46"/>
    <x v="0"/>
    <s v="Luis Herrera"/>
    <s v="Closed"/>
    <n v="85"/>
    <d v="2025-05-02T00:00:00"/>
    <n v="55"/>
    <s v="Payment Adjusted"/>
    <n v="9157.17"/>
  </r>
  <r>
    <s v="DIS-0373"/>
    <s v="INV-1373"/>
    <s v="VND-014"/>
    <s v="FacilityPro"/>
    <s v="Services"/>
    <s v="North"/>
    <d v="2024-08-28T00:00:00"/>
    <s v="Price Discrepancy"/>
    <n v="30200.15"/>
    <n v="7886.54"/>
    <x v="0"/>
    <s v="Valeria Moreno"/>
    <s v="Resolved"/>
    <n v="277"/>
    <d v="2024-12-16T00:00:00"/>
    <n v="110"/>
    <s v="Partial Credit"/>
    <n v="1835.22"/>
  </r>
  <r>
    <s v="DIS-0374"/>
    <s v="INV-1374"/>
    <s v="VND-014"/>
    <s v="FacilityPro"/>
    <s v="Services"/>
    <s v="North"/>
    <d v="2025-05-30T00:00:00"/>
    <s v="Service Quality"/>
    <n v="45622.57"/>
    <n v="12359.71"/>
    <x v="3"/>
    <s v="Juan Vargas"/>
    <s v="Open"/>
    <n v="2"/>
    <m/>
    <m/>
    <s v="Pending"/>
    <n v="0"/>
  </r>
  <r>
    <s v="DIS-0375"/>
    <s v="INV-1375"/>
    <s v="VND-014"/>
    <s v="FacilityPro"/>
    <s v="Services"/>
    <s v="North"/>
    <d v="2025-05-18T00:00:00"/>
    <s v="Duplicate Invoice"/>
    <n v="24660.53"/>
    <n v="13036.62"/>
    <x v="2"/>
    <s v="Carlos Mendez"/>
    <s v="Open"/>
    <n v="14"/>
    <m/>
    <m/>
    <s v="Pending"/>
    <n v="0"/>
  </r>
  <r>
    <s v="DIS-0376"/>
    <s v="INV-1376"/>
    <s v="VND-015"/>
    <s v="PowerGrid SA"/>
    <s v="Utilities"/>
    <s v="West"/>
    <d v="2024-09-23T00:00:00"/>
    <s v="Duplicate Invoice"/>
    <n v="90013.36"/>
    <n v="22391.119999999999"/>
    <x v="1"/>
    <s v="Sofia Ruiz"/>
    <s v="Resolved"/>
    <n v="251"/>
    <d v="2024-11-13T00:00:00"/>
    <n v="51"/>
    <s v="Full Credit"/>
    <n v="22391.119999999999"/>
  </r>
  <r>
    <s v="DIS-0377"/>
    <s v="INV-1377"/>
    <s v="VND-015"/>
    <s v="PowerGrid SA"/>
    <s v="Utilities"/>
    <s v="West"/>
    <d v="2024-10-15T00:00:00"/>
    <s v="Missing Goods"/>
    <n v="9238.61"/>
    <n v="3508.87"/>
    <x v="1"/>
    <s v="Ana Torres"/>
    <s v="Resolved"/>
    <n v="229"/>
    <d v="2025-01-15T00:00:00"/>
    <n v="92"/>
    <s v="Payment Adjusted"/>
    <n v="471.18"/>
  </r>
  <r>
    <s v="DIS-0378"/>
    <s v="INV-1378"/>
    <s v="VND-015"/>
    <s v="PowerGrid SA"/>
    <s v="Utilities"/>
    <s v="West"/>
    <d v="2024-12-06T00:00:00"/>
    <s v="Damaged Goods"/>
    <n v="81777.11"/>
    <n v="29479.83"/>
    <x v="3"/>
    <s v="Ana Torres"/>
    <s v="Closed"/>
    <n v="177"/>
    <d v="2025-03-23T00:00:00"/>
    <n v="107"/>
    <s v="Partial Credit"/>
    <n v="22975.89"/>
  </r>
  <r>
    <s v="DIS-0379"/>
    <s v="INV-1379"/>
    <s v="VND-015"/>
    <s v="PowerGrid SA"/>
    <s v="Utilities"/>
    <s v="West"/>
    <d v="2024-06-14T00:00:00"/>
    <s v="Duplicate Invoice"/>
    <n v="87354.93"/>
    <n v="35476.43"/>
    <x v="3"/>
    <s v="Marta Lopez"/>
    <s v="In Progress"/>
    <n v="352"/>
    <m/>
    <m/>
    <s v="Pending"/>
    <n v="0"/>
  </r>
  <r>
    <s v="DIS-0380"/>
    <s v="INV-1380"/>
    <s v="VND-015"/>
    <s v="PowerGrid SA"/>
    <s v="Utilities"/>
    <s v="West"/>
    <d v="2025-05-14T00:00:00"/>
    <s v="Contract Terms"/>
    <n v="52699.64"/>
    <n v="38225.230000000003"/>
    <x v="3"/>
    <s v="Sofia Ruiz"/>
    <s v="Open"/>
    <n v="18"/>
    <m/>
    <m/>
    <s v="Pending"/>
    <n v="0"/>
  </r>
  <r>
    <s v="DIS-0381"/>
    <s v="INV-1381"/>
    <s v="VND-015"/>
    <s v="PowerGrid SA"/>
    <s v="Utilities"/>
    <s v="West"/>
    <d v="2024-10-14T00:00:00"/>
    <s v="Damaged Goods"/>
    <n v="21423.5"/>
    <n v="16887.63"/>
    <x v="2"/>
    <s v="Sofia Ruiz"/>
    <s v="Open"/>
    <n v="230"/>
    <m/>
    <m/>
    <s v="Pending"/>
    <n v="0"/>
  </r>
  <r>
    <s v="DIS-0382"/>
    <s v="INV-1382"/>
    <s v="VND-015"/>
    <s v="PowerGrid SA"/>
    <s v="Utilities"/>
    <s v="West"/>
    <d v="2025-04-21T00:00:00"/>
    <s v="Contract Terms"/>
    <n v="98886.59"/>
    <n v="37235.24"/>
    <x v="2"/>
    <s v="Sofia Ruiz"/>
    <s v="Escalated"/>
    <n v="41"/>
    <d v="2025-05-10T00:00:00"/>
    <n v="19"/>
    <s v="Full Credit"/>
    <n v="37235.24"/>
  </r>
  <r>
    <s v="DIS-0383"/>
    <s v="INV-1383"/>
    <s v="VND-015"/>
    <s v="PowerGrid SA"/>
    <s v="Utilities"/>
    <s v="West"/>
    <d v="2025-04-27T00:00:00"/>
    <s v="Missing Goods"/>
    <n v="13267.61"/>
    <n v="6199.6"/>
    <x v="1"/>
    <s v="Juan Vargas"/>
    <s v="Closed"/>
    <n v="35"/>
    <d v="2025-04-30T00:00:00"/>
    <n v="3"/>
    <s v="Payment Adjusted"/>
    <n v="2165.04"/>
  </r>
  <r>
    <s v="DIS-0384"/>
    <s v="INV-1384"/>
    <s v="VND-015"/>
    <s v="PowerGrid SA"/>
    <s v="Utilities"/>
    <s v="West"/>
    <d v="2024-09-06T00:00:00"/>
    <s v="Service Quality"/>
    <n v="79260.14"/>
    <n v="10651.7"/>
    <x v="0"/>
    <s v="Carlos Mendez"/>
    <s v="Closed"/>
    <n v="268"/>
    <d v="2024-11-20T00:00:00"/>
    <n v="75"/>
    <s v="Payment Adjusted"/>
    <n v="4412.9799999999996"/>
  </r>
  <r>
    <s v="DIS-0385"/>
    <s v="INV-1385"/>
    <s v="VND-015"/>
    <s v="PowerGrid SA"/>
    <s v="Utilities"/>
    <s v="West"/>
    <d v="2024-08-30T00:00:00"/>
    <s v="Contract Terms"/>
    <n v="88612.9"/>
    <n v="62775.17"/>
    <x v="1"/>
    <s v="Juan Vargas"/>
    <s v="Resolved"/>
    <n v="275"/>
    <d v="2024-11-01T00:00:00"/>
    <n v="63"/>
    <s v="Full Credit"/>
    <n v="62775.17"/>
  </r>
  <r>
    <s v="DIS-0386"/>
    <s v="INV-1386"/>
    <s v="VND-015"/>
    <s v="PowerGrid SA"/>
    <s v="Utilities"/>
    <s v="West"/>
    <d v="2025-01-10T00:00:00"/>
    <s v="Duplicate Invoice"/>
    <n v="43282.53"/>
    <n v="22233.52"/>
    <x v="3"/>
    <s v="Ana Torres"/>
    <s v="Resolved"/>
    <n v="142"/>
    <d v="2025-05-05T00:00:00"/>
    <n v="115"/>
    <s v="Full Credit"/>
    <n v="22233.52"/>
  </r>
  <r>
    <s v="DIS-0387"/>
    <s v="INV-1387"/>
    <s v="VND-015"/>
    <s v="PowerGrid SA"/>
    <s v="Utilities"/>
    <s v="West"/>
    <d v="2025-01-30T00:00:00"/>
    <s v="Missing Goods"/>
    <n v="9682.64"/>
    <n v="3935.16"/>
    <x v="1"/>
    <s v="Ana Torres"/>
    <s v="Resolved"/>
    <n v="122"/>
    <d v="2025-05-14T00:00:00"/>
    <n v="104"/>
    <s v="Full Credit"/>
    <n v="3935.16"/>
  </r>
  <r>
    <s v="DIS-0388"/>
    <s v="INV-1388"/>
    <s v="VND-015"/>
    <s v="PowerGrid SA"/>
    <s v="Utilities"/>
    <s v="West"/>
    <d v="2025-01-08T00:00:00"/>
    <s v="Damaged Goods"/>
    <n v="85070.42"/>
    <n v="59011.32"/>
    <x v="3"/>
    <s v="Sofia Ruiz"/>
    <s v="Resolved"/>
    <n v="144"/>
    <d v="2025-04-16T00:00:00"/>
    <n v="98"/>
    <s v="Partial Credit"/>
    <n v="41042.019999999997"/>
  </r>
  <r>
    <s v="DIS-0389"/>
    <s v="INV-1389"/>
    <s v="VND-015"/>
    <s v="PowerGrid SA"/>
    <s v="Utilities"/>
    <s v="West"/>
    <d v="2025-01-14T00:00:00"/>
    <s v="Duplicate Invoice"/>
    <n v="74235.94"/>
    <n v="37395.19"/>
    <x v="0"/>
    <s v="Luis Herrera"/>
    <s v="Closed"/>
    <n v="138"/>
    <d v="2025-03-10T00:00:00"/>
    <n v="55"/>
    <s v="Payment Adjusted"/>
    <n v="15100.08"/>
  </r>
  <r>
    <s v="DIS-0390"/>
    <s v="INV-1390"/>
    <s v="VND-015"/>
    <s v="PowerGrid SA"/>
    <s v="Utilities"/>
    <s v="West"/>
    <d v="2024-11-21T00:00:00"/>
    <s v="Missing Goods"/>
    <n v="82996.649999999994"/>
    <n v="36224.080000000002"/>
    <x v="0"/>
    <s v="Valeria Moreno"/>
    <s v="Resolved"/>
    <n v="192"/>
    <d v="2025-03-12T00:00:00"/>
    <n v="111"/>
    <s v="Partial Credit"/>
    <n v="19604.59"/>
  </r>
  <r>
    <s v="DIS-0391"/>
    <s v="INV-1391"/>
    <s v="VND-015"/>
    <s v="PowerGrid SA"/>
    <s v="Utilities"/>
    <s v="West"/>
    <d v="2025-03-04T00:00:00"/>
    <s v="Damaged Goods"/>
    <n v="23312.53"/>
    <n v="15728.9"/>
    <x v="3"/>
    <s v="Ana Torres"/>
    <s v="Resolved"/>
    <n v="89"/>
    <d v="2025-04-22T00:00:00"/>
    <n v="49"/>
    <s v="Payment Adjusted"/>
    <n v="3296.64"/>
  </r>
  <r>
    <s v="DIS-0392"/>
    <s v="INV-1392"/>
    <s v="VND-015"/>
    <s v="PowerGrid SA"/>
    <s v="Utilities"/>
    <s v="West"/>
    <d v="2024-10-06T00:00:00"/>
    <s v="Price Discrepancy"/>
    <n v="52987.01"/>
    <n v="27900.7"/>
    <x v="0"/>
    <s v="Luis Herrera"/>
    <s v="Resolved"/>
    <n v="238"/>
    <d v="2024-12-24T00:00:00"/>
    <n v="79"/>
    <s v="Partial Credit"/>
    <n v="21659.65"/>
  </r>
  <r>
    <s v="DIS-0393"/>
    <s v="INV-1393"/>
    <s v="VND-015"/>
    <s v="PowerGrid SA"/>
    <s v="Utilities"/>
    <s v="West"/>
    <d v="2024-10-01T00:00:00"/>
    <s v="Missing Goods"/>
    <n v="60753.62"/>
    <n v="18974.57"/>
    <x v="0"/>
    <s v="Carlos Mendez"/>
    <s v="Resolved"/>
    <n v="243"/>
    <d v="2024-11-22T00:00:00"/>
    <n v="52"/>
    <s v="Full Credit"/>
    <n v="18974.57"/>
  </r>
  <r>
    <s v="DIS-0394"/>
    <s v="INV-1394"/>
    <s v="VND-015"/>
    <s v="PowerGrid SA"/>
    <s v="Utilities"/>
    <s v="West"/>
    <d v="2024-08-12T00:00:00"/>
    <s v="Damaged Goods"/>
    <n v="79083.86"/>
    <n v="16666.05"/>
    <x v="0"/>
    <s v="Luis Herrera"/>
    <s v="Resolved"/>
    <n v="293"/>
    <d v="2024-10-06T00:00:00"/>
    <n v="55"/>
    <s v="Partial Credit"/>
    <n v="11979.19"/>
  </r>
  <r>
    <s v="DIS-0395"/>
    <s v="INV-1395"/>
    <s v="VND-015"/>
    <s v="PowerGrid SA"/>
    <s v="Utilities"/>
    <s v="West"/>
    <d v="2024-06-16T00:00:00"/>
    <s v="Service Quality"/>
    <n v="5845.31"/>
    <n v="4288.33"/>
    <x v="1"/>
    <s v="Ana Torres"/>
    <s v="Resolved"/>
    <n v="350"/>
    <d v="2024-09-04T00:00:00"/>
    <n v="80"/>
    <s v="No Action"/>
    <n v="0"/>
  </r>
  <r>
    <s v="DIS-0396"/>
    <s v="INV-1396"/>
    <s v="VND-015"/>
    <s v="PowerGrid SA"/>
    <s v="Utilities"/>
    <s v="West"/>
    <d v="2024-12-26T00:00:00"/>
    <s v="Duplicate Invoice"/>
    <n v="72710.350000000006"/>
    <n v="42319.32"/>
    <x v="1"/>
    <s v="Diego Castillo"/>
    <s v="Resolved"/>
    <n v="157"/>
    <d v="2025-01-25T00:00:00"/>
    <n v="30"/>
    <s v="Partial Credit"/>
    <n v="25658.95"/>
  </r>
  <r>
    <s v="DIS-0397"/>
    <s v="INV-1397"/>
    <s v="VND-015"/>
    <s v="PowerGrid SA"/>
    <s v="Utilities"/>
    <s v="West"/>
    <d v="2024-07-16T00:00:00"/>
    <s v="Contract Terms"/>
    <n v="42729.49"/>
    <n v="5415.28"/>
    <x v="1"/>
    <s v="Diego Castillo"/>
    <s v="Resolved"/>
    <n v="320"/>
    <d v="2024-10-03T00:00:00"/>
    <n v="79"/>
    <s v="Partial Credit"/>
    <n v="2052.85"/>
  </r>
  <r>
    <s v="DIS-0398"/>
    <s v="INV-1398"/>
    <s v="VND-015"/>
    <s v="PowerGrid SA"/>
    <s v="Utilities"/>
    <s v="West"/>
    <d v="2025-04-06T00:00:00"/>
    <s v="Missing Goods"/>
    <n v="50765.15"/>
    <n v="15341.88"/>
    <x v="1"/>
    <s v="Marta Lopez"/>
    <s v="In Progress"/>
    <n v="56"/>
    <m/>
    <m/>
    <s v="Pending"/>
    <n v="0"/>
  </r>
  <r>
    <s v="DIS-0399"/>
    <s v="INV-1399"/>
    <s v="VND-015"/>
    <s v="PowerGrid SA"/>
    <s v="Utilities"/>
    <s v="West"/>
    <d v="2024-06-01T00:00:00"/>
    <s v="Service Quality"/>
    <n v="95457.84"/>
    <n v="51413.58"/>
    <x v="0"/>
    <s v="Luis Herrera"/>
    <s v="Closed"/>
    <n v="365"/>
    <d v="2024-09-15T00:00:00"/>
    <n v="106"/>
    <s v="No Action"/>
    <n v="0"/>
  </r>
  <r>
    <s v="DIS-0400"/>
    <s v="INV-1400"/>
    <s v="VND-015"/>
    <s v="PowerGrid SA"/>
    <s v="Utilities"/>
    <s v="West"/>
    <d v="2024-07-28T00:00:00"/>
    <s v="Price Discrepancy"/>
    <n v="43389.35"/>
    <n v="12569.43"/>
    <x v="0"/>
    <s v="Juan Vargas"/>
    <s v="Closed"/>
    <n v="308"/>
    <d v="2024-09-02T00:00:00"/>
    <n v="36"/>
    <s v="No Action"/>
    <n v="0"/>
  </r>
  <r>
    <s v="DIS-0401"/>
    <s v="INV-1401"/>
    <s v="VND-015"/>
    <s v="PowerGrid SA"/>
    <s v="Utilities"/>
    <s v="West"/>
    <d v="2024-11-05T00:00:00"/>
    <s v="Service Quality"/>
    <n v="41886.120000000003"/>
    <n v="3203.84"/>
    <x v="3"/>
    <s v="Luis Herrera"/>
    <s v="Resolved"/>
    <n v="208"/>
    <d v="2025-02-07T00:00:00"/>
    <n v="94"/>
    <s v="Full Credit"/>
    <n v="3203.84"/>
  </r>
  <r>
    <s v="DIS-0402"/>
    <s v="INV-1402"/>
    <s v="VND-015"/>
    <s v="PowerGrid SA"/>
    <s v="Utilities"/>
    <s v="West"/>
    <d v="2024-08-31T00:00:00"/>
    <s v="Missing Goods"/>
    <n v="65639.789999999994"/>
    <n v="26702.36"/>
    <x v="2"/>
    <s v="Marta Lopez"/>
    <s v="Closed"/>
    <n v="274"/>
    <d v="2024-12-19T00:00:00"/>
    <n v="110"/>
    <s v="Payment Adjusted"/>
    <n v="8632.85"/>
  </r>
  <r>
    <s v="DIS-0403"/>
    <s v="INV-1403"/>
    <s v="VND-015"/>
    <s v="PowerGrid SA"/>
    <s v="Utilities"/>
    <s v="West"/>
    <d v="2025-01-01T00:00:00"/>
    <s v="Service Quality"/>
    <n v="14272.29"/>
    <n v="2083.16"/>
    <x v="1"/>
    <s v="Sofia Ruiz"/>
    <s v="Closed"/>
    <n v="151"/>
    <d v="2025-04-29T00:00:00"/>
    <n v="118"/>
    <s v="Full Credit"/>
    <n v="2083.16"/>
  </r>
  <r>
    <s v="DIS-0404"/>
    <s v="INV-1404"/>
    <s v="VND-015"/>
    <s v="PowerGrid SA"/>
    <s v="Utilities"/>
    <s v="West"/>
    <d v="2025-04-16T00:00:00"/>
    <s v="Duplicate Invoice"/>
    <n v="26114.080000000002"/>
    <n v="5679.71"/>
    <x v="3"/>
    <s v="Diego Castillo"/>
    <s v="Resolved"/>
    <n v="46"/>
    <d v="2025-05-26T00:00:00"/>
    <n v="40"/>
    <s v="Full Credit"/>
    <n v="5679.71"/>
  </r>
  <r>
    <s v="DIS-0405"/>
    <s v="INV-1405"/>
    <s v="VND-015"/>
    <s v="PowerGrid SA"/>
    <s v="Utilities"/>
    <s v="West"/>
    <d v="2025-04-01T00:00:00"/>
    <s v="Service Quality"/>
    <n v="49700.97"/>
    <n v="34780.49"/>
    <x v="1"/>
    <s v="Carlos Mendez"/>
    <s v="Resolved"/>
    <n v="61"/>
    <d v="2025-04-16T00:00:00"/>
    <n v="15"/>
    <s v="Partial Credit"/>
    <n v="25059.3"/>
  </r>
  <r>
    <s v="DIS-0406"/>
    <s v="INV-1406"/>
    <s v="VND-015"/>
    <s v="PowerGrid SA"/>
    <s v="Utilities"/>
    <s v="West"/>
    <d v="2024-11-17T00:00:00"/>
    <s v="Damaged Goods"/>
    <n v="55334.66"/>
    <n v="19911.099999999999"/>
    <x v="3"/>
    <s v="Sofia Ruiz"/>
    <s v="Closed"/>
    <n v="196"/>
    <d v="2025-01-02T00:00:00"/>
    <n v="46"/>
    <s v="Partial Credit"/>
    <n v="10784.69"/>
  </r>
  <r>
    <s v="DIS-0407"/>
    <s v="INV-1407"/>
    <s v="VND-015"/>
    <s v="PowerGrid SA"/>
    <s v="Utilities"/>
    <s v="West"/>
    <d v="2024-10-09T00:00:00"/>
    <s v="Price Discrepancy"/>
    <n v="18606.29"/>
    <n v="12964.78"/>
    <x v="0"/>
    <s v="Juan Vargas"/>
    <s v="Resolved"/>
    <n v="235"/>
    <d v="2024-11-03T00:00:00"/>
    <n v="25"/>
    <s v="Full Credit"/>
    <n v="12964.78"/>
  </r>
  <r>
    <s v="DIS-0408"/>
    <s v="INV-1408"/>
    <s v="VND-015"/>
    <s v="PowerGrid SA"/>
    <s v="Utilities"/>
    <s v="West"/>
    <d v="2025-05-02T00:00:00"/>
    <s v="Damaged Goods"/>
    <n v="5447.78"/>
    <n v="1389.98"/>
    <x v="3"/>
    <s v="Sofia Ruiz"/>
    <s v="In Progress"/>
    <n v="30"/>
    <m/>
    <m/>
    <s v="Pending"/>
    <n v="0"/>
  </r>
  <r>
    <s v="DIS-0409"/>
    <s v="INV-1409"/>
    <s v="VND-015"/>
    <s v="PowerGrid SA"/>
    <s v="Utilities"/>
    <s v="West"/>
    <d v="2025-04-16T00:00:00"/>
    <s v="Duplicate Invoice"/>
    <n v="17293.57"/>
    <n v="6489.99"/>
    <x v="1"/>
    <s v="Juan Vargas"/>
    <s v="Resolved"/>
    <n v="46"/>
    <d v="2025-04-21T00:00:00"/>
    <n v="5"/>
    <s v="Partial Credit"/>
    <n v="4143.18"/>
  </r>
  <r>
    <s v="DIS-0410"/>
    <s v="INV-1410"/>
    <s v="VND-015"/>
    <s v="PowerGrid SA"/>
    <s v="Utilities"/>
    <s v="West"/>
    <d v="2025-05-24T00:00:00"/>
    <s v="Price Discrepancy"/>
    <n v="89740.61"/>
    <n v="55427.01"/>
    <x v="1"/>
    <s v="Ana Torres"/>
    <s v="Open"/>
    <n v="8"/>
    <m/>
    <m/>
    <s v="Pending"/>
    <n v="0"/>
  </r>
  <r>
    <s v="DIS-0411"/>
    <s v="INV-1411"/>
    <s v="VND-016"/>
    <s v="MetalWorks Corp"/>
    <s v="Materials"/>
    <s v="South"/>
    <d v="2024-06-10T00:00:00"/>
    <s v="Service Quality"/>
    <n v="88313.59"/>
    <n v="25087.17"/>
    <x v="0"/>
    <s v="Marta Lopez"/>
    <s v="Resolved"/>
    <n v="356"/>
    <d v="2024-09-26T00:00:00"/>
    <n v="108"/>
    <s v="Full Credit"/>
    <n v="25087.17"/>
  </r>
  <r>
    <s v="DIS-0412"/>
    <s v="INV-1412"/>
    <s v="VND-016"/>
    <s v="MetalWorks Corp"/>
    <s v="Materials"/>
    <s v="South"/>
    <d v="2025-01-03T00:00:00"/>
    <s v="Duplicate Invoice"/>
    <n v="48313"/>
    <n v="21268.17"/>
    <x v="1"/>
    <s v="Sofia Ruiz"/>
    <s v="Resolved"/>
    <n v="149"/>
    <d v="2025-05-01T00:00:00"/>
    <n v="118"/>
    <s v="Partial Credit"/>
    <n v="13825.79"/>
  </r>
  <r>
    <s v="DIS-0413"/>
    <s v="INV-1413"/>
    <s v="VND-016"/>
    <s v="MetalWorks Corp"/>
    <s v="Materials"/>
    <s v="South"/>
    <d v="2025-03-08T00:00:00"/>
    <s v="Damaged Goods"/>
    <n v="95068.01"/>
    <n v="70222.37"/>
    <x v="1"/>
    <s v="Luis Herrera"/>
    <s v="Escalated"/>
    <n v="85"/>
    <d v="2025-03-27T00:00:00"/>
    <n v="19"/>
    <s v="Full Credit"/>
    <n v="70222.37"/>
  </r>
  <r>
    <s v="DIS-0414"/>
    <s v="INV-1414"/>
    <s v="VND-016"/>
    <s v="MetalWorks Corp"/>
    <s v="Materials"/>
    <s v="South"/>
    <d v="2025-05-20T00:00:00"/>
    <s v="Contract Terms"/>
    <n v="61020.82"/>
    <n v="10784.73"/>
    <x v="1"/>
    <s v="Ana Torres"/>
    <s v="In Progress"/>
    <n v="12"/>
    <m/>
    <m/>
    <s v="Pending"/>
    <n v="0"/>
  </r>
  <r>
    <s v="DIS-0415"/>
    <s v="INV-1415"/>
    <s v="VND-016"/>
    <s v="MetalWorks Corp"/>
    <s v="Materials"/>
    <s v="South"/>
    <d v="2024-07-08T00:00:00"/>
    <s v="Price Discrepancy"/>
    <n v="29299.97"/>
    <n v="13215.75"/>
    <x v="0"/>
    <s v="Carlos Mendez"/>
    <s v="Escalated"/>
    <n v="328"/>
    <d v="2024-07-13T00:00:00"/>
    <n v="5"/>
    <s v="Full Credit"/>
    <n v="13215.75"/>
  </r>
  <r>
    <s v="DIS-0416"/>
    <s v="INV-1416"/>
    <s v="VND-016"/>
    <s v="MetalWorks Corp"/>
    <s v="Materials"/>
    <s v="South"/>
    <d v="2025-04-02T00:00:00"/>
    <s v="Duplicate Invoice"/>
    <n v="44593.68"/>
    <n v="14947.37"/>
    <x v="1"/>
    <s v="Sofia Ruiz"/>
    <s v="In Progress"/>
    <n v="60"/>
    <m/>
    <m/>
    <s v="Pending"/>
    <n v="0"/>
  </r>
  <r>
    <s v="DIS-0417"/>
    <s v="INV-1417"/>
    <s v="VND-016"/>
    <s v="MetalWorks Corp"/>
    <s v="Materials"/>
    <s v="South"/>
    <d v="2024-06-14T00:00:00"/>
    <s v="Contract Terms"/>
    <n v="64879.58"/>
    <n v="17896.21"/>
    <x v="3"/>
    <s v="Marta Lopez"/>
    <s v="Resolved"/>
    <n v="352"/>
    <d v="2024-09-14T00:00:00"/>
    <n v="92"/>
    <s v="Full Credit"/>
    <n v="17896.21"/>
  </r>
  <r>
    <s v="DIS-0418"/>
    <s v="INV-1418"/>
    <s v="VND-016"/>
    <s v="MetalWorks Corp"/>
    <s v="Materials"/>
    <s v="South"/>
    <d v="2025-04-08T00:00:00"/>
    <s v="Price Discrepancy"/>
    <n v="53600.55"/>
    <n v="27511.74"/>
    <x v="1"/>
    <s v="Juan Vargas"/>
    <s v="In Progress"/>
    <n v="54"/>
    <m/>
    <m/>
    <s v="Pending"/>
    <n v="0"/>
  </r>
  <r>
    <s v="DIS-0419"/>
    <s v="INV-1419"/>
    <s v="VND-016"/>
    <s v="MetalWorks Corp"/>
    <s v="Materials"/>
    <s v="South"/>
    <d v="2025-02-18T00:00:00"/>
    <s v="Missing Goods"/>
    <n v="78906.100000000006"/>
    <n v="53153.05"/>
    <x v="2"/>
    <s v="Valeria Moreno"/>
    <s v="Resolved"/>
    <n v="103"/>
    <d v="2025-02-26T00:00:00"/>
    <n v="8"/>
    <s v="Partial Credit"/>
    <n v="39663.550000000003"/>
  </r>
  <r>
    <s v="DIS-0420"/>
    <s v="INV-1420"/>
    <s v="VND-016"/>
    <s v="MetalWorks Corp"/>
    <s v="Materials"/>
    <s v="South"/>
    <d v="2024-06-13T00:00:00"/>
    <s v="Contract Terms"/>
    <n v="93646.81"/>
    <n v="27902.32"/>
    <x v="0"/>
    <s v="Carlos Mendez"/>
    <s v="Closed"/>
    <n v="353"/>
    <d v="2024-09-30T00:00:00"/>
    <n v="109"/>
    <s v="Partial Credit"/>
    <n v="13852.45"/>
  </r>
  <r>
    <s v="DIS-0421"/>
    <s v="INV-1421"/>
    <s v="VND-016"/>
    <s v="MetalWorks Corp"/>
    <s v="Materials"/>
    <s v="South"/>
    <d v="2025-04-15T00:00:00"/>
    <s v="Missing Goods"/>
    <n v="79054.990000000005"/>
    <n v="8402.4500000000007"/>
    <x v="3"/>
    <s v="Luis Herrera"/>
    <s v="Resolved"/>
    <n v="47"/>
    <d v="2025-05-06T00:00:00"/>
    <n v="21"/>
    <s v="Full Credit"/>
    <n v="8402.4500000000007"/>
  </r>
  <r>
    <s v="DIS-0422"/>
    <s v="INV-1422"/>
    <s v="VND-016"/>
    <s v="MetalWorks Corp"/>
    <s v="Materials"/>
    <s v="South"/>
    <d v="2025-05-06T00:00:00"/>
    <s v="Missing Goods"/>
    <n v="14481.85"/>
    <n v="2621.6"/>
    <x v="0"/>
    <s v="Diego Castillo"/>
    <s v="Escalated"/>
    <n v="26"/>
    <d v="2025-05-19T00:00:00"/>
    <n v="13"/>
    <s v="Partial Credit"/>
    <n v="706.63"/>
  </r>
  <r>
    <s v="DIS-0423"/>
    <s v="INV-1423"/>
    <s v="VND-016"/>
    <s v="MetalWorks Corp"/>
    <s v="Materials"/>
    <s v="South"/>
    <d v="2025-05-08T00:00:00"/>
    <s v="Missing Goods"/>
    <n v="5918.87"/>
    <n v="910.3"/>
    <x v="1"/>
    <s v="Diego Castillo"/>
    <s v="Escalated"/>
    <n v="24"/>
    <d v="2025-05-30T00:00:00"/>
    <n v="22"/>
    <s v="Full Credit"/>
    <n v="910.3"/>
  </r>
  <r>
    <s v="DIS-0424"/>
    <s v="INV-1424"/>
    <s v="VND-016"/>
    <s v="MetalWorks Corp"/>
    <s v="Materials"/>
    <s v="South"/>
    <d v="2025-04-14T00:00:00"/>
    <s v="Duplicate Invoice"/>
    <n v="40399.1"/>
    <n v="12404.22"/>
    <x v="0"/>
    <s v="Juan Vargas"/>
    <s v="In Progress"/>
    <n v="48"/>
    <m/>
    <m/>
    <s v="Pending"/>
    <n v="0"/>
  </r>
  <r>
    <s v="DIS-0425"/>
    <s v="INV-1425"/>
    <s v="VND-016"/>
    <s v="MetalWorks Corp"/>
    <s v="Materials"/>
    <s v="South"/>
    <d v="2024-11-15T00:00:00"/>
    <s v="Damaged Goods"/>
    <n v="70540.73"/>
    <n v="28828.85"/>
    <x v="1"/>
    <s v="Carlos Mendez"/>
    <s v="Resolved"/>
    <n v="198"/>
    <d v="2025-02-18T00:00:00"/>
    <n v="95"/>
    <s v="Full Credit"/>
    <n v="28828.85"/>
  </r>
  <r>
    <s v="DIS-0426"/>
    <s v="INV-1426"/>
    <s v="VND-016"/>
    <s v="MetalWorks Corp"/>
    <s v="Materials"/>
    <s v="South"/>
    <d v="2025-03-11T00:00:00"/>
    <s v="Service Quality"/>
    <n v="14852.75"/>
    <n v="10893.3"/>
    <x v="1"/>
    <s v="Juan Vargas"/>
    <s v="In Progress"/>
    <n v="82"/>
    <m/>
    <m/>
    <s v="Pending"/>
    <n v="0"/>
  </r>
  <r>
    <s v="DIS-0427"/>
    <s v="INV-1427"/>
    <s v="VND-016"/>
    <s v="MetalWorks Corp"/>
    <s v="Materials"/>
    <s v="South"/>
    <d v="2024-11-18T00:00:00"/>
    <s v="Contract Terms"/>
    <n v="79020.61"/>
    <n v="40183.47"/>
    <x v="3"/>
    <s v="Sofia Ruiz"/>
    <s v="Resolved"/>
    <n v="195"/>
    <d v="2025-01-22T00:00:00"/>
    <n v="65"/>
    <s v="Full Credit"/>
    <n v="40183.47"/>
  </r>
  <r>
    <s v="DIS-0428"/>
    <s v="INV-1428"/>
    <s v="VND-016"/>
    <s v="MetalWorks Corp"/>
    <s v="Materials"/>
    <s v="South"/>
    <d v="2024-11-02T00:00:00"/>
    <s v="Price Discrepancy"/>
    <n v="46865.35"/>
    <n v="4569.47"/>
    <x v="3"/>
    <s v="Luis Herrera"/>
    <s v="Closed"/>
    <n v="211"/>
    <d v="2025-01-29T00:00:00"/>
    <n v="88"/>
    <s v="No Action"/>
    <n v="0"/>
  </r>
  <r>
    <s v="DIS-0429"/>
    <s v="INV-1429"/>
    <s v="VND-016"/>
    <s v="MetalWorks Corp"/>
    <s v="Materials"/>
    <s v="South"/>
    <d v="2024-09-08T00:00:00"/>
    <s v="Contract Terms"/>
    <n v="54694.8"/>
    <n v="31473.31"/>
    <x v="0"/>
    <s v="Luis Herrera"/>
    <s v="Resolved"/>
    <n v="266"/>
    <d v="2024-12-04T00:00:00"/>
    <n v="87"/>
    <s v="Payment Adjusted"/>
    <n v="7992.67"/>
  </r>
  <r>
    <s v="DIS-0430"/>
    <s v="INV-1430"/>
    <s v="VND-016"/>
    <s v="MetalWorks Corp"/>
    <s v="Materials"/>
    <s v="South"/>
    <d v="2024-08-19T00:00:00"/>
    <s v="Damaged Goods"/>
    <n v="89745.88"/>
    <n v="45742.17"/>
    <x v="0"/>
    <s v="Juan Vargas"/>
    <s v="Closed"/>
    <n v="286"/>
    <d v="2024-12-11T00:00:00"/>
    <n v="114"/>
    <s v="Full Credit"/>
    <n v="45742.17"/>
  </r>
  <r>
    <s v="DIS-0431"/>
    <s v="INV-1431"/>
    <s v="VND-016"/>
    <s v="MetalWorks Corp"/>
    <s v="Materials"/>
    <s v="South"/>
    <d v="2024-09-22T00:00:00"/>
    <s v="Service Quality"/>
    <n v="35460.21"/>
    <n v="10573.21"/>
    <x v="1"/>
    <s v="Luis Herrera"/>
    <s v="Resolved"/>
    <n v="252"/>
    <d v="2024-11-12T00:00:00"/>
    <n v="51"/>
    <s v="Partial Credit"/>
    <n v="3605.46"/>
  </r>
  <r>
    <s v="DIS-0432"/>
    <s v="INV-1432"/>
    <s v="VND-016"/>
    <s v="MetalWorks Corp"/>
    <s v="Materials"/>
    <s v="South"/>
    <d v="2024-10-08T00:00:00"/>
    <s v="Duplicate Invoice"/>
    <n v="47197.94"/>
    <n v="22644.45"/>
    <x v="0"/>
    <s v="Juan Vargas"/>
    <s v="Resolved"/>
    <n v="236"/>
    <d v="2024-12-13T00:00:00"/>
    <n v="66"/>
    <s v="Payment Adjusted"/>
    <n v="2425.39"/>
  </r>
  <r>
    <s v="DIS-0433"/>
    <s v="INV-1433"/>
    <s v="VND-016"/>
    <s v="MetalWorks Corp"/>
    <s v="Materials"/>
    <s v="South"/>
    <d v="2024-11-06T00:00:00"/>
    <s v="Price Discrepancy"/>
    <n v="44172.160000000003"/>
    <n v="20665.87"/>
    <x v="0"/>
    <s v="Marta Lopez"/>
    <s v="Closed"/>
    <n v="207"/>
    <d v="2025-01-19T00:00:00"/>
    <n v="74"/>
    <s v="Full Credit"/>
    <n v="20665.87"/>
  </r>
  <r>
    <s v="DIS-0434"/>
    <s v="INV-1434"/>
    <s v="VND-016"/>
    <s v="MetalWorks Corp"/>
    <s v="Materials"/>
    <s v="South"/>
    <d v="2024-06-22T00:00:00"/>
    <s v="Damaged Goods"/>
    <n v="48339.75"/>
    <n v="14774.59"/>
    <x v="3"/>
    <s v="Juan Vargas"/>
    <s v="Resolved"/>
    <n v="344"/>
    <d v="2024-10-01T00:00:00"/>
    <n v="101"/>
    <s v="Partial Credit"/>
    <n v="7149.13"/>
  </r>
  <r>
    <s v="DIS-0435"/>
    <s v="INV-1435"/>
    <s v="VND-016"/>
    <s v="MetalWorks Corp"/>
    <s v="Materials"/>
    <s v="South"/>
    <d v="2024-06-29T00:00:00"/>
    <s v="Contract Terms"/>
    <n v="39512.980000000003"/>
    <n v="15386.33"/>
    <x v="0"/>
    <s v="Luis Herrera"/>
    <s v="Open"/>
    <n v="337"/>
    <m/>
    <m/>
    <s v="Pending"/>
    <n v="0"/>
  </r>
  <r>
    <s v="DIS-0436"/>
    <s v="INV-1436"/>
    <s v="VND-016"/>
    <s v="MetalWorks Corp"/>
    <s v="Materials"/>
    <s v="South"/>
    <d v="2024-12-01T00:00:00"/>
    <s v="Service Quality"/>
    <n v="83838.97"/>
    <n v="64834.79"/>
    <x v="1"/>
    <s v="Diego Castillo"/>
    <s v="Escalated"/>
    <n v="182"/>
    <d v="2024-12-09T00:00:00"/>
    <n v="8"/>
    <s v="No Action"/>
    <n v="0"/>
  </r>
  <r>
    <s v="DIS-0437"/>
    <s v="INV-1437"/>
    <s v="VND-016"/>
    <s v="MetalWorks Corp"/>
    <s v="Materials"/>
    <s v="South"/>
    <d v="2024-09-21T00:00:00"/>
    <s v="Price Discrepancy"/>
    <n v="18342.669999999998"/>
    <n v="10778.92"/>
    <x v="3"/>
    <s v="Marta Lopez"/>
    <s v="Resolved"/>
    <n v="253"/>
    <d v="2024-10-18T00:00:00"/>
    <n v="27"/>
    <s v="Full Credit"/>
    <n v="10778.92"/>
  </r>
  <r>
    <s v="DIS-0438"/>
    <s v="INV-1438"/>
    <s v="VND-017"/>
    <s v="NetSystems Ltd"/>
    <s v="IT"/>
    <s v="West"/>
    <d v="2024-10-09T00:00:00"/>
    <s v="Duplicate Invoice"/>
    <n v="83332.639999999999"/>
    <n v="16077.71"/>
    <x v="1"/>
    <s v="Ana Torres"/>
    <s v="Closed"/>
    <n v="235"/>
    <d v="2025-01-27T00:00:00"/>
    <n v="110"/>
    <s v="Payment Adjusted"/>
    <n v="2400.1999999999998"/>
  </r>
  <r>
    <s v="DIS-0439"/>
    <s v="INV-1439"/>
    <s v="VND-017"/>
    <s v="NetSystems Ltd"/>
    <s v="IT"/>
    <s v="West"/>
    <d v="2024-10-13T00:00:00"/>
    <s v="Duplicate Invoice"/>
    <n v="48451.85"/>
    <n v="23837.69"/>
    <x v="1"/>
    <s v="Ana Torres"/>
    <s v="Resolved"/>
    <n v="231"/>
    <d v="2024-10-22T00:00:00"/>
    <n v="9"/>
    <s v="Partial Credit"/>
    <n v="10957.86"/>
  </r>
  <r>
    <s v="DIS-0440"/>
    <s v="INV-1440"/>
    <s v="VND-017"/>
    <s v="NetSystems Ltd"/>
    <s v="IT"/>
    <s v="West"/>
    <d v="2024-08-05T00:00:00"/>
    <s v="Damaged Goods"/>
    <n v="50878.54"/>
    <n v="21941.35"/>
    <x v="2"/>
    <s v="Sofia Ruiz"/>
    <s v="Escalated"/>
    <n v="300"/>
    <d v="2024-08-24T00:00:00"/>
    <n v="19"/>
    <s v="Full Credit"/>
    <n v="21941.35"/>
  </r>
  <r>
    <s v="DIS-0441"/>
    <s v="INV-1441"/>
    <s v="VND-017"/>
    <s v="NetSystems Ltd"/>
    <s v="IT"/>
    <s v="West"/>
    <d v="2024-06-29T00:00:00"/>
    <s v="Duplicate Invoice"/>
    <n v="62051.87"/>
    <n v="44182.29"/>
    <x v="1"/>
    <s v="Valeria Moreno"/>
    <s v="Closed"/>
    <n v="337"/>
    <d v="2024-10-27T00:00:00"/>
    <n v="120"/>
    <s v="Payment Adjusted"/>
    <n v="8805.33"/>
  </r>
  <r>
    <s v="DIS-0442"/>
    <s v="INV-1442"/>
    <s v="VND-017"/>
    <s v="NetSystems Ltd"/>
    <s v="IT"/>
    <s v="West"/>
    <d v="2024-11-09T00:00:00"/>
    <s v="Damaged Goods"/>
    <n v="96541.39"/>
    <n v="75096.53"/>
    <x v="1"/>
    <s v="Sofia Ruiz"/>
    <s v="Resolved"/>
    <n v="204"/>
    <d v="2025-02-09T00:00:00"/>
    <n v="92"/>
    <s v="No Action"/>
    <n v="0"/>
  </r>
  <r>
    <s v="DIS-0443"/>
    <s v="INV-1443"/>
    <s v="VND-017"/>
    <s v="NetSystems Ltd"/>
    <s v="IT"/>
    <s v="West"/>
    <d v="2024-09-11T00:00:00"/>
    <s v="Contract Terms"/>
    <n v="33396.75"/>
    <n v="19240.560000000001"/>
    <x v="3"/>
    <s v="Luis Herrera"/>
    <s v="Resolved"/>
    <n v="263"/>
    <d v="2024-12-02T00:00:00"/>
    <n v="82"/>
    <s v="Payment Adjusted"/>
    <n v="7208.37"/>
  </r>
  <r>
    <s v="DIS-0444"/>
    <s v="INV-1444"/>
    <s v="VND-017"/>
    <s v="NetSystems Ltd"/>
    <s v="IT"/>
    <s v="West"/>
    <d v="2024-06-21T00:00:00"/>
    <s v="Damaged Goods"/>
    <n v="17603.810000000001"/>
    <n v="10259.450000000001"/>
    <x v="2"/>
    <s v="Diego Castillo"/>
    <s v="Escalated"/>
    <n v="345"/>
    <d v="2024-09-29T00:00:00"/>
    <n v="100"/>
    <s v="Full Credit"/>
    <n v="10259.450000000001"/>
  </r>
  <r>
    <s v="DIS-0445"/>
    <s v="INV-1445"/>
    <s v="VND-017"/>
    <s v="NetSystems Ltd"/>
    <s v="IT"/>
    <s v="West"/>
    <d v="2024-09-28T00:00:00"/>
    <s v="Contract Terms"/>
    <n v="60366.6"/>
    <n v="45697.83"/>
    <x v="3"/>
    <s v="Marta Lopez"/>
    <s v="Closed"/>
    <n v="246"/>
    <d v="2024-11-24T00:00:00"/>
    <n v="57"/>
    <s v="No Action"/>
    <n v="0"/>
  </r>
  <r>
    <s v="DIS-0446"/>
    <s v="INV-1446"/>
    <s v="VND-017"/>
    <s v="NetSystems Ltd"/>
    <s v="IT"/>
    <s v="West"/>
    <d v="2024-09-06T00:00:00"/>
    <s v="Price Discrepancy"/>
    <n v="15114.69"/>
    <n v="5073.29"/>
    <x v="0"/>
    <s v="Luis Herrera"/>
    <s v="Resolved"/>
    <n v="268"/>
    <d v="2024-12-18T00:00:00"/>
    <n v="103"/>
    <s v="Full Credit"/>
    <n v="5073.29"/>
  </r>
  <r>
    <s v="DIS-0447"/>
    <s v="INV-1447"/>
    <s v="VND-017"/>
    <s v="NetSystems Ltd"/>
    <s v="IT"/>
    <s v="West"/>
    <d v="2025-01-05T00:00:00"/>
    <s v="Missing Goods"/>
    <n v="69922.080000000002"/>
    <n v="11175.04"/>
    <x v="0"/>
    <s v="Luis Herrera"/>
    <s v="Escalated"/>
    <n v="147"/>
    <d v="2025-01-12T00:00:00"/>
    <n v="7"/>
    <s v="Full Credit"/>
    <n v="11175.04"/>
  </r>
  <r>
    <s v="DIS-0448"/>
    <s v="INV-1448"/>
    <s v="VND-017"/>
    <s v="NetSystems Ltd"/>
    <s v="IT"/>
    <s v="West"/>
    <d v="2024-10-12T00:00:00"/>
    <s v="Damaged Goods"/>
    <n v="14735.6"/>
    <n v="10330.049999999999"/>
    <x v="3"/>
    <s v="Valeria Moreno"/>
    <s v="Resolved"/>
    <n v="232"/>
    <d v="2025-01-23T00:00:00"/>
    <n v="103"/>
    <s v="Payment Adjusted"/>
    <n v="3909.42"/>
  </r>
  <r>
    <s v="DIS-0449"/>
    <s v="INV-1449"/>
    <s v="VND-017"/>
    <s v="NetSystems Ltd"/>
    <s v="IT"/>
    <s v="West"/>
    <d v="2024-06-11T00:00:00"/>
    <s v="Contract Terms"/>
    <n v="68126.89"/>
    <n v="50745.24"/>
    <x v="1"/>
    <s v="Diego Castillo"/>
    <s v="Closed"/>
    <n v="355"/>
    <d v="2024-06-20T00:00:00"/>
    <n v="9"/>
    <s v="Full Credit"/>
    <n v="50745.24"/>
  </r>
  <r>
    <s v="DIS-0450"/>
    <s v="INV-1450"/>
    <s v="VND-017"/>
    <s v="NetSystems Ltd"/>
    <s v="IT"/>
    <s v="West"/>
    <d v="2025-01-23T00:00:00"/>
    <s v="Duplicate Invoice"/>
    <n v="24293.29"/>
    <n v="17045.080000000002"/>
    <x v="3"/>
    <s v="Luis Herrera"/>
    <s v="Closed"/>
    <n v="129"/>
    <d v="2025-04-26T00:00:00"/>
    <n v="93"/>
    <s v="Payment Adjusted"/>
    <n v="4211.78"/>
  </r>
  <r>
    <s v="DIS-0451"/>
    <s v="INV-1451"/>
    <s v="VND-017"/>
    <s v="NetSystems Ltd"/>
    <s v="IT"/>
    <s v="West"/>
    <d v="2024-08-03T00:00:00"/>
    <s v="Damaged Goods"/>
    <n v="56928.44"/>
    <n v="28608.83"/>
    <x v="3"/>
    <s v="Marta Lopez"/>
    <s v="Resolved"/>
    <n v="302"/>
    <d v="2024-11-01T00:00:00"/>
    <n v="90"/>
    <s v="Full Credit"/>
    <n v="28608.83"/>
  </r>
  <r>
    <s v="DIS-0452"/>
    <s v="INV-1452"/>
    <s v="VND-017"/>
    <s v="NetSystems Ltd"/>
    <s v="IT"/>
    <s v="West"/>
    <d v="2025-03-04T00:00:00"/>
    <s v="Missing Goods"/>
    <n v="74832.55"/>
    <n v="10440.290000000001"/>
    <x v="0"/>
    <s v="Marta Lopez"/>
    <s v="Open"/>
    <n v="89"/>
    <m/>
    <m/>
    <s v="Pending"/>
    <n v="0"/>
  </r>
  <r>
    <s v="DIS-0453"/>
    <s v="INV-1453"/>
    <s v="VND-017"/>
    <s v="NetSystems Ltd"/>
    <s v="IT"/>
    <s v="West"/>
    <d v="2024-08-05T00:00:00"/>
    <s v="Damaged Goods"/>
    <n v="85371.35"/>
    <n v="4630.0200000000004"/>
    <x v="1"/>
    <s v="Ana Torres"/>
    <s v="Resolved"/>
    <n v="300"/>
    <d v="2024-09-18T00:00:00"/>
    <n v="44"/>
    <s v="Partial Credit"/>
    <n v="3075.24"/>
  </r>
  <r>
    <s v="DIS-0454"/>
    <s v="INV-1454"/>
    <s v="VND-017"/>
    <s v="NetSystems Ltd"/>
    <s v="IT"/>
    <s v="West"/>
    <d v="2024-07-15T00:00:00"/>
    <s v="Service Quality"/>
    <n v="63482.82"/>
    <n v="34688.129999999997"/>
    <x v="1"/>
    <s v="Diego Castillo"/>
    <s v="In Progress"/>
    <n v="321"/>
    <m/>
    <m/>
    <s v="Pending"/>
    <n v="0"/>
  </r>
  <r>
    <s v="DIS-0455"/>
    <s v="INV-1455"/>
    <s v="VND-017"/>
    <s v="NetSystems Ltd"/>
    <s v="IT"/>
    <s v="West"/>
    <d v="2024-06-03T00:00:00"/>
    <s v="Price Discrepancy"/>
    <n v="35196.61"/>
    <n v="7566.27"/>
    <x v="0"/>
    <s v="Sofia Ruiz"/>
    <s v="Resolved"/>
    <n v="363"/>
    <d v="2024-08-13T00:00:00"/>
    <n v="71"/>
    <s v="Partial Credit"/>
    <n v="3099.46"/>
  </r>
  <r>
    <s v="DIS-0456"/>
    <s v="INV-1456"/>
    <s v="VND-017"/>
    <s v="NetSystems Ltd"/>
    <s v="IT"/>
    <s v="West"/>
    <d v="2025-02-11T00:00:00"/>
    <s v="Service Quality"/>
    <n v="68016.78"/>
    <n v="20289.400000000001"/>
    <x v="1"/>
    <s v="Juan Vargas"/>
    <s v="Closed"/>
    <n v="110"/>
    <d v="2025-05-30T00:00:00"/>
    <n v="108"/>
    <s v="Payment Adjusted"/>
    <n v="7298.5"/>
  </r>
  <r>
    <s v="DIS-0457"/>
    <s v="INV-1457"/>
    <s v="VND-017"/>
    <s v="NetSystems Ltd"/>
    <s v="IT"/>
    <s v="West"/>
    <d v="2025-04-03T00:00:00"/>
    <s v="Service Quality"/>
    <n v="68549.149999999994"/>
    <n v="26340.04"/>
    <x v="2"/>
    <s v="Luis Herrera"/>
    <s v="Closed"/>
    <n v="59"/>
    <d v="2025-05-19T00:00:00"/>
    <n v="46"/>
    <s v="No Action"/>
    <n v="0"/>
  </r>
  <r>
    <s v="DIS-0458"/>
    <s v="INV-1458"/>
    <s v="VND-017"/>
    <s v="NetSystems Ltd"/>
    <s v="IT"/>
    <s v="West"/>
    <d v="2024-11-17T00:00:00"/>
    <s v="Service Quality"/>
    <n v="92013.58"/>
    <n v="69814.45"/>
    <x v="1"/>
    <s v="Marta Lopez"/>
    <s v="Open"/>
    <n v="196"/>
    <m/>
    <m/>
    <s v="Pending"/>
    <n v="0"/>
  </r>
  <r>
    <s v="DIS-0459"/>
    <s v="INV-1459"/>
    <s v="VND-017"/>
    <s v="NetSystems Ltd"/>
    <s v="IT"/>
    <s v="West"/>
    <d v="2024-09-09T00:00:00"/>
    <s v="Duplicate Invoice"/>
    <n v="83100.36"/>
    <n v="27524.38"/>
    <x v="3"/>
    <s v="Juan Vargas"/>
    <s v="Open"/>
    <n v="265"/>
    <m/>
    <m/>
    <s v="Pending"/>
    <n v="0"/>
  </r>
  <r>
    <s v="DIS-0460"/>
    <s v="INV-1460"/>
    <s v="VND-017"/>
    <s v="NetSystems Ltd"/>
    <s v="IT"/>
    <s v="West"/>
    <d v="2024-07-02T00:00:00"/>
    <s v="Damaged Goods"/>
    <n v="23288.68"/>
    <n v="10140.379999999999"/>
    <x v="2"/>
    <s v="Ana Torres"/>
    <s v="Resolved"/>
    <n v="334"/>
    <d v="2024-07-31T00:00:00"/>
    <n v="29"/>
    <s v="Payment Adjusted"/>
    <n v="4151.8100000000004"/>
  </r>
  <r>
    <s v="DIS-0461"/>
    <s v="INV-1461"/>
    <s v="VND-017"/>
    <s v="NetSystems Ltd"/>
    <s v="IT"/>
    <s v="West"/>
    <d v="2024-06-15T00:00:00"/>
    <s v="Contract Terms"/>
    <n v="45299.9"/>
    <n v="5795.9"/>
    <x v="1"/>
    <s v="Valeria Moreno"/>
    <s v="Resolved"/>
    <n v="351"/>
    <d v="2024-06-27T00:00:00"/>
    <n v="12"/>
    <s v="Payment Adjusted"/>
    <n v="936.05"/>
  </r>
  <r>
    <s v="DIS-0462"/>
    <s v="INV-1462"/>
    <s v="VND-017"/>
    <s v="NetSystems Ltd"/>
    <s v="IT"/>
    <s v="West"/>
    <d v="2024-10-08T00:00:00"/>
    <s v="Damaged Goods"/>
    <n v="73102.490000000005"/>
    <n v="5732.31"/>
    <x v="0"/>
    <s v="Marta Lopez"/>
    <s v="Resolved"/>
    <n v="236"/>
    <d v="2024-12-23T00:00:00"/>
    <n v="76"/>
    <s v="No Action"/>
    <n v="0"/>
  </r>
  <r>
    <s v="DIS-0463"/>
    <s v="INV-1463"/>
    <s v="VND-017"/>
    <s v="NetSystems Ltd"/>
    <s v="IT"/>
    <s v="West"/>
    <d v="2025-01-19T00:00:00"/>
    <s v="Missing Goods"/>
    <n v="43725.11"/>
    <n v="16980.39"/>
    <x v="1"/>
    <s v="Ana Torres"/>
    <s v="Resolved"/>
    <n v="133"/>
    <d v="2025-02-06T00:00:00"/>
    <n v="18"/>
    <s v="Partial Credit"/>
    <n v="9931.0400000000009"/>
  </r>
  <r>
    <s v="DIS-0464"/>
    <s v="INV-1464"/>
    <s v="VND-018"/>
    <s v="SwiftShip SA"/>
    <s v="Logistics"/>
    <s v="Central"/>
    <d v="2024-08-05T00:00:00"/>
    <s v="Service Quality"/>
    <n v="9324.1"/>
    <n v="6398.09"/>
    <x v="1"/>
    <s v="Carlos Mendez"/>
    <s v="Resolved"/>
    <n v="300"/>
    <d v="2024-11-03T00:00:00"/>
    <n v="90"/>
    <s v="Full Credit"/>
    <n v="6398.09"/>
  </r>
  <r>
    <s v="DIS-0465"/>
    <s v="INV-1465"/>
    <s v="VND-018"/>
    <s v="SwiftShip SA"/>
    <s v="Logistics"/>
    <s v="Central"/>
    <d v="2025-04-17T00:00:00"/>
    <s v="Contract Terms"/>
    <n v="31744.16"/>
    <n v="23649.98"/>
    <x v="1"/>
    <s v="Ana Torres"/>
    <s v="Resolved"/>
    <n v="45"/>
    <d v="2025-05-24T00:00:00"/>
    <n v="37"/>
    <s v="Full Credit"/>
    <n v="23649.98"/>
  </r>
  <r>
    <s v="DIS-0466"/>
    <s v="INV-1466"/>
    <s v="VND-018"/>
    <s v="SwiftShip SA"/>
    <s v="Logistics"/>
    <s v="Central"/>
    <d v="2024-11-12T00:00:00"/>
    <s v="Contract Terms"/>
    <n v="80693.19"/>
    <n v="55444.34"/>
    <x v="1"/>
    <s v="Sofia Ruiz"/>
    <s v="Resolved"/>
    <n v="201"/>
    <d v="2025-03-08T00:00:00"/>
    <n v="116"/>
    <s v="No Action"/>
    <n v="0"/>
  </r>
  <r>
    <s v="DIS-0467"/>
    <s v="INV-1467"/>
    <s v="VND-018"/>
    <s v="SwiftShip SA"/>
    <s v="Logistics"/>
    <s v="Central"/>
    <d v="2024-07-04T00:00:00"/>
    <s v="Service Quality"/>
    <n v="40447.4"/>
    <n v="30824.92"/>
    <x v="1"/>
    <s v="Sofia Ruiz"/>
    <s v="Resolved"/>
    <n v="332"/>
    <d v="2024-07-07T00:00:00"/>
    <n v="3"/>
    <s v="Partial Credit"/>
    <n v="13453.51"/>
  </r>
  <r>
    <s v="DIS-0468"/>
    <s v="INV-1468"/>
    <s v="VND-018"/>
    <s v="SwiftShip SA"/>
    <s v="Logistics"/>
    <s v="Central"/>
    <d v="2024-08-24T00:00:00"/>
    <s v="Contract Terms"/>
    <n v="94963.04"/>
    <n v="26448.95"/>
    <x v="3"/>
    <s v="Diego Castillo"/>
    <s v="Resolved"/>
    <n v="281"/>
    <d v="2024-12-20T00:00:00"/>
    <n v="118"/>
    <s v="Partial Credit"/>
    <n v="13423.68"/>
  </r>
  <r>
    <s v="DIS-0469"/>
    <s v="INV-1469"/>
    <s v="VND-018"/>
    <s v="SwiftShip SA"/>
    <s v="Logistics"/>
    <s v="Central"/>
    <d v="2025-03-10T00:00:00"/>
    <s v="Price Discrepancy"/>
    <n v="22479.31"/>
    <n v="11524.33"/>
    <x v="1"/>
    <s v="Sofia Ruiz"/>
    <s v="Resolved"/>
    <n v="83"/>
    <d v="2025-05-24T00:00:00"/>
    <n v="75"/>
    <s v="No Action"/>
    <n v="0"/>
  </r>
  <r>
    <s v="DIS-0470"/>
    <s v="INV-1470"/>
    <s v="VND-018"/>
    <s v="SwiftShip SA"/>
    <s v="Logistics"/>
    <s v="Central"/>
    <d v="2024-08-23T00:00:00"/>
    <s v="Price Discrepancy"/>
    <n v="48820.19"/>
    <n v="22567.06"/>
    <x v="1"/>
    <s v="Marta Lopez"/>
    <s v="In Progress"/>
    <n v="282"/>
    <m/>
    <m/>
    <s v="Pending"/>
    <n v="0"/>
  </r>
  <r>
    <s v="DIS-0471"/>
    <s v="INV-1471"/>
    <s v="VND-018"/>
    <s v="SwiftShip SA"/>
    <s v="Logistics"/>
    <s v="Central"/>
    <d v="2024-08-07T00:00:00"/>
    <s v="Contract Terms"/>
    <n v="51283.09"/>
    <n v="15289.45"/>
    <x v="0"/>
    <s v="Luis Herrera"/>
    <s v="Resolved"/>
    <n v="298"/>
    <d v="2024-10-28T00:00:00"/>
    <n v="82"/>
    <s v="Full Credit"/>
    <n v="15289.45"/>
  </r>
  <r>
    <s v="DIS-0472"/>
    <s v="INV-1472"/>
    <s v="VND-018"/>
    <s v="SwiftShip SA"/>
    <s v="Logistics"/>
    <s v="Central"/>
    <d v="2025-02-21T00:00:00"/>
    <s v="Missing Goods"/>
    <n v="35189.660000000003"/>
    <n v="13653.04"/>
    <x v="1"/>
    <s v="Sofia Ruiz"/>
    <s v="Resolved"/>
    <n v="100"/>
    <d v="2025-04-11T00:00:00"/>
    <n v="49"/>
    <s v="No Action"/>
    <n v="0"/>
  </r>
  <r>
    <s v="DIS-0473"/>
    <s v="INV-1473"/>
    <s v="VND-018"/>
    <s v="SwiftShip SA"/>
    <s v="Logistics"/>
    <s v="Central"/>
    <d v="2024-10-24T00:00:00"/>
    <s v="Contract Terms"/>
    <n v="21020.75"/>
    <n v="5989.04"/>
    <x v="3"/>
    <s v="Valeria Moreno"/>
    <s v="Resolved"/>
    <n v="220"/>
    <d v="2024-12-12T00:00:00"/>
    <n v="49"/>
    <s v="Full Credit"/>
    <n v="5989.04"/>
  </r>
  <r>
    <s v="DIS-0474"/>
    <s v="INV-1474"/>
    <s v="VND-018"/>
    <s v="SwiftShip SA"/>
    <s v="Logistics"/>
    <s v="Central"/>
    <d v="2024-12-13T00:00:00"/>
    <s v="Missing Goods"/>
    <n v="88399.15"/>
    <n v="35106.51"/>
    <x v="1"/>
    <s v="Juan Vargas"/>
    <s v="Resolved"/>
    <n v="170"/>
    <d v="2025-01-07T00:00:00"/>
    <n v="25"/>
    <s v="Partial Credit"/>
    <n v="8747.99"/>
  </r>
  <r>
    <s v="DIS-0475"/>
    <s v="INV-1475"/>
    <s v="VND-018"/>
    <s v="SwiftShip SA"/>
    <s v="Logistics"/>
    <s v="Central"/>
    <d v="2025-01-08T00:00:00"/>
    <s v="Missing Goods"/>
    <n v="86577.8"/>
    <n v="13419.67"/>
    <x v="1"/>
    <s v="Carlos Mendez"/>
    <s v="Escalated"/>
    <n v="144"/>
    <d v="2025-05-05T00:00:00"/>
    <n v="117"/>
    <s v="Full Credit"/>
    <n v="13419.67"/>
  </r>
  <r>
    <s v="DIS-0476"/>
    <s v="INV-1476"/>
    <s v="VND-018"/>
    <s v="SwiftShip SA"/>
    <s v="Logistics"/>
    <s v="Central"/>
    <d v="2024-09-14T00:00:00"/>
    <s v="Service Quality"/>
    <n v="65004.52"/>
    <n v="42869.3"/>
    <x v="1"/>
    <s v="Luis Herrera"/>
    <s v="Closed"/>
    <n v="260"/>
    <d v="2024-11-26T00:00:00"/>
    <n v="73"/>
    <s v="Full Credit"/>
    <n v="42869.3"/>
  </r>
  <r>
    <s v="DIS-0477"/>
    <s v="INV-1477"/>
    <s v="VND-018"/>
    <s v="SwiftShip SA"/>
    <s v="Logistics"/>
    <s v="Central"/>
    <d v="2024-08-28T00:00:00"/>
    <s v="Damaged Goods"/>
    <n v="49849.88"/>
    <n v="31475.11"/>
    <x v="1"/>
    <s v="Marta Lopez"/>
    <s v="Resolved"/>
    <n v="277"/>
    <d v="2024-11-03T00:00:00"/>
    <n v="67"/>
    <s v="Partial Credit"/>
    <n v="13788.34"/>
  </r>
  <r>
    <s v="DIS-0478"/>
    <s v="INV-1478"/>
    <s v="VND-018"/>
    <s v="SwiftShip SA"/>
    <s v="Logistics"/>
    <s v="Central"/>
    <d v="2024-09-16T00:00:00"/>
    <s v="Service Quality"/>
    <n v="6006.21"/>
    <n v="1376.39"/>
    <x v="2"/>
    <s v="Sofia Ruiz"/>
    <s v="Escalated"/>
    <n v="258"/>
    <d v="2024-10-06T00:00:00"/>
    <n v="20"/>
    <s v="Partial Credit"/>
    <n v="423.22"/>
  </r>
  <r>
    <s v="DIS-0479"/>
    <s v="INV-1479"/>
    <s v="VND-018"/>
    <s v="SwiftShip SA"/>
    <s v="Logistics"/>
    <s v="Central"/>
    <d v="2024-08-15T00:00:00"/>
    <s v="Duplicate Invoice"/>
    <n v="67644.259999999995"/>
    <n v="52478.53"/>
    <x v="3"/>
    <s v="Diego Castillo"/>
    <s v="Open"/>
    <n v="290"/>
    <m/>
    <m/>
    <s v="Pending"/>
    <n v="0"/>
  </r>
  <r>
    <s v="DIS-0480"/>
    <s v="INV-1480"/>
    <s v="VND-018"/>
    <s v="SwiftShip SA"/>
    <s v="Logistics"/>
    <s v="Central"/>
    <d v="2024-09-24T00:00:00"/>
    <s v="Contract Terms"/>
    <n v="27016.240000000002"/>
    <n v="6707.26"/>
    <x v="0"/>
    <s v="Luis Herrera"/>
    <s v="Resolved"/>
    <n v="250"/>
    <d v="2025-01-06T00:00:00"/>
    <n v="104"/>
    <s v="Full Credit"/>
    <n v="6707.26"/>
  </r>
  <r>
    <s v="DIS-0481"/>
    <s v="INV-1481"/>
    <s v="VND-018"/>
    <s v="SwiftShip SA"/>
    <s v="Logistics"/>
    <s v="Central"/>
    <d v="2024-10-03T00:00:00"/>
    <s v="Contract Terms"/>
    <n v="92200.68"/>
    <n v="65569.8"/>
    <x v="0"/>
    <s v="Diego Castillo"/>
    <s v="Resolved"/>
    <n v="241"/>
    <d v="2024-12-11T00:00:00"/>
    <n v="69"/>
    <s v="Partial Credit"/>
    <n v="23873.78"/>
  </r>
  <r>
    <s v="DIS-0482"/>
    <s v="INV-1482"/>
    <s v="VND-018"/>
    <s v="SwiftShip SA"/>
    <s v="Logistics"/>
    <s v="Central"/>
    <d v="2025-01-17T00:00:00"/>
    <s v="Duplicate Invoice"/>
    <n v="59969.99"/>
    <n v="28642.87"/>
    <x v="1"/>
    <s v="Diego Castillo"/>
    <s v="Resolved"/>
    <n v="135"/>
    <d v="2025-05-14T00:00:00"/>
    <n v="117"/>
    <s v="No Action"/>
    <n v="0"/>
  </r>
  <r>
    <s v="DIS-0483"/>
    <s v="INV-1483"/>
    <s v="VND-018"/>
    <s v="SwiftShip SA"/>
    <s v="Logistics"/>
    <s v="Central"/>
    <d v="2024-09-09T00:00:00"/>
    <s v="Duplicate Invoice"/>
    <n v="28900.71"/>
    <n v="22528.26"/>
    <x v="0"/>
    <s v="Diego Castillo"/>
    <s v="Closed"/>
    <n v="265"/>
    <d v="2024-10-26T00:00:00"/>
    <n v="47"/>
    <s v="Partial Credit"/>
    <n v="11022.31"/>
  </r>
  <r>
    <s v="DIS-0484"/>
    <s v="INV-1484"/>
    <s v="VND-018"/>
    <s v="SwiftShip SA"/>
    <s v="Logistics"/>
    <s v="Central"/>
    <d v="2024-07-26T00:00:00"/>
    <s v="Damaged Goods"/>
    <n v="5626.78"/>
    <n v="4003.6"/>
    <x v="1"/>
    <s v="Carlos Mendez"/>
    <s v="Resolved"/>
    <n v="310"/>
    <d v="2024-09-02T00:00:00"/>
    <n v="38"/>
    <s v="Full Credit"/>
    <n v="4003.6"/>
  </r>
  <r>
    <s v="DIS-0485"/>
    <s v="INV-1485"/>
    <s v="VND-018"/>
    <s v="SwiftShip SA"/>
    <s v="Logistics"/>
    <s v="Central"/>
    <d v="2025-02-25T00:00:00"/>
    <s v="Contract Terms"/>
    <n v="19948.95"/>
    <n v="10004.700000000001"/>
    <x v="3"/>
    <s v="Luis Herrera"/>
    <s v="Resolved"/>
    <n v="96"/>
    <d v="2025-04-11T00:00:00"/>
    <n v="45"/>
    <s v="Payment Adjusted"/>
    <n v="2927.44"/>
  </r>
  <r>
    <s v="DIS-0486"/>
    <s v="INV-1486"/>
    <s v="VND-019"/>
    <s v="CleanOffice Services"/>
    <s v="Services"/>
    <s v="West"/>
    <d v="2025-02-13T00:00:00"/>
    <s v="Damaged Goods"/>
    <n v="61125.14"/>
    <n v="32729.119999999999"/>
    <x v="1"/>
    <s v="Ana Torres"/>
    <s v="Resolved"/>
    <n v="108"/>
    <d v="2025-05-02T00:00:00"/>
    <n v="78"/>
    <s v="Full Credit"/>
    <n v="32729.119999999999"/>
  </r>
  <r>
    <s v="DIS-0487"/>
    <s v="INV-1487"/>
    <s v="VND-019"/>
    <s v="CleanOffice Services"/>
    <s v="Services"/>
    <s v="West"/>
    <d v="2024-07-13T00:00:00"/>
    <s v="Damaged Goods"/>
    <n v="53701.07"/>
    <n v="38562.639999999999"/>
    <x v="0"/>
    <s v="Marta Lopez"/>
    <s v="Closed"/>
    <n v="323"/>
    <d v="2024-09-20T00:00:00"/>
    <n v="69"/>
    <s v="Pending"/>
    <n v="0"/>
  </r>
  <r>
    <s v="DIS-0488"/>
    <s v="INV-1488"/>
    <s v="VND-019"/>
    <s v="CleanOffice Services"/>
    <s v="Services"/>
    <s v="West"/>
    <d v="2024-07-29T00:00:00"/>
    <s v="Contract Terms"/>
    <n v="97078.15"/>
    <n v="51278.33"/>
    <x v="3"/>
    <s v="Marta Lopez"/>
    <s v="Closed"/>
    <n v="307"/>
    <d v="2024-08-28T00:00:00"/>
    <n v="30"/>
    <s v="Partial Credit"/>
    <n v="40800.400000000001"/>
  </r>
  <r>
    <s v="DIS-0489"/>
    <s v="INV-1489"/>
    <s v="VND-019"/>
    <s v="CleanOffice Services"/>
    <s v="Services"/>
    <s v="West"/>
    <d v="2024-09-27T00:00:00"/>
    <s v="Service Quality"/>
    <n v="21203.84"/>
    <n v="14265.36"/>
    <x v="1"/>
    <s v="Sofia Ruiz"/>
    <s v="Resolved"/>
    <n v="247"/>
    <d v="2024-12-04T00:00:00"/>
    <n v="68"/>
    <s v="Full Credit"/>
    <n v="14265.36"/>
  </r>
  <r>
    <s v="DIS-0490"/>
    <s v="INV-1490"/>
    <s v="VND-019"/>
    <s v="CleanOffice Services"/>
    <s v="Services"/>
    <s v="West"/>
    <d v="2024-06-14T00:00:00"/>
    <s v="Damaged Goods"/>
    <n v="37553.769999999997"/>
    <n v="14649.82"/>
    <x v="1"/>
    <s v="Valeria Moreno"/>
    <s v="Resolved"/>
    <n v="352"/>
    <d v="2024-06-30T00:00:00"/>
    <n v="16"/>
    <s v="Full Credit"/>
    <n v="14649.82"/>
  </r>
  <r>
    <s v="DIS-0491"/>
    <s v="INV-1491"/>
    <s v="VND-019"/>
    <s v="CleanOffice Services"/>
    <s v="Services"/>
    <s v="West"/>
    <d v="2024-09-06T00:00:00"/>
    <s v="Damaged Goods"/>
    <n v="86661.21"/>
    <n v="37114.370000000003"/>
    <x v="1"/>
    <s v="Carlos Mendez"/>
    <s v="Resolved"/>
    <n v="268"/>
    <d v="2025-01-02T00:00:00"/>
    <n v="118"/>
    <s v="Partial Credit"/>
    <n v="8292.16"/>
  </r>
  <r>
    <s v="DIS-0492"/>
    <s v="INV-1492"/>
    <s v="VND-019"/>
    <s v="CleanOffice Services"/>
    <s v="Services"/>
    <s v="West"/>
    <d v="2024-09-01T00:00:00"/>
    <s v="Damaged Goods"/>
    <n v="52816.27"/>
    <n v="7295.9"/>
    <x v="1"/>
    <s v="Ana Torres"/>
    <s v="Closed"/>
    <n v="273"/>
    <d v="2024-12-12T00:00:00"/>
    <n v="102"/>
    <s v="Payment Adjusted"/>
    <n v="1988.85"/>
  </r>
  <r>
    <s v="DIS-0493"/>
    <s v="INV-1493"/>
    <s v="VND-019"/>
    <s v="CleanOffice Services"/>
    <s v="Services"/>
    <s v="West"/>
    <d v="2024-10-28T00:00:00"/>
    <s v="Damaged Goods"/>
    <n v="40185.86"/>
    <n v="3318.5"/>
    <x v="1"/>
    <s v="Juan Vargas"/>
    <s v="Escalated"/>
    <n v="216"/>
    <d v="2024-12-18T00:00:00"/>
    <n v="51"/>
    <s v="Full Credit"/>
    <n v="3318.5"/>
  </r>
  <r>
    <s v="DIS-0494"/>
    <s v="INV-1494"/>
    <s v="VND-019"/>
    <s v="CleanOffice Services"/>
    <s v="Services"/>
    <s v="West"/>
    <d v="2024-06-09T00:00:00"/>
    <s v="Damaged Goods"/>
    <n v="59731.48"/>
    <n v="22047.91"/>
    <x v="1"/>
    <s v="Carlos Mendez"/>
    <s v="Resolved"/>
    <n v="357"/>
    <d v="2024-10-02T00:00:00"/>
    <n v="115"/>
    <s v="Partial Credit"/>
    <n v="7820.02"/>
  </r>
  <r>
    <s v="DIS-0495"/>
    <s v="INV-1495"/>
    <s v="VND-019"/>
    <s v="CleanOffice Services"/>
    <s v="Services"/>
    <s v="West"/>
    <d v="2025-05-29T00:00:00"/>
    <s v="Price Discrepancy"/>
    <n v="72369.14"/>
    <n v="46465.83"/>
    <x v="1"/>
    <s v="Ana Torres"/>
    <s v="Open"/>
    <n v="3"/>
    <m/>
    <m/>
    <s v="Pending"/>
    <n v="0"/>
  </r>
  <r>
    <s v="DIS-0496"/>
    <s v="INV-1496"/>
    <s v="VND-019"/>
    <s v="CleanOffice Services"/>
    <s v="Services"/>
    <s v="West"/>
    <d v="2025-02-15T00:00:00"/>
    <s v="Damaged Goods"/>
    <n v="70337.84"/>
    <n v="20181.78"/>
    <x v="1"/>
    <s v="Valeria Moreno"/>
    <s v="Escalated"/>
    <n v="106"/>
    <d v="2025-03-22T00:00:00"/>
    <n v="35"/>
    <s v="Full Credit"/>
    <n v="20181.78"/>
  </r>
  <r>
    <s v="DIS-0497"/>
    <s v="INV-1497"/>
    <s v="VND-019"/>
    <s v="CleanOffice Services"/>
    <s v="Services"/>
    <s v="West"/>
    <d v="2024-08-30T00:00:00"/>
    <s v="Contract Terms"/>
    <n v="45238.35"/>
    <n v="14667.77"/>
    <x v="1"/>
    <s v="Valeria Moreno"/>
    <s v="Escalated"/>
    <n v="275"/>
    <d v="2024-10-24T00:00:00"/>
    <n v="55"/>
    <s v="Partial Credit"/>
    <n v="7840.47"/>
  </r>
  <r>
    <s v="DIS-0498"/>
    <s v="INV-1498"/>
    <s v="VND-019"/>
    <s v="CleanOffice Services"/>
    <s v="Services"/>
    <s v="West"/>
    <d v="2025-03-01T00:00:00"/>
    <s v="Missing Goods"/>
    <n v="40170.230000000003"/>
    <n v="18726.7"/>
    <x v="1"/>
    <s v="Diego Castillo"/>
    <s v="Escalated"/>
    <n v="92"/>
    <d v="2025-04-23T00:00:00"/>
    <n v="53"/>
    <s v="Payment Adjusted"/>
    <n v="8277.19"/>
  </r>
  <r>
    <s v="DIS-0499"/>
    <s v="INV-1499"/>
    <s v="VND-019"/>
    <s v="CleanOffice Services"/>
    <s v="Services"/>
    <s v="West"/>
    <d v="2024-06-28T00:00:00"/>
    <s v="Damaged Goods"/>
    <n v="16313.15"/>
    <n v="3626.88"/>
    <x v="3"/>
    <s v="Carlos Mendez"/>
    <s v="Resolved"/>
    <n v="338"/>
    <d v="2024-08-21T00:00:00"/>
    <n v="54"/>
    <s v="Payment Adjusted"/>
    <n v="1524.53"/>
  </r>
  <r>
    <s v="DIS-0500"/>
    <s v="INV-1500"/>
    <s v="VND-019"/>
    <s v="CleanOffice Services"/>
    <s v="Services"/>
    <s v="West"/>
    <d v="2024-07-21T00:00:00"/>
    <s v="Contract Terms"/>
    <n v="71220.45"/>
    <n v="41314.449999999997"/>
    <x v="0"/>
    <s v="Ana Torres"/>
    <s v="Closed"/>
    <n v="315"/>
    <d v="2024-11-06T00:00:00"/>
    <n v="108"/>
    <s v="Full Credit"/>
    <n v="41314.449999999997"/>
  </r>
  <r>
    <s v="DIS-0501"/>
    <s v="INV-1501"/>
    <s v="VND-019"/>
    <s v="CleanOffice Services"/>
    <s v="Services"/>
    <s v="West"/>
    <d v="2024-07-28T00:00:00"/>
    <s v="Price Discrepancy"/>
    <n v="46360.86"/>
    <n v="4546.16"/>
    <x v="0"/>
    <s v="Ana Torres"/>
    <s v="Escalated"/>
    <n v="308"/>
    <d v="2024-09-20T00:00:00"/>
    <n v="54"/>
    <s v="Partial Credit"/>
    <n v="2330.38"/>
  </r>
  <r>
    <s v="DIS-0502"/>
    <s v="INV-1502"/>
    <s v="VND-019"/>
    <s v="CleanOffice Services"/>
    <s v="Services"/>
    <s v="West"/>
    <d v="2024-06-01T00:00:00"/>
    <s v="Damaged Goods"/>
    <n v="96535.33"/>
    <n v="8987.18"/>
    <x v="3"/>
    <s v="Juan Vargas"/>
    <s v="Resolved"/>
    <n v="365"/>
    <d v="2024-06-29T00:00:00"/>
    <n v="28"/>
    <s v="No Action"/>
    <n v="0"/>
  </r>
  <r>
    <s v="DIS-0503"/>
    <s v="INV-1503"/>
    <s v="VND-019"/>
    <s v="CleanOffice Services"/>
    <s v="Services"/>
    <s v="West"/>
    <d v="2024-09-08T00:00:00"/>
    <s v="Service Quality"/>
    <n v="32170.62"/>
    <n v="2419.46"/>
    <x v="1"/>
    <s v="Luis Herrera"/>
    <s v="Resolved"/>
    <n v="266"/>
    <d v="2024-12-06T00:00:00"/>
    <n v="89"/>
    <s v="Full Credit"/>
    <n v="2419.46"/>
  </r>
  <r>
    <s v="DIS-0504"/>
    <s v="INV-1504"/>
    <s v="VND-019"/>
    <s v="CleanOffice Services"/>
    <s v="Services"/>
    <s v="West"/>
    <d v="2025-01-29T00:00:00"/>
    <s v="Missing Goods"/>
    <n v="67226.820000000007"/>
    <n v="52553.52"/>
    <x v="0"/>
    <s v="Valeria Moreno"/>
    <s v="Resolved"/>
    <n v="123"/>
    <d v="2025-03-23T00:00:00"/>
    <n v="53"/>
    <s v="Partial Credit"/>
    <n v="16826.91"/>
  </r>
  <r>
    <s v="DIS-0505"/>
    <s v="INV-1505"/>
    <s v="VND-019"/>
    <s v="CleanOffice Services"/>
    <s v="Services"/>
    <s v="West"/>
    <d v="2025-05-24T00:00:00"/>
    <s v="Missing Goods"/>
    <n v="75007.929999999993"/>
    <n v="7610.52"/>
    <x v="0"/>
    <s v="Diego Castillo"/>
    <s v="Open"/>
    <n v="8"/>
    <m/>
    <m/>
    <s v="Pending"/>
    <n v="0"/>
  </r>
  <r>
    <s v="DIS-0506"/>
    <s v="INV-1506"/>
    <s v="VND-019"/>
    <s v="CleanOffice Services"/>
    <s v="Services"/>
    <s v="West"/>
    <d v="2025-01-10T00:00:00"/>
    <s v="Duplicate Invoice"/>
    <n v="26498.07"/>
    <n v="20464.27"/>
    <x v="1"/>
    <s v="Ana Torres"/>
    <s v="Resolved"/>
    <n v="142"/>
    <d v="2025-03-06T00:00:00"/>
    <n v="55"/>
    <s v="Partial Credit"/>
    <n v="10952.04"/>
  </r>
  <r>
    <s v="DIS-0507"/>
    <s v="INV-1507"/>
    <s v="VND-019"/>
    <s v="CleanOffice Services"/>
    <s v="Services"/>
    <s v="West"/>
    <d v="2024-09-16T00:00:00"/>
    <s v="Missing Goods"/>
    <n v="32953.919999999998"/>
    <n v="25053.599999999999"/>
    <x v="3"/>
    <s v="Marta Lopez"/>
    <s v="Escalated"/>
    <n v="258"/>
    <d v="2024-11-06T00:00:00"/>
    <n v="51"/>
    <s v="Partial Credit"/>
    <n v="16584.990000000002"/>
  </r>
  <r>
    <s v="DIS-0508"/>
    <s v="INV-1508"/>
    <s v="VND-019"/>
    <s v="CleanOffice Services"/>
    <s v="Services"/>
    <s v="West"/>
    <d v="2024-12-09T00:00:00"/>
    <s v="Service Quality"/>
    <n v="96317.68"/>
    <n v="37962.300000000003"/>
    <x v="1"/>
    <s v="Ana Torres"/>
    <s v="Resolved"/>
    <n v="174"/>
    <d v="2025-01-14T00:00:00"/>
    <n v="36"/>
    <s v="Full Credit"/>
    <n v="37962.300000000003"/>
  </r>
  <r>
    <s v="DIS-0509"/>
    <s v="INV-1509"/>
    <s v="VND-019"/>
    <s v="CleanOffice Services"/>
    <s v="Services"/>
    <s v="West"/>
    <d v="2024-07-11T00:00:00"/>
    <s v="Missing Goods"/>
    <n v="79922.320000000007"/>
    <n v="17206.22"/>
    <x v="3"/>
    <s v="Valeria Moreno"/>
    <s v="Closed"/>
    <n v="325"/>
    <d v="2024-09-18T00:00:00"/>
    <n v="69"/>
    <s v="Partial Credit"/>
    <n v="10676.31"/>
  </r>
  <r>
    <s v="DIS-0510"/>
    <s v="INV-1510"/>
    <s v="VND-019"/>
    <s v="CleanOffice Services"/>
    <s v="Services"/>
    <s v="West"/>
    <d v="2025-01-17T00:00:00"/>
    <s v="Missing Goods"/>
    <n v="28584.47"/>
    <n v="3423.19"/>
    <x v="3"/>
    <s v="Carlos Mendez"/>
    <s v="Resolved"/>
    <n v="135"/>
    <d v="2025-02-11T00:00:00"/>
    <n v="25"/>
    <s v="Partial Credit"/>
    <n v="1410.77"/>
  </r>
  <r>
    <s v="DIS-0511"/>
    <s v="INV-1511"/>
    <s v="VND-019"/>
    <s v="CleanOffice Services"/>
    <s v="Services"/>
    <s v="West"/>
    <d v="2024-08-11T00:00:00"/>
    <s v="Damaged Goods"/>
    <n v="30562.2"/>
    <n v="23237.62"/>
    <x v="3"/>
    <s v="Juan Vargas"/>
    <s v="Escalated"/>
    <n v="294"/>
    <d v="2024-09-13T00:00:00"/>
    <n v="33"/>
    <s v="Payment Adjusted"/>
    <n v="10435.950000000001"/>
  </r>
  <r>
    <s v="DIS-0512"/>
    <s v="INV-1512"/>
    <s v="VND-019"/>
    <s v="CleanOffice Services"/>
    <s v="Services"/>
    <s v="West"/>
    <d v="2025-02-15T00:00:00"/>
    <s v="Missing Goods"/>
    <n v="26774.720000000001"/>
    <n v="18105.21"/>
    <x v="3"/>
    <s v="Sofia Ruiz"/>
    <s v="Escalated"/>
    <n v="106"/>
    <d v="2025-03-05T00:00:00"/>
    <n v="18"/>
    <s v="Pending"/>
    <n v="0"/>
  </r>
  <r>
    <s v="DIS-0513"/>
    <s v="INV-1513"/>
    <s v="VND-019"/>
    <s v="CleanOffice Services"/>
    <s v="Services"/>
    <s v="West"/>
    <d v="2024-06-19T00:00:00"/>
    <s v="Service Quality"/>
    <n v="95799.07"/>
    <n v="40187.58"/>
    <x v="0"/>
    <s v="Ana Torres"/>
    <s v="Closed"/>
    <n v="347"/>
    <d v="2024-08-08T00:00:00"/>
    <n v="50"/>
    <s v="Partial Credit"/>
    <n v="19909.099999999999"/>
  </r>
  <r>
    <s v="DIS-0514"/>
    <s v="INV-1514"/>
    <s v="VND-019"/>
    <s v="CleanOffice Services"/>
    <s v="Services"/>
    <s v="West"/>
    <d v="2024-08-10T00:00:00"/>
    <s v="Service Quality"/>
    <n v="87533.04"/>
    <n v="36597.919999999998"/>
    <x v="2"/>
    <s v="Marta Lopez"/>
    <s v="Resolved"/>
    <n v="295"/>
    <d v="2024-11-17T00:00:00"/>
    <n v="99"/>
    <s v="Partial Credit"/>
    <n v="8508.61"/>
  </r>
  <r>
    <s v="DIS-0515"/>
    <s v="INV-1515"/>
    <s v="VND-019"/>
    <s v="CleanOffice Services"/>
    <s v="Services"/>
    <s v="West"/>
    <d v="2024-10-27T00:00:00"/>
    <s v="Duplicate Invoice"/>
    <n v="50440.41"/>
    <n v="22979.439999999999"/>
    <x v="1"/>
    <s v="Sofia Ruiz"/>
    <s v="Resolved"/>
    <n v="217"/>
    <d v="2024-11-14T00:00:00"/>
    <n v="18"/>
    <s v="Payment Adjusted"/>
    <n v="6526.81"/>
  </r>
  <r>
    <s v="DIS-0516"/>
    <s v="INV-1516"/>
    <s v="VND-019"/>
    <s v="CleanOffice Services"/>
    <s v="Services"/>
    <s v="West"/>
    <d v="2024-06-13T00:00:00"/>
    <s v="Price Discrepancy"/>
    <n v="5799.77"/>
    <n v="3222.22"/>
    <x v="1"/>
    <s v="Diego Castillo"/>
    <s v="Resolved"/>
    <n v="353"/>
    <d v="2024-10-04T00:00:00"/>
    <n v="113"/>
    <s v="Full Credit"/>
    <n v="3222.22"/>
  </r>
  <r>
    <s v="DIS-0517"/>
    <s v="INV-1517"/>
    <s v="VND-019"/>
    <s v="CleanOffice Services"/>
    <s v="Services"/>
    <s v="West"/>
    <d v="2024-08-24T00:00:00"/>
    <s v="Missing Goods"/>
    <n v="29970.66"/>
    <n v="7554.29"/>
    <x v="2"/>
    <s v="Diego Castillo"/>
    <s v="Resolved"/>
    <n v="281"/>
    <d v="2024-10-20T00:00:00"/>
    <n v="57"/>
    <s v="Full Credit"/>
    <n v="7554.29"/>
  </r>
  <r>
    <s v="DIS-0518"/>
    <s v="INV-1518"/>
    <s v="VND-019"/>
    <s v="CleanOffice Services"/>
    <s v="Services"/>
    <s v="West"/>
    <d v="2024-06-07T00:00:00"/>
    <s v="Duplicate Invoice"/>
    <n v="76458.600000000006"/>
    <n v="24757.94"/>
    <x v="1"/>
    <s v="Sofia Ruiz"/>
    <s v="Resolved"/>
    <n v="359"/>
    <d v="2024-08-22T00:00:00"/>
    <n v="76"/>
    <s v="Payment Adjusted"/>
    <n v="10538.87"/>
  </r>
  <r>
    <s v="DIS-0519"/>
    <s v="INV-1519"/>
    <s v="VND-019"/>
    <s v="CleanOffice Services"/>
    <s v="Services"/>
    <s v="West"/>
    <d v="2025-01-13T00:00:00"/>
    <s v="Damaged Goods"/>
    <n v="81388.320000000007"/>
    <n v="37968.06"/>
    <x v="3"/>
    <s v="Sofia Ruiz"/>
    <s v="Closed"/>
    <n v="139"/>
    <d v="2025-04-20T00:00:00"/>
    <n v="97"/>
    <s v="Full Credit"/>
    <n v="37968.06"/>
  </r>
  <r>
    <s v="DIS-0520"/>
    <s v="INV-1520"/>
    <s v="VND-019"/>
    <s v="CleanOffice Services"/>
    <s v="Services"/>
    <s v="West"/>
    <d v="2025-05-27T00:00:00"/>
    <s v="Contract Terms"/>
    <n v="21777.69"/>
    <n v="9248.9500000000007"/>
    <x v="2"/>
    <s v="Diego Castillo"/>
    <s v="In Progress"/>
    <n v="5"/>
    <m/>
    <m/>
    <s v="Pending"/>
    <n v="0"/>
  </r>
  <r>
    <s v="DIS-0521"/>
    <s v="INV-1521"/>
    <s v="VND-020"/>
    <s v="GasNetwork"/>
    <s v="Utilities"/>
    <s v="East"/>
    <d v="2024-08-17T00:00:00"/>
    <s v="Damaged Goods"/>
    <n v="86557.69"/>
    <n v="7425.09"/>
    <x v="0"/>
    <s v="Ana Torres"/>
    <s v="Resolved"/>
    <n v="288"/>
    <d v="2024-09-21T00:00:00"/>
    <n v="35"/>
    <s v="Partial Credit"/>
    <n v="4291.09"/>
  </r>
  <r>
    <s v="DIS-0522"/>
    <s v="INV-1522"/>
    <s v="VND-020"/>
    <s v="GasNetwork"/>
    <s v="Utilities"/>
    <s v="East"/>
    <d v="2024-10-13T00:00:00"/>
    <s v="Service Quality"/>
    <n v="75736.36"/>
    <n v="18542.29"/>
    <x v="1"/>
    <s v="Marta Lopez"/>
    <s v="Resolved"/>
    <n v="231"/>
    <d v="2024-12-07T00:00:00"/>
    <n v="55"/>
    <s v="Full Credit"/>
    <n v="18542.29"/>
  </r>
  <r>
    <s v="DIS-0523"/>
    <s v="INV-1523"/>
    <s v="VND-020"/>
    <s v="GasNetwork"/>
    <s v="Utilities"/>
    <s v="East"/>
    <d v="2024-06-18T00:00:00"/>
    <s v="Contract Terms"/>
    <n v="96496.07"/>
    <n v="19223.810000000001"/>
    <x v="1"/>
    <s v="Sofia Ruiz"/>
    <s v="Closed"/>
    <n v="348"/>
    <d v="2024-07-27T00:00:00"/>
    <n v="39"/>
    <s v="Full Credit"/>
    <n v="19223.810000000001"/>
  </r>
  <r>
    <s v="DIS-0524"/>
    <s v="INV-1524"/>
    <s v="VND-020"/>
    <s v="GasNetwork"/>
    <s v="Utilities"/>
    <s v="East"/>
    <d v="2024-06-21T00:00:00"/>
    <s v="Price Discrepancy"/>
    <n v="53492.23"/>
    <n v="33756.71"/>
    <x v="1"/>
    <s v="Valeria Moreno"/>
    <s v="Resolved"/>
    <n v="345"/>
    <d v="2024-08-22T00:00:00"/>
    <n v="62"/>
    <s v="Partial Credit"/>
    <n v="9685.1"/>
  </r>
  <r>
    <s v="DIS-0525"/>
    <s v="INV-1525"/>
    <s v="VND-020"/>
    <s v="GasNetwork"/>
    <s v="Utilities"/>
    <s v="East"/>
    <d v="2025-03-07T00:00:00"/>
    <s v="Service Quality"/>
    <n v="65855.16"/>
    <n v="49155.94"/>
    <x v="1"/>
    <s v="Valeria Moreno"/>
    <s v="Escalated"/>
    <n v="86"/>
    <d v="2025-03-19T00:00:00"/>
    <n v="12"/>
    <s v="Full Credit"/>
    <n v="49155.94"/>
  </r>
  <r>
    <s v="DIS-0526"/>
    <s v="INV-1526"/>
    <s v="VND-020"/>
    <s v="GasNetwork"/>
    <s v="Utilities"/>
    <s v="East"/>
    <d v="2024-12-07T00:00:00"/>
    <s v="Missing Goods"/>
    <n v="26680.7"/>
    <n v="7674.93"/>
    <x v="1"/>
    <s v="Valeria Moreno"/>
    <s v="Resolved"/>
    <n v="176"/>
    <d v="2025-02-04T00:00:00"/>
    <n v="59"/>
    <s v="Payment Adjusted"/>
    <n v="3649.49"/>
  </r>
  <r>
    <s v="DIS-0527"/>
    <s v="INV-1527"/>
    <s v="VND-020"/>
    <s v="GasNetwork"/>
    <s v="Utilities"/>
    <s v="East"/>
    <d v="2024-08-04T00:00:00"/>
    <s v="Price Discrepancy"/>
    <n v="54488.89"/>
    <n v="21126.240000000002"/>
    <x v="0"/>
    <s v="Sofia Ruiz"/>
    <s v="Escalated"/>
    <n v="301"/>
    <d v="2024-10-30T00:00:00"/>
    <n v="87"/>
    <s v="Full Credit"/>
    <n v="21126.240000000002"/>
  </r>
  <r>
    <s v="DIS-0528"/>
    <s v="INV-1528"/>
    <s v="VND-020"/>
    <s v="GasNetwork"/>
    <s v="Utilities"/>
    <s v="East"/>
    <d v="2024-06-07T00:00:00"/>
    <s v="Price Discrepancy"/>
    <n v="76225.279999999999"/>
    <n v="15849.42"/>
    <x v="1"/>
    <s v="Carlos Mendez"/>
    <s v="Closed"/>
    <n v="359"/>
    <d v="2024-08-09T00:00:00"/>
    <n v="63"/>
    <s v="Partial Credit"/>
    <n v="3420.61"/>
  </r>
  <r>
    <s v="DIS-0529"/>
    <s v="INV-1529"/>
    <s v="VND-020"/>
    <s v="GasNetwork"/>
    <s v="Utilities"/>
    <s v="East"/>
    <d v="2024-11-09T00:00:00"/>
    <s v="Service Quality"/>
    <n v="54778.37"/>
    <n v="43658.93"/>
    <x v="0"/>
    <s v="Sofia Ruiz"/>
    <s v="In Progress"/>
    <n v="204"/>
    <m/>
    <m/>
    <s v="Pending"/>
    <n v="0"/>
  </r>
  <r>
    <s v="DIS-0530"/>
    <s v="INV-1530"/>
    <s v="VND-020"/>
    <s v="GasNetwork"/>
    <s v="Utilities"/>
    <s v="East"/>
    <d v="2024-11-13T00:00:00"/>
    <s v="Contract Terms"/>
    <n v="34390.21"/>
    <n v="8100.52"/>
    <x v="1"/>
    <s v="Sofia Ruiz"/>
    <s v="Resolved"/>
    <n v="200"/>
    <d v="2025-03-03T00:00:00"/>
    <n v="110"/>
    <s v="Full Credit"/>
    <n v="8100.52"/>
  </r>
  <r>
    <s v="DIS-0531"/>
    <s v="INV-1531"/>
    <s v="VND-020"/>
    <s v="GasNetwork"/>
    <s v="Utilities"/>
    <s v="East"/>
    <d v="2025-05-14T00:00:00"/>
    <s v="Duplicate Invoice"/>
    <n v="68037.17"/>
    <n v="47304.65"/>
    <x v="1"/>
    <s v="Juan Vargas"/>
    <s v="Closed"/>
    <n v="18"/>
    <d v="2025-05-25T00:00:00"/>
    <n v="11"/>
    <s v="Partial Credit"/>
    <n v="13295.87"/>
  </r>
  <r>
    <s v="DIS-0532"/>
    <s v="INV-1532"/>
    <s v="VND-020"/>
    <s v="GasNetwork"/>
    <s v="Utilities"/>
    <s v="East"/>
    <d v="2024-06-08T00:00:00"/>
    <s v="Contract Terms"/>
    <n v="56232.32"/>
    <n v="27729.46"/>
    <x v="1"/>
    <s v="Valeria Moreno"/>
    <s v="Resolved"/>
    <n v="358"/>
    <d v="2024-08-31T00:00:00"/>
    <n v="84"/>
    <s v="Partial Credit"/>
    <n v="20668.259999999998"/>
  </r>
  <r>
    <s v="DIS-0533"/>
    <s v="INV-1533"/>
    <s v="VND-020"/>
    <s v="GasNetwork"/>
    <s v="Utilities"/>
    <s v="East"/>
    <d v="2024-09-27T00:00:00"/>
    <s v="Missing Goods"/>
    <n v="56268.47"/>
    <n v="36773.18"/>
    <x v="1"/>
    <s v="Valeria Moreno"/>
    <s v="Resolved"/>
    <n v="247"/>
    <d v="2024-11-07T00:00:00"/>
    <n v="41"/>
    <s v="Full Credit"/>
    <n v="36773.18"/>
  </r>
  <r>
    <s v="DIS-0534"/>
    <s v="INV-1534"/>
    <s v="VND-020"/>
    <s v="GasNetwork"/>
    <s v="Utilities"/>
    <s v="East"/>
    <d v="2024-09-06T00:00:00"/>
    <s v="Duplicate Invoice"/>
    <n v="82461.08"/>
    <n v="56564.99"/>
    <x v="1"/>
    <s v="Ana Torres"/>
    <s v="Escalated"/>
    <n v="268"/>
    <d v="2024-11-10T00:00:00"/>
    <n v="65"/>
    <s v="Pending"/>
    <n v="0"/>
  </r>
  <r>
    <s v="DIS-0535"/>
    <s v="INV-1535"/>
    <s v="VND-020"/>
    <s v="GasNetwork"/>
    <s v="Utilities"/>
    <s v="East"/>
    <d v="2024-09-29T00:00:00"/>
    <s v="Service Quality"/>
    <n v="33463"/>
    <n v="20894.36"/>
    <x v="3"/>
    <s v="Luis Herrera"/>
    <s v="Escalated"/>
    <n v="245"/>
    <d v="2024-12-11T00:00:00"/>
    <n v="73"/>
    <s v="Full Credit"/>
    <n v="20894.36"/>
  </r>
  <r>
    <s v="DIS-0536"/>
    <s v="INV-1536"/>
    <s v="VND-020"/>
    <s v="GasNetwork"/>
    <s v="Utilities"/>
    <s v="East"/>
    <d v="2024-11-02T00:00:00"/>
    <s v="Contract Terms"/>
    <n v="88805.4"/>
    <n v="33553.32"/>
    <x v="0"/>
    <s v="Valeria Moreno"/>
    <s v="Closed"/>
    <n v="211"/>
    <d v="2024-12-03T00:00:00"/>
    <n v="31"/>
    <s v="Full Credit"/>
    <n v="33553.32"/>
  </r>
  <r>
    <s v="DIS-0537"/>
    <s v="INV-1537"/>
    <s v="VND-020"/>
    <s v="GasNetwork"/>
    <s v="Utilities"/>
    <s v="East"/>
    <d v="2024-10-27T00:00:00"/>
    <s v="Service Quality"/>
    <n v="64405.69"/>
    <n v="28174.76"/>
    <x v="3"/>
    <s v="Marta Lopez"/>
    <s v="Resolved"/>
    <n v="217"/>
    <d v="2025-02-02T00:00:00"/>
    <n v="98"/>
    <s v="Partial Credit"/>
    <n v="10179.35"/>
  </r>
  <r>
    <s v="DIS-0538"/>
    <s v="INV-1538"/>
    <s v="VND-020"/>
    <s v="GasNetwork"/>
    <s v="Utilities"/>
    <s v="East"/>
    <d v="2025-02-24T00:00:00"/>
    <s v="Contract Terms"/>
    <n v="86080.79"/>
    <n v="16080.36"/>
    <x v="1"/>
    <s v="Juan Vargas"/>
    <s v="Resolved"/>
    <n v="97"/>
    <d v="2025-04-02T00:00:00"/>
    <n v="37"/>
    <s v="Payment Adjusted"/>
    <n v="4772.63"/>
  </r>
  <r>
    <s v="DIS-0539"/>
    <s v="INV-1539"/>
    <s v="VND-020"/>
    <s v="GasNetwork"/>
    <s v="Utilities"/>
    <s v="East"/>
    <d v="2024-12-18T00:00:00"/>
    <s v="Damaged Goods"/>
    <n v="6842.56"/>
    <n v="596.84"/>
    <x v="1"/>
    <s v="Carlos Mendez"/>
    <s v="Resolved"/>
    <n v="165"/>
    <d v="2025-01-06T00:00:00"/>
    <n v="19"/>
    <s v="Payment Adjusted"/>
    <n v="233.27"/>
  </r>
  <r>
    <s v="DIS-0540"/>
    <s v="INV-1540"/>
    <s v="VND-020"/>
    <s v="GasNetwork"/>
    <s v="Utilities"/>
    <s v="East"/>
    <d v="2025-02-01T00:00:00"/>
    <s v="Duplicate Invoice"/>
    <n v="13568.71"/>
    <n v="828.28"/>
    <x v="0"/>
    <s v="Marta Lopez"/>
    <s v="Escalated"/>
    <n v="120"/>
    <d v="2025-04-08T00:00:00"/>
    <n v="66"/>
    <s v="Pending"/>
    <n v="0"/>
  </r>
  <r>
    <s v="DIS-0541"/>
    <s v="INV-1541"/>
    <s v="VND-020"/>
    <s v="GasNetwork"/>
    <s v="Utilities"/>
    <s v="East"/>
    <d v="2024-10-06T00:00:00"/>
    <s v="Damaged Goods"/>
    <n v="71208.81"/>
    <n v="5255.41"/>
    <x v="0"/>
    <s v="Ana Torres"/>
    <s v="Resolved"/>
    <n v="238"/>
    <d v="2024-11-28T00:00:00"/>
    <n v="53"/>
    <s v="Full Credit"/>
    <n v="5255.41"/>
  </r>
  <r>
    <s v="DIS-0542"/>
    <s v="INV-1542"/>
    <s v="VND-020"/>
    <s v="GasNetwork"/>
    <s v="Utilities"/>
    <s v="East"/>
    <d v="2024-10-03T00:00:00"/>
    <s v="Duplicate Invoice"/>
    <n v="22252.36"/>
    <n v="16061.18"/>
    <x v="1"/>
    <s v="Ana Torres"/>
    <s v="Resolved"/>
    <n v="241"/>
    <d v="2025-01-12T00:00:00"/>
    <n v="101"/>
    <s v="Payment Adjusted"/>
    <n v="4078.24"/>
  </r>
  <r>
    <s v="DIS-0543"/>
    <s v="INV-1543"/>
    <s v="VND-020"/>
    <s v="GasNetwork"/>
    <s v="Utilities"/>
    <s v="East"/>
    <d v="2024-10-17T00:00:00"/>
    <s v="Contract Terms"/>
    <n v="28480.41"/>
    <n v="22667.599999999999"/>
    <x v="0"/>
    <s v="Carlos Mendez"/>
    <s v="Resolved"/>
    <n v="227"/>
    <d v="2024-11-15T00:00:00"/>
    <n v="29"/>
    <s v="Partial Credit"/>
    <n v="13801.52"/>
  </r>
  <r>
    <s v="DIS-0544"/>
    <s v="INV-1544"/>
    <s v="VND-020"/>
    <s v="GasNetwork"/>
    <s v="Utilities"/>
    <s v="East"/>
    <d v="2024-12-23T00:00:00"/>
    <s v="Contract Terms"/>
    <n v="93940.45"/>
    <n v="15872.04"/>
    <x v="3"/>
    <s v="Carlos Mendez"/>
    <s v="Resolved"/>
    <n v="160"/>
    <d v="2025-03-17T00:00:00"/>
    <n v="84"/>
    <s v="Full Credit"/>
    <n v="15872.04"/>
  </r>
  <r>
    <s v="DIS-0545"/>
    <s v="INV-1545"/>
    <s v="VND-020"/>
    <s v="GasNetwork"/>
    <s v="Utilities"/>
    <s v="East"/>
    <d v="2024-11-28T00:00:00"/>
    <s v="Price Discrepancy"/>
    <n v="89314.36"/>
    <n v="62318.49"/>
    <x v="0"/>
    <s v="Luis Herrera"/>
    <s v="Resolved"/>
    <n v="185"/>
    <d v="2025-01-11T00:00:00"/>
    <n v="44"/>
    <s v="Full Credit"/>
    <n v="62318.49"/>
  </r>
  <r>
    <s v="DIS-0546"/>
    <s v="INV-1546"/>
    <s v="VND-020"/>
    <s v="GasNetwork"/>
    <s v="Utilities"/>
    <s v="East"/>
    <d v="2025-01-10T00:00:00"/>
    <s v="Price Discrepancy"/>
    <n v="60546.2"/>
    <n v="21000.83"/>
    <x v="0"/>
    <s v="Juan Vargas"/>
    <s v="Escalated"/>
    <n v="142"/>
    <d v="2025-02-01T00:00:00"/>
    <n v="22"/>
    <s v="Full Credit"/>
    <n v="21000.83"/>
  </r>
  <r>
    <s v="DIS-0547"/>
    <s v="INV-1547"/>
    <s v="VND-020"/>
    <s v="GasNetwork"/>
    <s v="Utilities"/>
    <s v="East"/>
    <d v="2025-04-16T00:00:00"/>
    <s v="Missing Goods"/>
    <n v="28628.61"/>
    <n v="12165.42"/>
    <x v="3"/>
    <s v="Ana Torres"/>
    <s v="Open"/>
    <n v="46"/>
    <m/>
    <m/>
    <s v="Pending"/>
    <n v="0"/>
  </r>
  <r>
    <s v="DIS-0548"/>
    <s v="INV-1548"/>
    <s v="VND-020"/>
    <s v="GasNetwork"/>
    <s v="Utilities"/>
    <s v="East"/>
    <d v="2024-07-05T00:00:00"/>
    <s v="Duplicate Invoice"/>
    <n v="19622.25"/>
    <n v="8874.4599999999991"/>
    <x v="0"/>
    <s v="Luis Herrera"/>
    <s v="Resolved"/>
    <n v="331"/>
    <d v="2024-09-17T00:00:00"/>
    <n v="74"/>
    <s v="Payment Adjusted"/>
    <n v="3573.5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s v="DIS-0001"/>
    <s v="INV-1001"/>
    <s v="VND-001"/>
    <s v="Acero Nacional SA"/>
    <s v="Materials"/>
    <s v="North"/>
    <d v="2025-01-11T00:00:00"/>
    <s v="Contract Terms"/>
    <n v="28264.73"/>
    <n v="4371.24"/>
    <s v="Low"/>
    <s v="Carlos Mendez"/>
    <x v="0"/>
    <n v="141"/>
    <d v="2025-01-18T00:00:00"/>
    <n v="7"/>
    <s v="Full Credit"/>
    <n v="4371.24"/>
  </r>
  <r>
    <s v="DIS-0002"/>
    <s v="INV-1002"/>
    <s v="VND-001"/>
    <s v="Acero Nacional SA"/>
    <s v="Materials"/>
    <s v="North"/>
    <d v="2025-02-09T00:00:00"/>
    <s v="Contract Terms"/>
    <n v="27102.78"/>
    <n v="13592.42"/>
    <s v="Medium"/>
    <s v="Valeria Moreno"/>
    <x v="0"/>
    <n v="112"/>
    <d v="2025-04-28T00:00:00"/>
    <n v="78"/>
    <s v="Full Credit"/>
    <n v="13592.42"/>
  </r>
  <r>
    <s v="DIS-0003"/>
    <s v="INV-1003"/>
    <s v="VND-001"/>
    <s v="Acero Nacional SA"/>
    <s v="Materials"/>
    <s v="North"/>
    <d v="2025-05-28T00:00:00"/>
    <s v="Missing Goods"/>
    <n v="77086.7"/>
    <n v="13085.04"/>
    <s v="Medium"/>
    <s v="Sofia Ruiz"/>
    <x v="1"/>
    <n v="4"/>
    <m/>
    <m/>
    <s v="Pending"/>
    <n v="0"/>
  </r>
  <r>
    <s v="DIS-0004"/>
    <s v="INV-1004"/>
    <s v="VND-001"/>
    <s v="Acero Nacional SA"/>
    <s v="Materials"/>
    <s v="North"/>
    <d v="2024-12-10T00:00:00"/>
    <s v="Missing Goods"/>
    <n v="14709.98"/>
    <n v="4927.04"/>
    <s v="Medium"/>
    <s v="Marta Lopez"/>
    <x v="2"/>
    <n v="173"/>
    <d v="2025-03-16T00:00:00"/>
    <n v="96"/>
    <s v="Partial Credit"/>
    <n v="1354.42"/>
  </r>
  <r>
    <s v="DIS-0005"/>
    <s v="INV-1005"/>
    <s v="VND-001"/>
    <s v="Acero Nacional SA"/>
    <s v="Materials"/>
    <s v="North"/>
    <d v="2024-11-19T00:00:00"/>
    <s v="Missing Goods"/>
    <n v="12486.02"/>
    <n v="3369.77"/>
    <s v="Medium"/>
    <s v="Luis Herrera"/>
    <x v="3"/>
    <n v="194"/>
    <d v="2024-11-27T00:00:00"/>
    <n v="8"/>
    <s v="Payment Adjusted"/>
    <n v="1379"/>
  </r>
  <r>
    <s v="DIS-0006"/>
    <s v="INV-1006"/>
    <s v="VND-001"/>
    <s v="Acero Nacional SA"/>
    <s v="Materials"/>
    <s v="North"/>
    <d v="2025-04-21T00:00:00"/>
    <s v="Duplicate Invoice"/>
    <n v="86255.18"/>
    <n v="60366.79"/>
    <s v="Medium"/>
    <s v="Diego Castillo"/>
    <x v="4"/>
    <n v="41"/>
    <m/>
    <m/>
    <s v="Pending"/>
    <n v="0"/>
  </r>
  <r>
    <s v="DIS-0007"/>
    <s v="INV-1007"/>
    <s v="VND-001"/>
    <s v="Acero Nacional SA"/>
    <s v="Materials"/>
    <s v="North"/>
    <d v="2024-12-01T00:00:00"/>
    <s v="Contract Terms"/>
    <n v="24903.17"/>
    <n v="6231.6"/>
    <s v="Critical"/>
    <s v="Carlos Mendez"/>
    <x v="0"/>
    <n v="182"/>
    <d v="2024-12-25T00:00:00"/>
    <n v="24"/>
    <s v="Partial Credit"/>
    <n v="2161.66"/>
  </r>
  <r>
    <s v="DIS-0008"/>
    <s v="INV-1008"/>
    <s v="VND-001"/>
    <s v="Acero Nacional SA"/>
    <s v="Materials"/>
    <s v="North"/>
    <d v="2024-10-07T00:00:00"/>
    <s v="Service Quality"/>
    <n v="41048.269999999997"/>
    <n v="32516.080000000002"/>
    <s v="Medium"/>
    <s v="Luis Herrera"/>
    <x v="3"/>
    <n v="237"/>
    <d v="2025-01-25T00:00:00"/>
    <n v="110"/>
    <s v="Payment Adjusted"/>
    <n v="3979.16"/>
  </r>
  <r>
    <s v="DIS-0009"/>
    <s v="INV-1009"/>
    <s v="VND-001"/>
    <s v="Acero Nacional SA"/>
    <s v="Materials"/>
    <s v="North"/>
    <d v="2025-05-15T00:00:00"/>
    <s v="Service Quality"/>
    <n v="81479.350000000006"/>
    <n v="28588.95"/>
    <s v="Low"/>
    <s v="Diego Castillo"/>
    <x v="1"/>
    <n v="17"/>
    <m/>
    <m/>
    <s v="Pending"/>
    <n v="0"/>
  </r>
  <r>
    <s v="DIS-0010"/>
    <s v="INV-1010"/>
    <s v="VND-001"/>
    <s v="Acero Nacional SA"/>
    <s v="Materials"/>
    <s v="North"/>
    <d v="2024-09-18T00:00:00"/>
    <s v="Missing Goods"/>
    <n v="42585.03"/>
    <n v="31338.78"/>
    <s v="Medium"/>
    <s v="Sofia Ruiz"/>
    <x v="0"/>
    <n v="256"/>
    <d v="2024-12-01T00:00:00"/>
    <n v="74"/>
    <s v="Partial Credit"/>
    <n v="20314.060000000001"/>
  </r>
  <r>
    <s v="DIS-0011"/>
    <s v="INV-1011"/>
    <s v="VND-001"/>
    <s v="Acero Nacional SA"/>
    <s v="Materials"/>
    <s v="North"/>
    <d v="2024-10-24T00:00:00"/>
    <s v="Damaged Goods"/>
    <n v="90293.17"/>
    <n v="31562.01"/>
    <s v="Low"/>
    <s v="Juan Vargas"/>
    <x v="4"/>
    <n v="220"/>
    <m/>
    <m/>
    <s v="Pending"/>
    <n v="0"/>
  </r>
  <r>
    <s v="DIS-0012"/>
    <s v="INV-1012"/>
    <s v="VND-001"/>
    <s v="Acero Nacional SA"/>
    <s v="Materials"/>
    <s v="North"/>
    <d v="2025-05-07T00:00:00"/>
    <s v="Contract Terms"/>
    <n v="86804.78"/>
    <n v="14290.76"/>
    <s v="Low"/>
    <s v="Valeria Moreno"/>
    <x v="4"/>
    <n v="25"/>
    <m/>
    <m/>
    <s v="Pending"/>
    <n v="0"/>
  </r>
  <r>
    <s v="DIS-0013"/>
    <s v="INV-1013"/>
    <s v="VND-001"/>
    <s v="Acero Nacional SA"/>
    <s v="Materials"/>
    <s v="North"/>
    <d v="2024-11-15T00:00:00"/>
    <s v="Service Quality"/>
    <n v="41253.83"/>
    <n v="32883.06"/>
    <s v="Medium"/>
    <s v="Ana Torres"/>
    <x v="3"/>
    <n v="198"/>
    <d v="2024-12-02T00:00:00"/>
    <n v="17"/>
    <s v="Payment Adjusted"/>
    <n v="10351.200000000001"/>
  </r>
  <r>
    <s v="DIS-0014"/>
    <s v="INV-1014"/>
    <s v="VND-001"/>
    <s v="Acero Nacional SA"/>
    <s v="Materials"/>
    <s v="North"/>
    <d v="2025-01-15T00:00:00"/>
    <s v="Damaged Goods"/>
    <n v="78016.88"/>
    <n v="23805.42"/>
    <s v="Medium"/>
    <s v="Juan Vargas"/>
    <x v="1"/>
    <n v="137"/>
    <m/>
    <m/>
    <s v="Pending"/>
    <n v="0"/>
  </r>
  <r>
    <s v="DIS-0015"/>
    <s v="INV-1015"/>
    <s v="VND-001"/>
    <s v="Acero Nacional SA"/>
    <s v="Materials"/>
    <s v="North"/>
    <d v="2025-01-17T00:00:00"/>
    <s v="Price Discrepancy"/>
    <n v="97329.37"/>
    <n v="60487.44"/>
    <s v="Medium"/>
    <s v="Marta Lopez"/>
    <x v="2"/>
    <n v="135"/>
    <d v="2025-03-25T00:00:00"/>
    <n v="67"/>
    <s v="Partial Credit"/>
    <n v="17644.400000000001"/>
  </r>
  <r>
    <s v="DIS-0016"/>
    <s v="INV-1016"/>
    <s v="VND-001"/>
    <s v="Acero Nacional SA"/>
    <s v="Materials"/>
    <s v="North"/>
    <d v="2025-03-10T00:00:00"/>
    <s v="Price Discrepancy"/>
    <n v="56241.01"/>
    <n v="35655.11"/>
    <s v="Medium"/>
    <s v="Diego Castillo"/>
    <x v="0"/>
    <n v="83"/>
    <d v="2025-03-27T00:00:00"/>
    <n v="17"/>
    <s v="Pending"/>
    <n v="0"/>
  </r>
  <r>
    <s v="DIS-0017"/>
    <s v="INV-1017"/>
    <s v="VND-001"/>
    <s v="Acero Nacional SA"/>
    <s v="Materials"/>
    <s v="North"/>
    <d v="2024-12-25T00:00:00"/>
    <s v="Price Discrepancy"/>
    <n v="27747.97"/>
    <n v="6400.17"/>
    <s v="Medium"/>
    <s v="Carlos Mendez"/>
    <x v="3"/>
    <n v="158"/>
    <d v="2025-04-11T00:00:00"/>
    <n v="107"/>
    <s v="Full Credit"/>
    <n v="6400.17"/>
  </r>
  <r>
    <s v="DIS-0018"/>
    <s v="INV-1018"/>
    <s v="VND-001"/>
    <s v="Acero Nacional SA"/>
    <s v="Materials"/>
    <s v="North"/>
    <d v="2024-09-01T00:00:00"/>
    <s v="Service Quality"/>
    <n v="77754.27"/>
    <n v="11374.95"/>
    <s v="Medium"/>
    <s v="Sofia Ruiz"/>
    <x v="0"/>
    <n v="273"/>
    <d v="2024-12-24T00:00:00"/>
    <n v="114"/>
    <s v="Partial Credit"/>
    <n v="8856.74"/>
  </r>
  <r>
    <s v="DIS-0019"/>
    <s v="INV-1019"/>
    <s v="VND-001"/>
    <s v="Acero Nacional SA"/>
    <s v="Materials"/>
    <s v="North"/>
    <d v="2024-08-28T00:00:00"/>
    <s v="Duplicate Invoice"/>
    <n v="76750.19"/>
    <n v="43548.11"/>
    <s v="High"/>
    <s v="Diego Castillo"/>
    <x v="0"/>
    <n v="277"/>
    <d v="2024-11-05T00:00:00"/>
    <n v="69"/>
    <s v="Partial Credit"/>
    <n v="15187.11"/>
  </r>
  <r>
    <s v="DIS-0020"/>
    <s v="INV-1020"/>
    <s v="VND-001"/>
    <s v="Acero Nacional SA"/>
    <s v="Materials"/>
    <s v="North"/>
    <d v="2025-04-29T00:00:00"/>
    <s v="Damaged Goods"/>
    <n v="37118.129999999997"/>
    <n v="18233.599999999999"/>
    <s v="Low"/>
    <s v="Ana Torres"/>
    <x v="1"/>
    <n v="33"/>
    <m/>
    <m/>
    <s v="Pending"/>
    <n v="0"/>
  </r>
  <r>
    <s v="DIS-0021"/>
    <s v="INV-1021"/>
    <s v="VND-002"/>
    <s v="TechSupplies Inc"/>
    <s v="IT"/>
    <s v="North"/>
    <d v="2025-04-27T00:00:00"/>
    <s v="Damaged Goods"/>
    <n v="91014.9"/>
    <n v="63230.47"/>
    <s v="Low"/>
    <s v="Marta Lopez"/>
    <x v="0"/>
    <n v="35"/>
    <d v="2025-05-13T00:00:00"/>
    <n v="16"/>
    <s v="Partial Credit"/>
    <n v="40088.85"/>
  </r>
  <r>
    <s v="DIS-0022"/>
    <s v="INV-1022"/>
    <s v="VND-002"/>
    <s v="TechSupplies Inc"/>
    <s v="IT"/>
    <s v="North"/>
    <d v="2024-08-12T00:00:00"/>
    <s v="Duplicate Invoice"/>
    <n v="59740.11"/>
    <n v="13874.52"/>
    <s v="Medium"/>
    <s v="Luis Herrera"/>
    <x v="4"/>
    <n v="293"/>
    <m/>
    <m/>
    <s v="Pending"/>
    <n v="0"/>
  </r>
  <r>
    <s v="DIS-0023"/>
    <s v="INV-1023"/>
    <s v="VND-002"/>
    <s v="TechSupplies Inc"/>
    <s v="IT"/>
    <s v="North"/>
    <d v="2024-06-28T00:00:00"/>
    <s v="Contract Terms"/>
    <n v="45949.86"/>
    <n v="16895.03"/>
    <s v="Medium"/>
    <s v="Ana Torres"/>
    <x v="3"/>
    <n v="338"/>
    <d v="2024-09-21T00:00:00"/>
    <n v="85"/>
    <s v="Full Credit"/>
    <n v="16895.03"/>
  </r>
  <r>
    <s v="DIS-0024"/>
    <s v="INV-1024"/>
    <s v="VND-002"/>
    <s v="TechSupplies Inc"/>
    <s v="IT"/>
    <s v="North"/>
    <d v="2024-11-06T00:00:00"/>
    <s v="Damaged Goods"/>
    <n v="74180.289999999994"/>
    <n v="48250.15"/>
    <s v="Low"/>
    <s v="Luis Herrera"/>
    <x v="0"/>
    <n v="207"/>
    <d v="2024-11-26T00:00:00"/>
    <n v="20"/>
    <s v="Partial Credit"/>
    <n v="17713.939999999999"/>
  </r>
  <r>
    <s v="DIS-0025"/>
    <s v="INV-1025"/>
    <s v="VND-002"/>
    <s v="TechSupplies Inc"/>
    <s v="IT"/>
    <s v="North"/>
    <d v="2025-01-24T00:00:00"/>
    <s v="Service Quality"/>
    <n v="88076.17"/>
    <n v="9383.52"/>
    <s v="High"/>
    <s v="Carlos Mendez"/>
    <x v="4"/>
    <n v="128"/>
    <m/>
    <m/>
    <s v="Pending"/>
    <n v="0"/>
  </r>
  <r>
    <s v="DIS-0026"/>
    <s v="INV-1026"/>
    <s v="VND-002"/>
    <s v="TechSupplies Inc"/>
    <s v="IT"/>
    <s v="North"/>
    <d v="2024-08-28T00:00:00"/>
    <s v="Damaged Goods"/>
    <n v="84422.62"/>
    <n v="65575.03"/>
    <s v="Critical"/>
    <s v="Sofia Ruiz"/>
    <x v="0"/>
    <n v="277"/>
    <d v="2024-10-31T00:00:00"/>
    <n v="64"/>
    <s v="Full Credit"/>
    <n v="65575.03"/>
  </r>
  <r>
    <s v="DIS-0027"/>
    <s v="INV-1027"/>
    <s v="VND-002"/>
    <s v="TechSupplies Inc"/>
    <s v="IT"/>
    <s v="North"/>
    <d v="2024-11-07T00:00:00"/>
    <s v="Duplicate Invoice"/>
    <n v="90732.07"/>
    <n v="15740"/>
    <s v="Low"/>
    <s v="Marta Lopez"/>
    <x v="2"/>
    <n v="206"/>
    <d v="2025-02-18T00:00:00"/>
    <n v="103"/>
    <s v="Partial Credit"/>
    <n v="7142.88"/>
  </r>
  <r>
    <s v="DIS-0028"/>
    <s v="INV-1028"/>
    <s v="VND-002"/>
    <s v="TechSupplies Inc"/>
    <s v="IT"/>
    <s v="North"/>
    <d v="2024-08-20T00:00:00"/>
    <s v="Damaged Goods"/>
    <n v="67877.77"/>
    <n v="28169.52"/>
    <s v="Low"/>
    <s v="Ana Torres"/>
    <x v="0"/>
    <n v="285"/>
    <d v="2024-10-31T00:00:00"/>
    <n v="72"/>
    <s v="Full Credit"/>
    <n v="28169.52"/>
  </r>
  <r>
    <s v="DIS-0029"/>
    <s v="INV-1029"/>
    <s v="VND-002"/>
    <s v="TechSupplies Inc"/>
    <s v="IT"/>
    <s v="North"/>
    <d v="2024-12-22T00:00:00"/>
    <s v="Service Quality"/>
    <n v="10430.700000000001"/>
    <n v="5091.57"/>
    <s v="Medium"/>
    <s v="Sofia Ruiz"/>
    <x v="4"/>
    <n v="161"/>
    <m/>
    <m/>
    <s v="Pending"/>
    <n v="0"/>
  </r>
  <r>
    <s v="DIS-0030"/>
    <s v="INV-1030"/>
    <s v="VND-002"/>
    <s v="TechSupplies Inc"/>
    <s v="IT"/>
    <s v="North"/>
    <d v="2024-09-13T00:00:00"/>
    <s v="Contract Terms"/>
    <n v="12610.59"/>
    <n v="2388.0500000000002"/>
    <s v="Medium"/>
    <s v="Luis Herrera"/>
    <x v="0"/>
    <n v="261"/>
    <d v="2025-01-07T00:00:00"/>
    <n v="116"/>
    <s v="Partial Credit"/>
    <n v="1307.0999999999999"/>
  </r>
  <r>
    <s v="DIS-0031"/>
    <s v="INV-1031"/>
    <s v="VND-002"/>
    <s v="TechSupplies Inc"/>
    <s v="IT"/>
    <s v="North"/>
    <d v="2025-05-11T00:00:00"/>
    <s v="Service Quality"/>
    <n v="63841.24"/>
    <n v="23264.94"/>
    <s v="Medium"/>
    <s v="Diego Castillo"/>
    <x v="2"/>
    <n v="21"/>
    <d v="2025-05-20T00:00:00"/>
    <n v="9"/>
    <s v="Payment Adjusted"/>
    <n v="5250.28"/>
  </r>
  <r>
    <s v="DIS-0032"/>
    <s v="INV-1032"/>
    <s v="VND-002"/>
    <s v="TechSupplies Inc"/>
    <s v="IT"/>
    <s v="North"/>
    <d v="2025-01-16T00:00:00"/>
    <s v="Missing Goods"/>
    <n v="42599.66"/>
    <n v="23590.31"/>
    <s v="Medium"/>
    <s v="Carlos Mendez"/>
    <x v="1"/>
    <n v="136"/>
    <m/>
    <m/>
    <s v="Pending"/>
    <n v="0"/>
  </r>
  <r>
    <s v="DIS-0033"/>
    <s v="INV-1033"/>
    <s v="VND-002"/>
    <s v="TechSupplies Inc"/>
    <s v="IT"/>
    <s v="North"/>
    <d v="2024-07-17T00:00:00"/>
    <s v="Damaged Goods"/>
    <n v="99853.17"/>
    <n v="79590.2"/>
    <s v="Low"/>
    <s v="Marta Lopez"/>
    <x v="0"/>
    <n v="319"/>
    <d v="2024-09-02T00:00:00"/>
    <n v="47"/>
    <s v="No Action"/>
    <n v="0"/>
  </r>
  <r>
    <s v="DIS-0034"/>
    <s v="INV-1034"/>
    <s v="VND-002"/>
    <s v="TechSupplies Inc"/>
    <s v="IT"/>
    <s v="North"/>
    <d v="2025-01-26T00:00:00"/>
    <s v="Contract Terms"/>
    <n v="40105.07"/>
    <n v="6750.09"/>
    <s v="High"/>
    <s v="Marta Lopez"/>
    <x v="0"/>
    <n v="126"/>
    <d v="2025-05-12T00:00:00"/>
    <n v="106"/>
    <s v="Payment Adjusted"/>
    <n v="696.13"/>
  </r>
  <r>
    <s v="DIS-0035"/>
    <s v="INV-1035"/>
    <s v="VND-002"/>
    <s v="TechSupplies Inc"/>
    <s v="IT"/>
    <s v="North"/>
    <d v="2024-08-21T00:00:00"/>
    <s v="Damaged Goods"/>
    <n v="33440.980000000003"/>
    <n v="18310.330000000002"/>
    <s v="Critical"/>
    <s v="Marta Lopez"/>
    <x v="0"/>
    <n v="284"/>
    <d v="2024-09-06T00:00:00"/>
    <n v="16"/>
    <s v="Payment Adjusted"/>
    <n v="2969.55"/>
  </r>
  <r>
    <s v="DIS-0036"/>
    <s v="INV-1036"/>
    <s v="VND-002"/>
    <s v="TechSupplies Inc"/>
    <s v="IT"/>
    <s v="North"/>
    <d v="2025-01-07T00:00:00"/>
    <s v="Contract Terms"/>
    <n v="62458.83"/>
    <n v="36738.85"/>
    <s v="Low"/>
    <s v="Marta Lopez"/>
    <x v="0"/>
    <n v="145"/>
    <d v="2025-02-11T00:00:00"/>
    <n v="35"/>
    <s v="No Action"/>
    <n v="0"/>
  </r>
  <r>
    <s v="DIS-0037"/>
    <s v="INV-1037"/>
    <s v="VND-002"/>
    <s v="TechSupplies Inc"/>
    <s v="IT"/>
    <s v="North"/>
    <d v="2025-05-05T00:00:00"/>
    <s v="Price Discrepancy"/>
    <n v="13768.35"/>
    <n v="5062.37"/>
    <s v="Medium"/>
    <s v="Diego Castillo"/>
    <x v="0"/>
    <n v="27"/>
    <d v="2025-05-28T00:00:00"/>
    <n v="23"/>
    <s v="Pending"/>
    <n v="0"/>
  </r>
  <r>
    <s v="DIS-0038"/>
    <s v="INV-1038"/>
    <s v="VND-002"/>
    <s v="TechSupplies Inc"/>
    <s v="IT"/>
    <s v="North"/>
    <d v="2025-03-10T00:00:00"/>
    <s v="Price Discrepancy"/>
    <n v="75416.94"/>
    <n v="34975.379999999997"/>
    <s v="Medium"/>
    <s v="Carlos Mendez"/>
    <x v="1"/>
    <n v="83"/>
    <m/>
    <m/>
    <s v="Pending"/>
    <n v="0"/>
  </r>
  <r>
    <s v="DIS-0039"/>
    <s v="INV-1039"/>
    <s v="VND-002"/>
    <s v="TechSupplies Inc"/>
    <s v="IT"/>
    <s v="North"/>
    <d v="2024-06-12T00:00:00"/>
    <s v="Service Quality"/>
    <n v="90873.21"/>
    <n v="41728.32"/>
    <s v="High"/>
    <s v="Sofia Ruiz"/>
    <x v="0"/>
    <n v="354"/>
    <d v="2024-06-20T00:00:00"/>
    <n v="8"/>
    <s v="Full Credit"/>
    <n v="41728.32"/>
  </r>
  <r>
    <s v="DIS-0040"/>
    <s v="INV-1040"/>
    <s v="VND-002"/>
    <s v="TechSupplies Inc"/>
    <s v="IT"/>
    <s v="North"/>
    <d v="2025-05-11T00:00:00"/>
    <s v="Price Discrepancy"/>
    <n v="90397.84"/>
    <n v="18762.740000000002"/>
    <s v="Low"/>
    <s v="Diego Castillo"/>
    <x v="0"/>
    <n v="21"/>
    <d v="2025-05-27T00:00:00"/>
    <n v="16"/>
    <s v="Pending"/>
    <n v="0"/>
  </r>
  <r>
    <s v="DIS-0041"/>
    <s v="INV-1041"/>
    <s v="VND-002"/>
    <s v="TechSupplies Inc"/>
    <s v="IT"/>
    <s v="North"/>
    <d v="2025-03-13T00:00:00"/>
    <s v="Damaged Goods"/>
    <n v="92947.56"/>
    <n v="21150.5"/>
    <s v="Low"/>
    <s v="Valeria Moreno"/>
    <x v="1"/>
    <n v="80"/>
    <m/>
    <m/>
    <s v="Pending"/>
    <n v="0"/>
  </r>
  <r>
    <s v="DIS-0042"/>
    <s v="INV-1042"/>
    <s v="VND-002"/>
    <s v="TechSupplies Inc"/>
    <s v="IT"/>
    <s v="North"/>
    <d v="2024-12-12T00:00:00"/>
    <s v="Contract Terms"/>
    <n v="79326.720000000001"/>
    <n v="28461.23"/>
    <s v="High"/>
    <s v="Luis Herrera"/>
    <x v="0"/>
    <n v="171"/>
    <d v="2025-03-25T00:00:00"/>
    <n v="103"/>
    <s v="Payment Adjusted"/>
    <n v="7201.17"/>
  </r>
  <r>
    <s v="DIS-0043"/>
    <s v="INV-1043"/>
    <s v="VND-002"/>
    <s v="TechSupplies Inc"/>
    <s v="IT"/>
    <s v="North"/>
    <d v="2025-05-12T00:00:00"/>
    <s v="Duplicate Invoice"/>
    <n v="86566.36"/>
    <n v="18769.78"/>
    <s v="High"/>
    <s v="Diego Castillo"/>
    <x v="1"/>
    <n v="20"/>
    <m/>
    <m/>
    <s v="Pending"/>
    <n v="0"/>
  </r>
  <r>
    <s v="DIS-0044"/>
    <s v="INV-1044"/>
    <s v="VND-002"/>
    <s v="TechSupplies Inc"/>
    <s v="IT"/>
    <s v="North"/>
    <d v="2025-02-04T00:00:00"/>
    <s v="Missing Goods"/>
    <n v="26177.74"/>
    <n v="14267.52"/>
    <s v="Medium"/>
    <s v="Carlos Mendez"/>
    <x v="2"/>
    <n v="117"/>
    <d v="2025-03-14T00:00:00"/>
    <n v="38"/>
    <s v="Full Credit"/>
    <n v="14267.52"/>
  </r>
  <r>
    <s v="DIS-0045"/>
    <s v="INV-1045"/>
    <s v="VND-002"/>
    <s v="TechSupplies Inc"/>
    <s v="IT"/>
    <s v="North"/>
    <d v="2024-09-13T00:00:00"/>
    <s v="Price Discrepancy"/>
    <n v="42969.45"/>
    <n v="33768.07"/>
    <s v="Medium"/>
    <s v="Carlos Mendez"/>
    <x v="2"/>
    <n v="261"/>
    <d v="2024-10-19T00:00:00"/>
    <n v="36"/>
    <s v="Full Credit"/>
    <n v="33768.07"/>
  </r>
  <r>
    <s v="DIS-0046"/>
    <s v="INV-1046"/>
    <s v="VND-002"/>
    <s v="TechSupplies Inc"/>
    <s v="IT"/>
    <s v="North"/>
    <d v="2025-01-16T00:00:00"/>
    <s v="Missing Goods"/>
    <n v="8634.43"/>
    <n v="4295.01"/>
    <s v="Medium"/>
    <s v="Valeria Moreno"/>
    <x v="0"/>
    <n v="136"/>
    <d v="2025-03-25T00:00:00"/>
    <n v="68"/>
    <s v="Full Credit"/>
    <n v="4295.01"/>
  </r>
  <r>
    <s v="DIS-0047"/>
    <s v="INV-1047"/>
    <s v="VND-002"/>
    <s v="TechSupplies Inc"/>
    <s v="IT"/>
    <s v="North"/>
    <d v="2024-08-09T00:00:00"/>
    <s v="Service Quality"/>
    <n v="23057.48"/>
    <n v="1920.46"/>
    <s v="Medium"/>
    <s v="Luis Herrera"/>
    <x v="0"/>
    <n v="296"/>
    <d v="2024-08-20T00:00:00"/>
    <n v="11"/>
    <s v="Pending"/>
    <n v="0"/>
  </r>
  <r>
    <s v="DIS-0048"/>
    <s v="INV-1048"/>
    <s v="VND-003"/>
    <s v="LogiExpress"/>
    <s v="Logistics"/>
    <s v="East"/>
    <d v="2024-06-26T00:00:00"/>
    <s v="Missing Goods"/>
    <n v="85561.45"/>
    <n v="50465.49"/>
    <s v="Medium"/>
    <s v="Valeria Moreno"/>
    <x v="0"/>
    <n v="340"/>
    <d v="2024-09-26T00:00:00"/>
    <n v="92"/>
    <s v="Full Credit"/>
    <n v="50465.49"/>
  </r>
  <r>
    <s v="DIS-0049"/>
    <s v="INV-1049"/>
    <s v="VND-003"/>
    <s v="LogiExpress"/>
    <s v="Logistics"/>
    <s v="East"/>
    <d v="2025-03-27T00:00:00"/>
    <s v="Contract Terms"/>
    <n v="23224.81"/>
    <n v="12743.39"/>
    <s v="Medium"/>
    <s v="Sofia Ruiz"/>
    <x v="0"/>
    <n v="66"/>
    <d v="2025-05-07T00:00:00"/>
    <n v="41"/>
    <s v="Partial Credit"/>
    <n v="8923.3700000000008"/>
  </r>
  <r>
    <s v="DIS-0050"/>
    <s v="INV-1050"/>
    <s v="VND-003"/>
    <s v="LogiExpress"/>
    <s v="Logistics"/>
    <s v="East"/>
    <d v="2024-12-27T00:00:00"/>
    <s v="Contract Terms"/>
    <n v="32256.799999999999"/>
    <n v="12012.95"/>
    <s v="Medium"/>
    <s v="Diego Castillo"/>
    <x v="0"/>
    <n v="156"/>
    <d v="2025-02-24T00:00:00"/>
    <n v="59"/>
    <s v="Payment Adjusted"/>
    <n v="3657.58"/>
  </r>
  <r>
    <s v="DIS-0051"/>
    <s v="INV-1051"/>
    <s v="VND-003"/>
    <s v="LogiExpress"/>
    <s v="Logistics"/>
    <s v="East"/>
    <d v="2025-03-06T00:00:00"/>
    <s v="Service Quality"/>
    <n v="67590.820000000007"/>
    <n v="17765.560000000001"/>
    <s v="High"/>
    <s v="Diego Castillo"/>
    <x v="1"/>
    <n v="87"/>
    <m/>
    <m/>
    <s v="Pending"/>
    <n v="0"/>
  </r>
  <r>
    <s v="DIS-0052"/>
    <s v="INV-1052"/>
    <s v="VND-003"/>
    <s v="LogiExpress"/>
    <s v="Logistics"/>
    <s v="East"/>
    <d v="2025-01-31T00:00:00"/>
    <s v="Price Discrepancy"/>
    <n v="68915.59"/>
    <n v="15056.71"/>
    <s v="Low"/>
    <s v="Ana Torres"/>
    <x v="0"/>
    <n v="121"/>
    <d v="2025-04-04T00:00:00"/>
    <n v="63"/>
    <s v="Partial Credit"/>
    <n v="9953.89"/>
  </r>
  <r>
    <s v="DIS-0053"/>
    <s v="INV-1053"/>
    <s v="VND-003"/>
    <s v="LogiExpress"/>
    <s v="Logistics"/>
    <s v="East"/>
    <d v="2024-10-10T00:00:00"/>
    <s v="Contract Terms"/>
    <n v="44371.9"/>
    <n v="23176.51"/>
    <s v="Low"/>
    <s v="Valeria Moreno"/>
    <x v="0"/>
    <n v="234"/>
    <d v="2024-11-13T00:00:00"/>
    <n v="34"/>
    <s v="Full Credit"/>
    <n v="23176.51"/>
  </r>
  <r>
    <s v="DIS-0054"/>
    <s v="INV-1054"/>
    <s v="VND-003"/>
    <s v="LogiExpress"/>
    <s v="Logistics"/>
    <s v="East"/>
    <d v="2024-06-13T00:00:00"/>
    <s v="Price Discrepancy"/>
    <n v="5526.76"/>
    <n v="3389.14"/>
    <s v="High"/>
    <s v="Valeria Moreno"/>
    <x v="0"/>
    <n v="353"/>
    <d v="2024-09-26T00:00:00"/>
    <n v="105"/>
    <s v="Pending"/>
    <n v="0"/>
  </r>
  <r>
    <s v="DIS-0055"/>
    <s v="INV-1055"/>
    <s v="VND-003"/>
    <s v="LogiExpress"/>
    <s v="Logistics"/>
    <s v="East"/>
    <d v="2024-09-08T00:00:00"/>
    <s v="Price Discrepancy"/>
    <n v="49132.24"/>
    <n v="22996.560000000001"/>
    <s v="Critical"/>
    <s v="Juan Vargas"/>
    <x v="0"/>
    <n v="266"/>
    <d v="2024-11-09T00:00:00"/>
    <n v="62"/>
    <s v="Payment Adjusted"/>
    <n v="11386.91"/>
  </r>
  <r>
    <s v="DIS-0056"/>
    <s v="INV-1056"/>
    <s v="VND-003"/>
    <s v="LogiExpress"/>
    <s v="Logistics"/>
    <s v="East"/>
    <d v="2024-07-31T00:00:00"/>
    <s v="Contract Terms"/>
    <n v="35143.31"/>
    <n v="21663.65"/>
    <s v="Medium"/>
    <s v="Valeria Moreno"/>
    <x v="2"/>
    <n v="305"/>
    <d v="2024-10-12T00:00:00"/>
    <n v="73"/>
    <s v="Partial Credit"/>
    <n v="6401.49"/>
  </r>
  <r>
    <s v="DIS-0057"/>
    <s v="INV-1057"/>
    <s v="VND-003"/>
    <s v="LogiExpress"/>
    <s v="Logistics"/>
    <s v="East"/>
    <d v="2024-09-30T00:00:00"/>
    <s v="Missing Goods"/>
    <n v="47756.63"/>
    <n v="29314.58"/>
    <s v="High"/>
    <s v="Juan Vargas"/>
    <x v="0"/>
    <n v="244"/>
    <d v="2024-11-07T00:00:00"/>
    <n v="38"/>
    <s v="Partial Credit"/>
    <n v="18413.28"/>
  </r>
  <r>
    <s v="DIS-0058"/>
    <s v="INV-1058"/>
    <s v="VND-003"/>
    <s v="LogiExpress"/>
    <s v="Logistics"/>
    <s v="East"/>
    <d v="2025-01-31T00:00:00"/>
    <s v="Damaged Goods"/>
    <n v="30812.94"/>
    <n v="8929.0400000000009"/>
    <s v="Medium"/>
    <s v="Sofia Ruiz"/>
    <x v="0"/>
    <n v="121"/>
    <d v="2025-05-02T00:00:00"/>
    <n v="91"/>
    <s v="Full Credit"/>
    <n v="8929.0400000000009"/>
  </r>
  <r>
    <s v="DIS-0059"/>
    <s v="INV-1059"/>
    <s v="VND-003"/>
    <s v="LogiExpress"/>
    <s v="Logistics"/>
    <s v="East"/>
    <d v="2025-02-11T00:00:00"/>
    <s v="Duplicate Invoice"/>
    <n v="11101.74"/>
    <n v="3948.88"/>
    <s v="Medium"/>
    <s v="Ana Torres"/>
    <x v="0"/>
    <n v="110"/>
    <d v="2025-04-08T00:00:00"/>
    <n v="56"/>
    <s v="Full Credit"/>
    <n v="3948.88"/>
  </r>
  <r>
    <s v="DIS-0060"/>
    <s v="INV-1060"/>
    <s v="VND-003"/>
    <s v="LogiExpress"/>
    <s v="Logistics"/>
    <s v="East"/>
    <d v="2024-08-05T00:00:00"/>
    <s v="Service Quality"/>
    <n v="94875.89"/>
    <n v="6133.63"/>
    <s v="High"/>
    <s v="Valeria Moreno"/>
    <x v="0"/>
    <n v="300"/>
    <d v="2024-09-22T00:00:00"/>
    <n v="48"/>
    <s v="Full Credit"/>
    <n v="6133.63"/>
  </r>
  <r>
    <s v="DIS-0061"/>
    <s v="INV-1061"/>
    <s v="VND-003"/>
    <s v="LogiExpress"/>
    <s v="Logistics"/>
    <s v="East"/>
    <d v="2024-11-13T00:00:00"/>
    <s v="Contract Terms"/>
    <n v="86077.56"/>
    <n v="65855.600000000006"/>
    <s v="Medium"/>
    <s v="Luis Herrera"/>
    <x v="0"/>
    <n v="200"/>
    <d v="2024-12-20T00:00:00"/>
    <n v="37"/>
    <s v="Partial Credit"/>
    <n v="14317.99"/>
  </r>
  <r>
    <s v="DIS-0062"/>
    <s v="INV-1062"/>
    <s v="VND-003"/>
    <s v="LogiExpress"/>
    <s v="Logistics"/>
    <s v="East"/>
    <d v="2024-12-10T00:00:00"/>
    <s v="Duplicate Invoice"/>
    <n v="68542.990000000005"/>
    <n v="44457.45"/>
    <s v="High"/>
    <s v="Sofia Ruiz"/>
    <x v="2"/>
    <n v="173"/>
    <d v="2025-02-19T00:00:00"/>
    <n v="71"/>
    <s v="Full Credit"/>
    <n v="44457.45"/>
  </r>
  <r>
    <s v="DIS-0063"/>
    <s v="INV-1063"/>
    <s v="VND-003"/>
    <s v="LogiExpress"/>
    <s v="Logistics"/>
    <s v="East"/>
    <d v="2024-11-11T00:00:00"/>
    <s v="Duplicate Invoice"/>
    <n v="61229.81"/>
    <n v="33508"/>
    <s v="Low"/>
    <s v="Sofia Ruiz"/>
    <x v="2"/>
    <n v="202"/>
    <d v="2024-12-07T00:00:00"/>
    <n v="26"/>
    <s v="Full Credit"/>
    <n v="33508"/>
  </r>
  <r>
    <s v="DIS-0064"/>
    <s v="INV-1064"/>
    <s v="VND-003"/>
    <s v="LogiExpress"/>
    <s v="Logistics"/>
    <s v="East"/>
    <d v="2024-11-18T00:00:00"/>
    <s v="Duplicate Invoice"/>
    <n v="36098.5"/>
    <n v="14115.4"/>
    <s v="Medium"/>
    <s v="Marta Lopez"/>
    <x v="3"/>
    <n v="195"/>
    <d v="2025-03-07T00:00:00"/>
    <n v="109"/>
    <s v="Partial Credit"/>
    <n v="9894.14"/>
  </r>
  <r>
    <s v="DIS-0065"/>
    <s v="INV-1065"/>
    <s v="VND-003"/>
    <s v="LogiExpress"/>
    <s v="Logistics"/>
    <s v="East"/>
    <d v="2024-10-03T00:00:00"/>
    <s v="Missing Goods"/>
    <n v="6841.41"/>
    <n v="3109.86"/>
    <s v="Critical"/>
    <s v="Luis Herrera"/>
    <x v="3"/>
    <n v="241"/>
    <d v="2025-01-13T00:00:00"/>
    <n v="102"/>
    <s v="Pending"/>
    <n v="0"/>
  </r>
  <r>
    <s v="DIS-0066"/>
    <s v="INV-1066"/>
    <s v="VND-003"/>
    <s v="LogiExpress"/>
    <s v="Logistics"/>
    <s v="East"/>
    <d v="2025-05-11T00:00:00"/>
    <s v="Price Discrepancy"/>
    <n v="76652.149999999994"/>
    <n v="58424.94"/>
    <s v="Low"/>
    <s v="Sofia Ruiz"/>
    <x v="1"/>
    <n v="21"/>
    <m/>
    <m/>
    <s v="Pending"/>
    <n v="0"/>
  </r>
  <r>
    <s v="DIS-0067"/>
    <s v="INV-1067"/>
    <s v="VND-003"/>
    <s v="LogiExpress"/>
    <s v="Logistics"/>
    <s v="East"/>
    <d v="2024-10-01T00:00:00"/>
    <s v="Contract Terms"/>
    <n v="68598.59"/>
    <n v="32445.57"/>
    <s v="Low"/>
    <s v="Marta Lopez"/>
    <x v="3"/>
    <n v="243"/>
    <d v="2024-10-25T00:00:00"/>
    <n v="24"/>
    <s v="Partial Credit"/>
    <n v="25250.47"/>
  </r>
  <r>
    <s v="DIS-0068"/>
    <s v="INV-1068"/>
    <s v="VND-003"/>
    <s v="LogiExpress"/>
    <s v="Logistics"/>
    <s v="East"/>
    <d v="2025-04-03T00:00:00"/>
    <s v="Service Quality"/>
    <n v="78890.23"/>
    <n v="13634.15"/>
    <s v="Medium"/>
    <s v="Ana Torres"/>
    <x v="2"/>
    <n v="59"/>
    <d v="2025-05-12T00:00:00"/>
    <n v="39"/>
    <s v="Payment Adjusted"/>
    <n v="6588.96"/>
  </r>
  <r>
    <s v="DIS-0069"/>
    <s v="INV-1069"/>
    <s v="VND-003"/>
    <s v="LogiExpress"/>
    <s v="Logistics"/>
    <s v="East"/>
    <d v="2024-11-09T00:00:00"/>
    <s v="Contract Terms"/>
    <n v="94439.71"/>
    <n v="18769.64"/>
    <s v="Medium"/>
    <s v="Luis Herrera"/>
    <x v="0"/>
    <n v="204"/>
    <d v="2025-02-18T00:00:00"/>
    <n v="101"/>
    <s v="Full Credit"/>
    <n v="18769.64"/>
  </r>
  <r>
    <s v="DIS-0070"/>
    <s v="INV-1070"/>
    <s v="VND-003"/>
    <s v="LogiExpress"/>
    <s v="Logistics"/>
    <s v="East"/>
    <d v="2024-06-15T00:00:00"/>
    <s v="Price Discrepancy"/>
    <n v="62039.1"/>
    <n v="8734.57"/>
    <s v="Critical"/>
    <s v="Diego Castillo"/>
    <x v="0"/>
    <n v="351"/>
    <d v="2024-09-10T00:00:00"/>
    <n v="87"/>
    <s v="Full Credit"/>
    <n v="8734.57"/>
  </r>
  <r>
    <s v="DIS-0071"/>
    <s v="INV-1071"/>
    <s v="VND-003"/>
    <s v="LogiExpress"/>
    <s v="Logistics"/>
    <s v="East"/>
    <d v="2024-09-14T00:00:00"/>
    <s v="Duplicate Invoice"/>
    <n v="66516.61"/>
    <n v="3957.01"/>
    <s v="Medium"/>
    <s v="Carlos Mendez"/>
    <x v="0"/>
    <n v="260"/>
    <d v="2024-11-02T00:00:00"/>
    <n v="49"/>
    <s v="Partial Credit"/>
    <n v="2758.92"/>
  </r>
  <r>
    <s v="DIS-0072"/>
    <s v="INV-1072"/>
    <s v="VND-003"/>
    <s v="LogiExpress"/>
    <s v="Logistics"/>
    <s v="East"/>
    <d v="2024-06-03T00:00:00"/>
    <s v="Contract Terms"/>
    <n v="19534.16"/>
    <n v="3557.22"/>
    <s v="Medium"/>
    <s v="Marta Lopez"/>
    <x v="0"/>
    <n v="363"/>
    <d v="2024-10-01T00:00:00"/>
    <n v="120"/>
    <s v="Partial Credit"/>
    <n v="1743.39"/>
  </r>
  <r>
    <s v="DIS-0073"/>
    <s v="INV-1073"/>
    <s v="VND-003"/>
    <s v="LogiExpress"/>
    <s v="Logistics"/>
    <s v="East"/>
    <d v="2024-10-20T00:00:00"/>
    <s v="Damaged Goods"/>
    <n v="83444.789999999994"/>
    <n v="41251.43"/>
    <s v="Medium"/>
    <s v="Carlos Mendez"/>
    <x v="0"/>
    <n v="224"/>
    <d v="2024-12-19T00:00:00"/>
    <n v="60"/>
    <s v="Full Credit"/>
    <n v="41251.43"/>
  </r>
  <r>
    <s v="DIS-0074"/>
    <s v="INV-1074"/>
    <s v="VND-003"/>
    <s v="LogiExpress"/>
    <s v="Logistics"/>
    <s v="East"/>
    <d v="2024-10-06T00:00:00"/>
    <s v="Duplicate Invoice"/>
    <n v="59135.72"/>
    <n v="32592.14"/>
    <s v="Medium"/>
    <s v="Diego Castillo"/>
    <x v="0"/>
    <n v="238"/>
    <d v="2024-11-05T00:00:00"/>
    <n v="30"/>
    <s v="Full Credit"/>
    <n v="32592.14"/>
  </r>
  <r>
    <s v="DIS-0075"/>
    <s v="INV-1075"/>
    <s v="VND-003"/>
    <s v="LogiExpress"/>
    <s v="Logistics"/>
    <s v="East"/>
    <d v="2025-01-19T00:00:00"/>
    <s v="Missing Goods"/>
    <n v="37332.19"/>
    <n v="26514.81"/>
    <s v="High"/>
    <s v="Ana Torres"/>
    <x v="0"/>
    <n v="133"/>
    <d v="2025-02-15T00:00:00"/>
    <n v="27"/>
    <s v="Full Credit"/>
    <n v="26514.81"/>
  </r>
  <r>
    <s v="DIS-0076"/>
    <s v="INV-1076"/>
    <s v="VND-003"/>
    <s v="LogiExpress"/>
    <s v="Logistics"/>
    <s v="East"/>
    <d v="2024-11-04T00:00:00"/>
    <s v="Contract Terms"/>
    <n v="51414.9"/>
    <n v="31806.46"/>
    <s v="High"/>
    <s v="Juan Vargas"/>
    <x v="0"/>
    <n v="209"/>
    <d v="2024-11-09T00:00:00"/>
    <n v="5"/>
    <s v="Full Credit"/>
    <n v="31806.46"/>
  </r>
  <r>
    <s v="DIS-0077"/>
    <s v="INV-1077"/>
    <s v="VND-003"/>
    <s v="LogiExpress"/>
    <s v="Logistics"/>
    <s v="East"/>
    <d v="2025-02-07T00:00:00"/>
    <s v="Missing Goods"/>
    <n v="43418.11"/>
    <n v="10093.790000000001"/>
    <s v="High"/>
    <s v="Juan Vargas"/>
    <x v="0"/>
    <n v="114"/>
    <d v="2025-03-26T00:00:00"/>
    <n v="47"/>
    <s v="Partial Credit"/>
    <n v="6536.35"/>
  </r>
  <r>
    <s v="DIS-0078"/>
    <s v="INV-1078"/>
    <s v="VND-004"/>
    <s v="Grupo Servicios Pro"/>
    <s v="Services"/>
    <s v="East"/>
    <d v="2024-06-06T00:00:00"/>
    <s v="Contract Terms"/>
    <n v="48105.8"/>
    <n v="13468.05"/>
    <s v="Low"/>
    <s v="Luis Herrera"/>
    <x v="0"/>
    <n v="360"/>
    <d v="2024-09-12T00:00:00"/>
    <n v="98"/>
    <s v="Partial Credit"/>
    <n v="8852.73"/>
  </r>
  <r>
    <s v="DIS-0079"/>
    <s v="INV-1079"/>
    <s v="VND-004"/>
    <s v="Grupo Servicios Pro"/>
    <s v="Services"/>
    <s v="East"/>
    <d v="2025-02-26T00:00:00"/>
    <s v="Service Quality"/>
    <n v="23196.39"/>
    <n v="14009.54"/>
    <s v="Medium"/>
    <s v="Marta Lopez"/>
    <x v="2"/>
    <n v="95"/>
    <d v="2025-03-25T00:00:00"/>
    <n v="27"/>
    <s v="Full Credit"/>
    <n v="14009.54"/>
  </r>
  <r>
    <s v="DIS-0080"/>
    <s v="INV-1080"/>
    <s v="VND-004"/>
    <s v="Grupo Servicios Pro"/>
    <s v="Services"/>
    <s v="East"/>
    <d v="2024-11-28T00:00:00"/>
    <s v="Missing Goods"/>
    <n v="22046.95"/>
    <n v="1336.29"/>
    <s v="Medium"/>
    <s v="Ana Torres"/>
    <x v="2"/>
    <n v="185"/>
    <d v="2025-02-09T00:00:00"/>
    <n v="73"/>
    <s v="Full Credit"/>
    <n v="1336.29"/>
  </r>
  <r>
    <s v="DIS-0081"/>
    <s v="INV-1081"/>
    <s v="VND-004"/>
    <s v="Grupo Servicios Pro"/>
    <s v="Services"/>
    <s v="East"/>
    <d v="2025-03-28T00:00:00"/>
    <s v="Price Discrepancy"/>
    <n v="65597.62"/>
    <n v="40315.910000000003"/>
    <s v="Low"/>
    <s v="Marta Lopez"/>
    <x v="0"/>
    <n v="65"/>
    <d v="2025-04-28T00:00:00"/>
    <n v="31"/>
    <s v="Full Credit"/>
    <n v="40315.910000000003"/>
  </r>
  <r>
    <s v="DIS-0082"/>
    <s v="INV-1082"/>
    <s v="VND-004"/>
    <s v="Grupo Servicios Pro"/>
    <s v="Services"/>
    <s v="East"/>
    <d v="2025-05-05T00:00:00"/>
    <s v="Price Discrepancy"/>
    <n v="28985.45"/>
    <n v="20182.34"/>
    <s v="Low"/>
    <s v="Valeria Moreno"/>
    <x v="4"/>
    <n v="27"/>
    <m/>
    <m/>
    <s v="Pending"/>
    <n v="0"/>
  </r>
  <r>
    <s v="DIS-0083"/>
    <s v="INV-1083"/>
    <s v="VND-004"/>
    <s v="Grupo Servicios Pro"/>
    <s v="Services"/>
    <s v="East"/>
    <d v="2024-08-09T00:00:00"/>
    <s v="Service Quality"/>
    <n v="64797.34"/>
    <n v="5845.16"/>
    <s v="Low"/>
    <s v="Marta Lopez"/>
    <x v="4"/>
    <n v="296"/>
    <m/>
    <m/>
    <s v="Pending"/>
    <n v="0"/>
  </r>
  <r>
    <s v="DIS-0084"/>
    <s v="INV-1084"/>
    <s v="VND-004"/>
    <s v="Grupo Servicios Pro"/>
    <s v="Services"/>
    <s v="East"/>
    <d v="2025-01-24T00:00:00"/>
    <s v="Service Quality"/>
    <n v="16252.9"/>
    <n v="10130.959999999999"/>
    <s v="Medium"/>
    <s v="Luis Herrera"/>
    <x v="3"/>
    <n v="128"/>
    <d v="2025-03-16T00:00:00"/>
    <n v="51"/>
    <s v="Partial Credit"/>
    <n v="4717.3100000000004"/>
  </r>
  <r>
    <s v="DIS-0085"/>
    <s v="INV-1085"/>
    <s v="VND-004"/>
    <s v="Grupo Servicios Pro"/>
    <s v="Services"/>
    <s v="East"/>
    <d v="2024-08-03T00:00:00"/>
    <s v="Service Quality"/>
    <n v="99052.97"/>
    <n v="27639.26"/>
    <s v="Medium"/>
    <s v="Carlos Mendez"/>
    <x v="2"/>
    <n v="302"/>
    <d v="2024-09-01T00:00:00"/>
    <n v="29"/>
    <s v="Partial Credit"/>
    <n v="9916.6299999999992"/>
  </r>
  <r>
    <s v="DIS-0086"/>
    <s v="INV-1086"/>
    <s v="VND-004"/>
    <s v="Grupo Servicios Pro"/>
    <s v="Services"/>
    <s v="East"/>
    <d v="2025-04-20T00:00:00"/>
    <s v="Price Discrepancy"/>
    <n v="19920.419999999998"/>
    <n v="3592.85"/>
    <s v="Low"/>
    <s v="Valeria Moreno"/>
    <x v="0"/>
    <n v="42"/>
    <d v="2025-05-31T00:00:00"/>
    <n v="41"/>
    <s v="Partial Credit"/>
    <n v="788.93"/>
  </r>
  <r>
    <s v="DIS-0087"/>
    <s v="INV-1087"/>
    <s v="VND-004"/>
    <s v="Grupo Servicios Pro"/>
    <s v="Services"/>
    <s v="East"/>
    <d v="2025-01-04T00:00:00"/>
    <s v="Contract Terms"/>
    <n v="72160.800000000003"/>
    <n v="41654.15"/>
    <s v="Medium"/>
    <s v="Luis Herrera"/>
    <x v="2"/>
    <n v="148"/>
    <d v="2025-04-17T00:00:00"/>
    <n v="103"/>
    <s v="Payment Adjusted"/>
    <n v="13992.29"/>
  </r>
  <r>
    <s v="DIS-0088"/>
    <s v="INV-1088"/>
    <s v="VND-004"/>
    <s v="Grupo Servicios Pro"/>
    <s v="Services"/>
    <s v="East"/>
    <d v="2025-02-19T00:00:00"/>
    <s v="Missing Goods"/>
    <n v="45388.2"/>
    <n v="20806.939999999999"/>
    <s v="Medium"/>
    <s v="Sofia Ruiz"/>
    <x v="4"/>
    <n v="102"/>
    <m/>
    <m/>
    <s v="Pending"/>
    <n v="0"/>
  </r>
  <r>
    <s v="DIS-0089"/>
    <s v="INV-1089"/>
    <s v="VND-004"/>
    <s v="Grupo Servicios Pro"/>
    <s v="Services"/>
    <s v="East"/>
    <d v="2025-03-08T00:00:00"/>
    <s v="Missing Goods"/>
    <n v="80299.710000000006"/>
    <n v="39851.379999999997"/>
    <s v="High"/>
    <s v="Juan Vargas"/>
    <x v="1"/>
    <n v="85"/>
    <m/>
    <m/>
    <s v="Pending"/>
    <n v="0"/>
  </r>
  <r>
    <s v="DIS-0090"/>
    <s v="INV-1090"/>
    <s v="VND-004"/>
    <s v="Grupo Servicios Pro"/>
    <s v="Services"/>
    <s v="East"/>
    <d v="2024-06-13T00:00:00"/>
    <s v="Service Quality"/>
    <n v="33888.660000000003"/>
    <n v="11924.79"/>
    <s v="Medium"/>
    <s v="Juan Vargas"/>
    <x v="0"/>
    <n v="353"/>
    <d v="2024-08-31T00:00:00"/>
    <n v="79"/>
    <s v="Full Credit"/>
    <n v="11924.79"/>
  </r>
  <r>
    <s v="DIS-0091"/>
    <s v="INV-1091"/>
    <s v="VND-004"/>
    <s v="Grupo Servicios Pro"/>
    <s v="Services"/>
    <s v="East"/>
    <d v="2024-10-22T00:00:00"/>
    <s v="Damaged Goods"/>
    <n v="74780.72"/>
    <n v="37598.639999999999"/>
    <s v="Low"/>
    <s v="Ana Torres"/>
    <x v="2"/>
    <n v="222"/>
    <d v="2025-01-19T00:00:00"/>
    <n v="89"/>
    <s v="No Action"/>
    <n v="0"/>
  </r>
  <r>
    <s v="DIS-0092"/>
    <s v="INV-1092"/>
    <s v="VND-004"/>
    <s v="Grupo Servicios Pro"/>
    <s v="Services"/>
    <s v="East"/>
    <d v="2024-08-09T00:00:00"/>
    <s v="Contract Terms"/>
    <n v="8822.01"/>
    <n v="5444.96"/>
    <s v="Medium"/>
    <s v="Juan Vargas"/>
    <x v="2"/>
    <n v="296"/>
    <d v="2024-09-04T00:00:00"/>
    <n v="26"/>
    <s v="Pending"/>
    <n v="0"/>
  </r>
  <r>
    <s v="DIS-0093"/>
    <s v="INV-1093"/>
    <s v="VND-004"/>
    <s v="Grupo Servicios Pro"/>
    <s v="Services"/>
    <s v="East"/>
    <d v="2024-10-20T00:00:00"/>
    <s v="Missing Goods"/>
    <n v="65304.55"/>
    <n v="27349.18"/>
    <s v="Low"/>
    <s v="Valeria Moreno"/>
    <x v="0"/>
    <n v="224"/>
    <d v="2025-01-16T00:00:00"/>
    <n v="88"/>
    <s v="Full Credit"/>
    <n v="27349.18"/>
  </r>
  <r>
    <s v="DIS-0094"/>
    <s v="INV-1094"/>
    <s v="VND-004"/>
    <s v="Grupo Servicios Pro"/>
    <s v="Services"/>
    <s v="East"/>
    <d v="2025-03-10T00:00:00"/>
    <s v="Duplicate Invoice"/>
    <n v="36331.35"/>
    <n v="20718.14"/>
    <s v="Medium"/>
    <s v="Ana Torres"/>
    <x v="0"/>
    <n v="83"/>
    <d v="2025-04-22T00:00:00"/>
    <n v="43"/>
    <s v="Full Credit"/>
    <n v="20718.14"/>
  </r>
  <r>
    <s v="DIS-0095"/>
    <s v="INV-1095"/>
    <s v="VND-004"/>
    <s v="Grupo Servicios Pro"/>
    <s v="Services"/>
    <s v="East"/>
    <d v="2025-04-02T00:00:00"/>
    <s v="Price Discrepancy"/>
    <n v="97167.55"/>
    <n v="34312.9"/>
    <s v="Medium"/>
    <s v="Juan Vargas"/>
    <x v="0"/>
    <n v="60"/>
    <d v="2025-04-17T00:00:00"/>
    <n v="15"/>
    <s v="Partial Credit"/>
    <n v="19681.2"/>
  </r>
  <r>
    <s v="DIS-0096"/>
    <s v="INV-1096"/>
    <s v="VND-004"/>
    <s v="Grupo Servicios Pro"/>
    <s v="Services"/>
    <s v="East"/>
    <d v="2024-09-18T00:00:00"/>
    <s v="Service Quality"/>
    <n v="64413.83"/>
    <n v="39936.120000000003"/>
    <s v="Low"/>
    <s v="Sofia Ruiz"/>
    <x v="2"/>
    <n v="256"/>
    <d v="2024-11-16T00:00:00"/>
    <n v="59"/>
    <s v="No Action"/>
    <n v="0"/>
  </r>
  <r>
    <s v="DIS-0097"/>
    <s v="INV-1097"/>
    <s v="VND-004"/>
    <s v="Grupo Servicios Pro"/>
    <s v="Services"/>
    <s v="East"/>
    <d v="2024-09-25T00:00:00"/>
    <s v="Damaged Goods"/>
    <n v="16535.48"/>
    <n v="12895.36"/>
    <s v="Medium"/>
    <s v="Sofia Ruiz"/>
    <x v="0"/>
    <n v="249"/>
    <d v="2024-09-29T00:00:00"/>
    <n v="4"/>
    <s v="Partial Credit"/>
    <n v="3300.25"/>
  </r>
  <r>
    <s v="DIS-0098"/>
    <s v="INV-1098"/>
    <s v="VND-004"/>
    <s v="Grupo Servicios Pro"/>
    <s v="Services"/>
    <s v="East"/>
    <d v="2025-04-03T00:00:00"/>
    <s v="Duplicate Invoice"/>
    <n v="48837.55"/>
    <n v="6744.45"/>
    <s v="High"/>
    <s v="Marta Lopez"/>
    <x v="0"/>
    <n v="59"/>
    <d v="2025-04-23T00:00:00"/>
    <n v="20"/>
    <s v="Partial Credit"/>
    <n v="3301.41"/>
  </r>
  <r>
    <s v="DIS-0099"/>
    <s v="INV-1099"/>
    <s v="VND-004"/>
    <s v="Grupo Servicios Pro"/>
    <s v="Services"/>
    <s v="East"/>
    <d v="2024-10-02T00:00:00"/>
    <s v="Service Quality"/>
    <n v="28154.44"/>
    <n v="13048.14"/>
    <s v="Medium"/>
    <s v="Sofia Ruiz"/>
    <x v="2"/>
    <n v="242"/>
    <d v="2024-11-09T00:00:00"/>
    <n v="38"/>
    <s v="Payment Adjusted"/>
    <n v="5764.21"/>
  </r>
  <r>
    <s v="DIS-0100"/>
    <s v="INV-1100"/>
    <s v="VND-004"/>
    <s v="Grupo Servicios Pro"/>
    <s v="Services"/>
    <s v="East"/>
    <d v="2024-12-08T00:00:00"/>
    <s v="Missing Goods"/>
    <n v="93753.600000000006"/>
    <n v="40389.360000000001"/>
    <s v="High"/>
    <s v="Marta Lopez"/>
    <x v="2"/>
    <n v="175"/>
    <d v="2025-02-23T00:00:00"/>
    <n v="77"/>
    <s v="Pending"/>
    <n v="0"/>
  </r>
  <r>
    <s v="DIS-0101"/>
    <s v="INV-1101"/>
    <s v="VND-004"/>
    <s v="Grupo Servicios Pro"/>
    <s v="Services"/>
    <s v="East"/>
    <d v="2024-09-23T00:00:00"/>
    <s v="Missing Goods"/>
    <n v="87199.76"/>
    <n v="33564.11"/>
    <s v="Medium"/>
    <s v="Valeria Moreno"/>
    <x v="0"/>
    <n v="251"/>
    <d v="2024-11-06T00:00:00"/>
    <n v="44"/>
    <s v="No Action"/>
    <n v="0"/>
  </r>
  <r>
    <s v="DIS-0102"/>
    <s v="INV-1102"/>
    <s v="VND-004"/>
    <s v="Grupo Servicios Pro"/>
    <s v="Services"/>
    <s v="East"/>
    <d v="2024-06-08T00:00:00"/>
    <s v="Duplicate Invoice"/>
    <n v="27686.53"/>
    <n v="9336.68"/>
    <s v="High"/>
    <s v="Ana Torres"/>
    <x v="0"/>
    <n v="358"/>
    <d v="2024-08-10T00:00:00"/>
    <n v="63"/>
    <s v="Payment Adjusted"/>
    <n v="3964.01"/>
  </r>
  <r>
    <s v="DIS-0103"/>
    <s v="INV-1103"/>
    <s v="VND-004"/>
    <s v="Grupo Servicios Pro"/>
    <s v="Services"/>
    <s v="East"/>
    <d v="2024-11-15T00:00:00"/>
    <s v="Damaged Goods"/>
    <n v="98899.33"/>
    <n v="63720.37"/>
    <s v="High"/>
    <s v="Juan Vargas"/>
    <x v="2"/>
    <n v="198"/>
    <d v="2024-12-04T00:00:00"/>
    <n v="19"/>
    <s v="Partial Credit"/>
    <n v="35307.980000000003"/>
  </r>
  <r>
    <s v="DIS-0104"/>
    <s v="INV-1104"/>
    <s v="VND-004"/>
    <s v="Grupo Servicios Pro"/>
    <s v="Services"/>
    <s v="East"/>
    <d v="2025-04-10T00:00:00"/>
    <s v="Duplicate Invoice"/>
    <n v="88048.09"/>
    <n v="33478.5"/>
    <s v="Medium"/>
    <s v="Ana Torres"/>
    <x v="3"/>
    <n v="52"/>
    <d v="2025-05-09T00:00:00"/>
    <n v="29"/>
    <s v="No Action"/>
    <n v="0"/>
  </r>
  <r>
    <s v="DIS-0105"/>
    <s v="INV-1105"/>
    <s v="VND-004"/>
    <s v="Grupo Servicios Pro"/>
    <s v="Services"/>
    <s v="East"/>
    <d v="2025-03-13T00:00:00"/>
    <s v="Service Quality"/>
    <n v="12108.68"/>
    <n v="7702.86"/>
    <s v="Medium"/>
    <s v="Valeria Moreno"/>
    <x v="0"/>
    <n v="80"/>
    <d v="2025-04-27T00:00:00"/>
    <n v="45"/>
    <s v="No Action"/>
    <n v="0"/>
  </r>
  <r>
    <s v="DIS-0106"/>
    <s v="INV-1106"/>
    <s v="VND-004"/>
    <s v="Grupo Servicios Pro"/>
    <s v="Services"/>
    <s v="East"/>
    <d v="2024-08-31T00:00:00"/>
    <s v="Duplicate Invoice"/>
    <n v="41100.89"/>
    <n v="11816.34"/>
    <s v="High"/>
    <s v="Ana Torres"/>
    <x v="0"/>
    <n v="274"/>
    <d v="2024-10-03T00:00:00"/>
    <n v="33"/>
    <s v="Partial Credit"/>
    <n v="8892.4699999999993"/>
  </r>
  <r>
    <s v="DIS-0107"/>
    <s v="INV-1107"/>
    <s v="VND-004"/>
    <s v="Grupo Servicios Pro"/>
    <s v="Services"/>
    <s v="East"/>
    <d v="2025-02-04T00:00:00"/>
    <s v="Contract Terms"/>
    <n v="75942.8"/>
    <n v="28514.9"/>
    <s v="Low"/>
    <s v="Carlos Mendez"/>
    <x v="0"/>
    <n v="117"/>
    <d v="2025-05-06T00:00:00"/>
    <n v="91"/>
    <s v="Full Credit"/>
    <n v="28514.9"/>
  </r>
  <r>
    <s v="DIS-0108"/>
    <s v="INV-1108"/>
    <s v="VND-004"/>
    <s v="Grupo Servicios Pro"/>
    <s v="Services"/>
    <s v="East"/>
    <d v="2025-05-17T00:00:00"/>
    <s v="Missing Goods"/>
    <n v="9369.14"/>
    <n v="6062.84"/>
    <s v="Medium"/>
    <s v="Valeria Moreno"/>
    <x v="1"/>
    <n v="15"/>
    <m/>
    <m/>
    <s v="Pending"/>
    <n v="0"/>
  </r>
  <r>
    <s v="DIS-0109"/>
    <s v="INV-1109"/>
    <s v="VND-005"/>
    <s v="EnergyPlus Corp"/>
    <s v="Utilities"/>
    <s v="Central"/>
    <d v="2024-08-15T00:00:00"/>
    <s v="Service Quality"/>
    <n v="69771.039999999994"/>
    <n v="12910.62"/>
    <s v="Low"/>
    <s v="Valeria Moreno"/>
    <x v="0"/>
    <n v="290"/>
    <d v="2024-09-17T00:00:00"/>
    <n v="33"/>
    <s v="Partial Credit"/>
    <n v="7099.48"/>
  </r>
  <r>
    <s v="DIS-0110"/>
    <s v="INV-1110"/>
    <s v="VND-005"/>
    <s v="EnergyPlus Corp"/>
    <s v="Utilities"/>
    <s v="Central"/>
    <d v="2025-02-02T00:00:00"/>
    <s v="Price Discrepancy"/>
    <n v="48809.24"/>
    <n v="11737.79"/>
    <s v="Medium"/>
    <s v="Juan Vargas"/>
    <x v="2"/>
    <n v="119"/>
    <d v="2025-05-02T00:00:00"/>
    <n v="89"/>
    <s v="Partial Credit"/>
    <n v="2867.74"/>
  </r>
  <r>
    <s v="DIS-0111"/>
    <s v="INV-1111"/>
    <s v="VND-005"/>
    <s v="EnergyPlus Corp"/>
    <s v="Utilities"/>
    <s v="Central"/>
    <d v="2024-12-06T00:00:00"/>
    <s v="Contract Terms"/>
    <n v="98826.91"/>
    <n v="27114.71"/>
    <s v="Critical"/>
    <s v="Marta Lopez"/>
    <x v="0"/>
    <n v="177"/>
    <d v="2025-01-16T00:00:00"/>
    <n v="41"/>
    <s v="Full Credit"/>
    <n v="27114.71"/>
  </r>
  <r>
    <s v="DIS-0112"/>
    <s v="INV-1112"/>
    <s v="VND-005"/>
    <s v="EnergyPlus Corp"/>
    <s v="Utilities"/>
    <s v="Central"/>
    <d v="2024-11-16T00:00:00"/>
    <s v="Missing Goods"/>
    <n v="86066.87"/>
    <n v="11187.83"/>
    <s v="Medium"/>
    <s v="Marta Lopez"/>
    <x v="2"/>
    <n v="197"/>
    <d v="2024-12-26T00:00:00"/>
    <n v="40"/>
    <s v="Full Credit"/>
    <n v="11187.83"/>
  </r>
  <r>
    <s v="DIS-0113"/>
    <s v="INV-1113"/>
    <s v="VND-005"/>
    <s v="EnergyPlus Corp"/>
    <s v="Utilities"/>
    <s v="Central"/>
    <d v="2024-06-28T00:00:00"/>
    <s v="Contract Terms"/>
    <n v="42601.55"/>
    <n v="2388.8200000000002"/>
    <s v="High"/>
    <s v="Ana Torres"/>
    <x v="2"/>
    <n v="338"/>
    <d v="2024-10-04T00:00:00"/>
    <n v="98"/>
    <s v="Partial Credit"/>
    <n v="1773.68"/>
  </r>
  <r>
    <s v="DIS-0114"/>
    <s v="INV-1114"/>
    <s v="VND-005"/>
    <s v="EnergyPlus Corp"/>
    <s v="Utilities"/>
    <s v="Central"/>
    <d v="2025-01-05T00:00:00"/>
    <s v="Damaged Goods"/>
    <n v="78695.39"/>
    <n v="17516.71"/>
    <s v="High"/>
    <s v="Luis Herrera"/>
    <x v="0"/>
    <n v="147"/>
    <d v="2025-04-04T00:00:00"/>
    <n v="89"/>
    <s v="Payment Adjusted"/>
    <n v="7129.1"/>
  </r>
  <r>
    <s v="DIS-0115"/>
    <s v="INV-1115"/>
    <s v="VND-005"/>
    <s v="EnergyPlus Corp"/>
    <s v="Utilities"/>
    <s v="Central"/>
    <d v="2024-06-17T00:00:00"/>
    <s v="Contract Terms"/>
    <n v="84642.03"/>
    <n v="44114.25"/>
    <s v="Critical"/>
    <s v="Ana Torres"/>
    <x v="0"/>
    <n v="349"/>
    <d v="2024-08-15T00:00:00"/>
    <n v="59"/>
    <s v="Full Credit"/>
    <n v="44114.25"/>
  </r>
  <r>
    <s v="DIS-0116"/>
    <s v="INV-1116"/>
    <s v="VND-005"/>
    <s v="EnergyPlus Corp"/>
    <s v="Utilities"/>
    <s v="Central"/>
    <d v="2024-11-26T00:00:00"/>
    <s v="Contract Terms"/>
    <n v="74574.179999999993"/>
    <n v="8769.93"/>
    <s v="Medium"/>
    <s v="Valeria Moreno"/>
    <x v="0"/>
    <n v="187"/>
    <d v="2024-12-15T00:00:00"/>
    <n v="19"/>
    <s v="Payment Adjusted"/>
    <n v="3951.59"/>
  </r>
  <r>
    <s v="DIS-0117"/>
    <s v="INV-1117"/>
    <s v="VND-005"/>
    <s v="EnergyPlus Corp"/>
    <s v="Utilities"/>
    <s v="Central"/>
    <d v="2024-11-25T00:00:00"/>
    <s v="Missing Goods"/>
    <n v="55430.98"/>
    <n v="40748.160000000003"/>
    <s v="High"/>
    <s v="Juan Vargas"/>
    <x v="2"/>
    <n v="188"/>
    <d v="2025-01-04T00:00:00"/>
    <n v="40"/>
    <s v="Payment Adjusted"/>
    <n v="9595.6299999999992"/>
  </r>
  <r>
    <s v="DIS-0118"/>
    <s v="INV-1118"/>
    <s v="VND-005"/>
    <s v="EnergyPlus Corp"/>
    <s v="Utilities"/>
    <s v="Central"/>
    <d v="2025-04-03T00:00:00"/>
    <s v="Damaged Goods"/>
    <n v="49491.48"/>
    <n v="5269.58"/>
    <s v="High"/>
    <s v="Valeria Moreno"/>
    <x v="2"/>
    <n v="59"/>
    <d v="2025-05-27T00:00:00"/>
    <n v="54"/>
    <s v="Partial Credit"/>
    <n v="1339.43"/>
  </r>
  <r>
    <s v="DIS-0119"/>
    <s v="INV-1119"/>
    <s v="VND-005"/>
    <s v="EnergyPlus Corp"/>
    <s v="Utilities"/>
    <s v="Central"/>
    <d v="2024-11-10T00:00:00"/>
    <s v="Contract Terms"/>
    <n v="6322.27"/>
    <n v="2860.38"/>
    <s v="Medium"/>
    <s v="Marta Lopez"/>
    <x v="0"/>
    <n v="203"/>
    <d v="2025-02-26T00:00:00"/>
    <n v="108"/>
    <s v="Partial Credit"/>
    <n v="1209.6099999999999"/>
  </r>
  <r>
    <s v="DIS-0120"/>
    <s v="INV-1120"/>
    <s v="VND-005"/>
    <s v="EnergyPlus Corp"/>
    <s v="Utilities"/>
    <s v="Central"/>
    <d v="2024-06-20T00:00:00"/>
    <s v="Service Quality"/>
    <n v="27213.08"/>
    <n v="1871.4"/>
    <s v="High"/>
    <s v="Diego Castillo"/>
    <x v="2"/>
    <n v="346"/>
    <d v="2024-07-21T00:00:00"/>
    <n v="31"/>
    <s v="Partial Credit"/>
    <n v="1087.74"/>
  </r>
  <r>
    <s v="DIS-0121"/>
    <s v="INV-1121"/>
    <s v="VND-005"/>
    <s v="EnergyPlus Corp"/>
    <s v="Utilities"/>
    <s v="Central"/>
    <d v="2024-10-06T00:00:00"/>
    <s v="Damaged Goods"/>
    <n v="91391.83"/>
    <n v="25282.880000000001"/>
    <s v="Medium"/>
    <s v="Ana Torres"/>
    <x v="2"/>
    <n v="238"/>
    <d v="2024-11-16T00:00:00"/>
    <n v="41"/>
    <s v="Pending"/>
    <n v="0"/>
  </r>
  <r>
    <s v="DIS-0122"/>
    <s v="INV-1122"/>
    <s v="VND-005"/>
    <s v="EnergyPlus Corp"/>
    <s v="Utilities"/>
    <s v="Central"/>
    <d v="2025-04-02T00:00:00"/>
    <s v="Duplicate Invoice"/>
    <n v="14233.24"/>
    <n v="10183.09"/>
    <s v="Low"/>
    <s v="Diego Castillo"/>
    <x v="0"/>
    <n v="60"/>
    <d v="2025-05-22T00:00:00"/>
    <n v="50"/>
    <s v="Payment Adjusted"/>
    <n v="3218.64"/>
  </r>
  <r>
    <s v="DIS-0123"/>
    <s v="INV-1123"/>
    <s v="VND-005"/>
    <s v="EnergyPlus Corp"/>
    <s v="Utilities"/>
    <s v="Central"/>
    <d v="2024-08-04T00:00:00"/>
    <s v="Price Discrepancy"/>
    <n v="75515.56"/>
    <n v="12527.44"/>
    <s v="Medium"/>
    <s v="Juan Vargas"/>
    <x v="0"/>
    <n v="301"/>
    <d v="2024-09-11T00:00:00"/>
    <n v="38"/>
    <s v="Full Credit"/>
    <n v="12527.44"/>
  </r>
  <r>
    <s v="DIS-0124"/>
    <s v="INV-1124"/>
    <s v="VND-005"/>
    <s v="EnergyPlus Corp"/>
    <s v="Utilities"/>
    <s v="Central"/>
    <d v="2024-11-23T00:00:00"/>
    <s v="Missing Goods"/>
    <n v="25640.62"/>
    <n v="9833.74"/>
    <s v="Low"/>
    <s v="Carlos Mendez"/>
    <x v="2"/>
    <n v="190"/>
    <d v="2025-01-12T00:00:00"/>
    <n v="50"/>
    <s v="Partial Credit"/>
    <n v="7736.26"/>
  </r>
  <r>
    <s v="DIS-0125"/>
    <s v="INV-1125"/>
    <s v="VND-005"/>
    <s v="EnergyPlus Corp"/>
    <s v="Utilities"/>
    <s v="Central"/>
    <d v="2024-11-29T00:00:00"/>
    <s v="Duplicate Invoice"/>
    <n v="10752.26"/>
    <n v="2762.37"/>
    <s v="Critical"/>
    <s v="Carlos Mendez"/>
    <x v="3"/>
    <n v="184"/>
    <d v="2025-02-22T00:00:00"/>
    <n v="85"/>
    <s v="Partial Credit"/>
    <n v="2161.9899999999998"/>
  </r>
  <r>
    <s v="DIS-0126"/>
    <s v="INV-1126"/>
    <s v="VND-005"/>
    <s v="EnergyPlus Corp"/>
    <s v="Utilities"/>
    <s v="Central"/>
    <d v="2025-05-06T00:00:00"/>
    <s v="Service Quality"/>
    <n v="79745.490000000005"/>
    <n v="18554.919999999998"/>
    <s v="Low"/>
    <s v="Luis Herrera"/>
    <x v="1"/>
    <n v="26"/>
    <m/>
    <m/>
    <s v="Pending"/>
    <n v="0"/>
  </r>
  <r>
    <s v="DIS-0127"/>
    <s v="INV-1127"/>
    <s v="VND-005"/>
    <s v="EnergyPlus Corp"/>
    <s v="Utilities"/>
    <s v="Central"/>
    <d v="2024-08-21T00:00:00"/>
    <s v="Missing Goods"/>
    <n v="24679.95"/>
    <n v="5231.25"/>
    <s v="High"/>
    <s v="Sofia Ruiz"/>
    <x v="3"/>
    <n v="284"/>
    <d v="2024-11-08T00:00:00"/>
    <n v="79"/>
    <s v="Full Credit"/>
    <n v="5231.25"/>
  </r>
  <r>
    <s v="DIS-0128"/>
    <s v="INV-1128"/>
    <s v="VND-005"/>
    <s v="EnergyPlus Corp"/>
    <s v="Utilities"/>
    <s v="Central"/>
    <d v="2025-03-18T00:00:00"/>
    <s v="Price Discrepancy"/>
    <n v="98815.09"/>
    <n v="44976.83"/>
    <s v="High"/>
    <s v="Ana Torres"/>
    <x v="1"/>
    <n v="75"/>
    <m/>
    <m/>
    <s v="Pending"/>
    <n v="0"/>
  </r>
  <r>
    <s v="DIS-0129"/>
    <s v="INV-1129"/>
    <s v="VND-005"/>
    <s v="EnergyPlus Corp"/>
    <s v="Utilities"/>
    <s v="Central"/>
    <d v="2024-11-29T00:00:00"/>
    <s v="Damaged Goods"/>
    <n v="80048.539999999994"/>
    <n v="18286.990000000002"/>
    <s v="Medium"/>
    <s v="Marta Lopez"/>
    <x v="4"/>
    <n v="184"/>
    <m/>
    <m/>
    <s v="Pending"/>
    <n v="0"/>
  </r>
  <r>
    <s v="DIS-0130"/>
    <s v="INV-1130"/>
    <s v="VND-005"/>
    <s v="EnergyPlus Corp"/>
    <s v="Utilities"/>
    <s v="Central"/>
    <d v="2024-10-28T00:00:00"/>
    <s v="Missing Goods"/>
    <n v="54978.13"/>
    <n v="33495.370000000003"/>
    <s v="Medium"/>
    <s v="Carlos Mendez"/>
    <x v="0"/>
    <n v="216"/>
    <d v="2024-11-28T00:00:00"/>
    <n v="31"/>
    <s v="Pending"/>
    <n v="0"/>
  </r>
  <r>
    <s v="DIS-0131"/>
    <s v="INV-1131"/>
    <s v="VND-005"/>
    <s v="EnergyPlus Corp"/>
    <s v="Utilities"/>
    <s v="Central"/>
    <d v="2025-05-09T00:00:00"/>
    <s v="Missing Goods"/>
    <n v="74088.08"/>
    <n v="54200.15"/>
    <s v="High"/>
    <s v="Juan Vargas"/>
    <x v="4"/>
    <n v="23"/>
    <m/>
    <m/>
    <s v="Pending"/>
    <n v="0"/>
  </r>
  <r>
    <s v="DIS-0132"/>
    <s v="INV-1132"/>
    <s v="VND-005"/>
    <s v="EnergyPlus Corp"/>
    <s v="Utilities"/>
    <s v="Central"/>
    <d v="2025-05-16T00:00:00"/>
    <s v="Contract Terms"/>
    <n v="10778.41"/>
    <n v="4410.92"/>
    <s v="Medium"/>
    <s v="Carlos Mendez"/>
    <x v="4"/>
    <n v="16"/>
    <m/>
    <m/>
    <s v="Pending"/>
    <n v="0"/>
  </r>
  <r>
    <s v="DIS-0133"/>
    <s v="INV-1133"/>
    <s v="VND-005"/>
    <s v="EnergyPlus Corp"/>
    <s v="Utilities"/>
    <s v="Central"/>
    <d v="2024-10-16T00:00:00"/>
    <s v="Price Discrepancy"/>
    <n v="11981.62"/>
    <n v="1325.08"/>
    <s v="Medium"/>
    <s v="Sofia Ruiz"/>
    <x v="0"/>
    <n v="228"/>
    <d v="2025-01-08T00:00:00"/>
    <n v="84"/>
    <s v="Partial Credit"/>
    <n v="831.21"/>
  </r>
  <r>
    <s v="DIS-0134"/>
    <s v="INV-1134"/>
    <s v="VND-005"/>
    <s v="EnergyPlus Corp"/>
    <s v="Utilities"/>
    <s v="Central"/>
    <d v="2024-11-17T00:00:00"/>
    <s v="Service Quality"/>
    <n v="99489.64"/>
    <n v="44563.16"/>
    <s v="Medium"/>
    <s v="Valeria Moreno"/>
    <x v="4"/>
    <n v="196"/>
    <m/>
    <m/>
    <s v="Pending"/>
    <n v="0"/>
  </r>
  <r>
    <s v="DIS-0135"/>
    <s v="INV-1135"/>
    <s v="VND-005"/>
    <s v="EnergyPlus Corp"/>
    <s v="Utilities"/>
    <s v="Central"/>
    <d v="2024-06-06T00:00:00"/>
    <s v="Service Quality"/>
    <n v="15869.34"/>
    <n v="8585.86"/>
    <s v="High"/>
    <s v="Luis Herrera"/>
    <x v="0"/>
    <n v="360"/>
    <d v="2024-09-30T00:00:00"/>
    <n v="116"/>
    <s v="Full Credit"/>
    <n v="8585.86"/>
  </r>
  <r>
    <s v="DIS-0136"/>
    <s v="INV-1136"/>
    <s v="VND-005"/>
    <s v="EnergyPlus Corp"/>
    <s v="Utilities"/>
    <s v="Central"/>
    <d v="2024-12-09T00:00:00"/>
    <s v="Missing Goods"/>
    <n v="83604.83"/>
    <n v="29182.07"/>
    <s v="High"/>
    <s v="Valeria Moreno"/>
    <x v="0"/>
    <n v="174"/>
    <d v="2025-01-13T00:00:00"/>
    <n v="35"/>
    <s v="Full Credit"/>
    <n v="29182.07"/>
  </r>
  <r>
    <s v="DIS-0137"/>
    <s v="INV-1137"/>
    <s v="VND-005"/>
    <s v="EnergyPlus Corp"/>
    <s v="Utilities"/>
    <s v="Central"/>
    <d v="2025-03-14T00:00:00"/>
    <s v="Price Discrepancy"/>
    <n v="70248"/>
    <n v="28499.68"/>
    <s v="Low"/>
    <s v="Carlos Mendez"/>
    <x v="0"/>
    <n v="79"/>
    <d v="2025-05-03T00:00:00"/>
    <n v="50"/>
    <s v="No Action"/>
    <n v="0"/>
  </r>
  <r>
    <s v="DIS-0138"/>
    <s v="INV-1138"/>
    <s v="VND-005"/>
    <s v="EnergyPlus Corp"/>
    <s v="Utilities"/>
    <s v="Central"/>
    <d v="2024-08-20T00:00:00"/>
    <s v="Contract Terms"/>
    <n v="10698.19"/>
    <n v="8210.52"/>
    <s v="Medium"/>
    <s v="Carlos Mendez"/>
    <x v="0"/>
    <n v="285"/>
    <d v="2024-12-12T00:00:00"/>
    <n v="114"/>
    <s v="Payment Adjusted"/>
    <n v="3285.14"/>
  </r>
  <r>
    <s v="DIS-0139"/>
    <s v="INV-1139"/>
    <s v="VND-005"/>
    <s v="EnergyPlus Corp"/>
    <s v="Utilities"/>
    <s v="Central"/>
    <d v="2025-05-05T00:00:00"/>
    <s v="Service Quality"/>
    <n v="96997.87"/>
    <n v="48528.77"/>
    <s v="Medium"/>
    <s v="Luis Herrera"/>
    <x v="1"/>
    <n v="27"/>
    <m/>
    <m/>
    <s v="Pending"/>
    <n v="0"/>
  </r>
  <r>
    <s v="DIS-0140"/>
    <s v="INV-1140"/>
    <s v="VND-005"/>
    <s v="EnergyPlus Corp"/>
    <s v="Utilities"/>
    <s v="Central"/>
    <d v="2024-09-27T00:00:00"/>
    <s v="Missing Goods"/>
    <n v="26303.26"/>
    <n v="3450.04"/>
    <s v="High"/>
    <s v="Carlos Mendez"/>
    <x v="3"/>
    <n v="247"/>
    <d v="2024-12-12T00:00:00"/>
    <n v="76"/>
    <s v="Full Credit"/>
    <n v="3450.04"/>
  </r>
  <r>
    <s v="DIS-0141"/>
    <s v="INV-1141"/>
    <s v="VND-005"/>
    <s v="EnergyPlus Corp"/>
    <s v="Utilities"/>
    <s v="Central"/>
    <d v="2024-10-24T00:00:00"/>
    <s v="Service Quality"/>
    <n v="85289.74"/>
    <n v="66603.61"/>
    <s v="High"/>
    <s v="Ana Torres"/>
    <x v="0"/>
    <n v="220"/>
    <d v="2025-01-19T00:00:00"/>
    <n v="87"/>
    <s v="No Action"/>
    <n v="0"/>
  </r>
  <r>
    <s v="DIS-0142"/>
    <s v="INV-1142"/>
    <s v="VND-006"/>
    <s v="MegaParts Ltd"/>
    <s v="Materials"/>
    <s v="East"/>
    <d v="2025-02-28T00:00:00"/>
    <s v="Missing Goods"/>
    <n v="30960.69"/>
    <n v="19251.580000000002"/>
    <s v="Critical"/>
    <s v="Ana Torres"/>
    <x v="0"/>
    <n v="93"/>
    <d v="2025-03-21T00:00:00"/>
    <n v="21"/>
    <s v="Partial Credit"/>
    <n v="8479.76"/>
  </r>
  <r>
    <s v="DIS-0143"/>
    <s v="INV-1143"/>
    <s v="VND-006"/>
    <s v="MegaParts Ltd"/>
    <s v="Materials"/>
    <s v="East"/>
    <d v="2025-03-20T00:00:00"/>
    <s v="Service Quality"/>
    <n v="75392.06"/>
    <n v="58719.69"/>
    <s v="Low"/>
    <s v="Luis Herrera"/>
    <x v="0"/>
    <n v="73"/>
    <d v="2025-05-20T00:00:00"/>
    <n v="61"/>
    <s v="Full Credit"/>
    <n v="58719.69"/>
  </r>
  <r>
    <s v="DIS-0144"/>
    <s v="INV-1144"/>
    <s v="VND-006"/>
    <s v="MegaParts Ltd"/>
    <s v="Materials"/>
    <s v="East"/>
    <d v="2024-11-23T00:00:00"/>
    <s v="Service Quality"/>
    <n v="34605.550000000003"/>
    <n v="10149.36"/>
    <s v="Critical"/>
    <s v="Carlos Mendez"/>
    <x v="2"/>
    <n v="190"/>
    <d v="2024-12-15T00:00:00"/>
    <n v="22"/>
    <s v="Full Credit"/>
    <n v="10149.36"/>
  </r>
  <r>
    <s v="DIS-0145"/>
    <s v="INV-1145"/>
    <s v="VND-006"/>
    <s v="MegaParts Ltd"/>
    <s v="Materials"/>
    <s v="East"/>
    <d v="2024-07-19T00:00:00"/>
    <s v="Duplicate Invoice"/>
    <n v="9727.44"/>
    <n v="1081.56"/>
    <s v="Medium"/>
    <s v="Juan Vargas"/>
    <x v="0"/>
    <n v="317"/>
    <d v="2024-09-13T00:00:00"/>
    <n v="56"/>
    <s v="Full Credit"/>
    <n v="1081.56"/>
  </r>
  <r>
    <s v="DIS-0146"/>
    <s v="INV-1146"/>
    <s v="VND-006"/>
    <s v="MegaParts Ltd"/>
    <s v="Materials"/>
    <s v="East"/>
    <d v="2024-09-11T00:00:00"/>
    <s v="Contract Terms"/>
    <n v="15812.66"/>
    <n v="5889.19"/>
    <s v="Medium"/>
    <s v="Juan Vargas"/>
    <x v="0"/>
    <n v="263"/>
    <d v="2024-10-23T00:00:00"/>
    <n v="42"/>
    <s v="Full Credit"/>
    <n v="5889.19"/>
  </r>
  <r>
    <s v="DIS-0147"/>
    <s v="INV-1147"/>
    <s v="VND-006"/>
    <s v="MegaParts Ltd"/>
    <s v="Materials"/>
    <s v="East"/>
    <d v="2024-11-10T00:00:00"/>
    <s v="Damaged Goods"/>
    <n v="98522.34"/>
    <n v="8974.0499999999993"/>
    <s v="Low"/>
    <s v="Sofia Ruiz"/>
    <x v="3"/>
    <n v="203"/>
    <d v="2024-12-20T00:00:00"/>
    <n v="40"/>
    <s v="Full Credit"/>
    <n v="8974.0499999999993"/>
  </r>
  <r>
    <s v="DIS-0148"/>
    <s v="INV-1148"/>
    <s v="VND-006"/>
    <s v="MegaParts Ltd"/>
    <s v="Materials"/>
    <s v="East"/>
    <d v="2025-05-28T00:00:00"/>
    <s v="Service Quality"/>
    <n v="52251.61"/>
    <n v="19489.39"/>
    <s v="Low"/>
    <s v="Luis Herrera"/>
    <x v="1"/>
    <n v="4"/>
    <m/>
    <m/>
    <s v="Pending"/>
    <n v="0"/>
  </r>
  <r>
    <s v="DIS-0149"/>
    <s v="INV-1149"/>
    <s v="VND-006"/>
    <s v="MegaParts Ltd"/>
    <s v="Materials"/>
    <s v="East"/>
    <d v="2024-06-23T00:00:00"/>
    <s v="Price Discrepancy"/>
    <n v="81589.02"/>
    <n v="8489.8799999999992"/>
    <s v="High"/>
    <s v="Valeria Moreno"/>
    <x v="1"/>
    <n v="343"/>
    <m/>
    <m/>
    <s v="Pending"/>
    <n v="0"/>
  </r>
  <r>
    <s v="DIS-0150"/>
    <s v="INV-1150"/>
    <s v="VND-006"/>
    <s v="MegaParts Ltd"/>
    <s v="Materials"/>
    <s v="East"/>
    <d v="2025-04-22T00:00:00"/>
    <s v="Contract Terms"/>
    <n v="86900.45"/>
    <n v="41870.32"/>
    <s v="Medium"/>
    <s v="Valeria Moreno"/>
    <x v="4"/>
    <n v="40"/>
    <m/>
    <m/>
    <s v="Pending"/>
    <n v="0"/>
  </r>
  <r>
    <s v="DIS-0151"/>
    <s v="INV-1151"/>
    <s v="VND-006"/>
    <s v="MegaParts Ltd"/>
    <s v="Materials"/>
    <s v="East"/>
    <d v="2024-11-05T00:00:00"/>
    <s v="Service Quality"/>
    <n v="6981.37"/>
    <n v="2049.56"/>
    <s v="High"/>
    <s v="Juan Vargas"/>
    <x v="2"/>
    <n v="208"/>
    <d v="2025-03-05T00:00:00"/>
    <n v="120"/>
    <s v="Full Credit"/>
    <n v="2049.56"/>
  </r>
  <r>
    <s v="DIS-0152"/>
    <s v="INV-1152"/>
    <s v="VND-006"/>
    <s v="MegaParts Ltd"/>
    <s v="Materials"/>
    <s v="East"/>
    <d v="2024-10-20T00:00:00"/>
    <s v="Service Quality"/>
    <n v="85226.01"/>
    <n v="19813.97"/>
    <s v="Medium"/>
    <s v="Carlos Mendez"/>
    <x v="0"/>
    <n v="224"/>
    <d v="2024-12-01T00:00:00"/>
    <n v="42"/>
    <s v="Payment Adjusted"/>
    <n v="3737.49"/>
  </r>
  <r>
    <s v="DIS-0153"/>
    <s v="INV-1153"/>
    <s v="VND-006"/>
    <s v="MegaParts Ltd"/>
    <s v="Materials"/>
    <s v="East"/>
    <d v="2025-03-06T00:00:00"/>
    <s v="Damaged Goods"/>
    <n v="12256.04"/>
    <n v="6433.42"/>
    <s v="Medium"/>
    <s v="Diego Castillo"/>
    <x v="0"/>
    <n v="87"/>
    <d v="2025-05-30T00:00:00"/>
    <n v="85"/>
    <s v="No Action"/>
    <n v="0"/>
  </r>
  <r>
    <s v="DIS-0154"/>
    <s v="INV-1154"/>
    <s v="VND-006"/>
    <s v="MegaParts Ltd"/>
    <s v="Materials"/>
    <s v="East"/>
    <d v="2025-01-31T00:00:00"/>
    <s v="Damaged Goods"/>
    <n v="14766.43"/>
    <n v="3573.12"/>
    <s v="Low"/>
    <s v="Carlos Mendez"/>
    <x v="0"/>
    <n v="121"/>
    <d v="2025-05-12T00:00:00"/>
    <n v="101"/>
    <s v="Partial Credit"/>
    <n v="1709.28"/>
  </r>
  <r>
    <s v="DIS-0155"/>
    <s v="INV-1155"/>
    <s v="VND-006"/>
    <s v="MegaParts Ltd"/>
    <s v="Materials"/>
    <s v="East"/>
    <d v="2024-08-16T00:00:00"/>
    <s v="Service Quality"/>
    <n v="77188.33"/>
    <n v="29847.1"/>
    <s v="Critical"/>
    <s v="Diego Castillo"/>
    <x v="2"/>
    <n v="289"/>
    <d v="2024-11-07T00:00:00"/>
    <n v="83"/>
    <s v="Full Credit"/>
    <n v="29847.1"/>
  </r>
  <r>
    <s v="DIS-0156"/>
    <s v="INV-1156"/>
    <s v="VND-006"/>
    <s v="MegaParts Ltd"/>
    <s v="Materials"/>
    <s v="East"/>
    <d v="2024-10-18T00:00:00"/>
    <s v="Missing Goods"/>
    <n v="11487.19"/>
    <n v="4384.16"/>
    <s v="Medium"/>
    <s v="Ana Torres"/>
    <x v="0"/>
    <n v="226"/>
    <d v="2024-10-30T00:00:00"/>
    <n v="12"/>
    <s v="Full Credit"/>
    <n v="4384.16"/>
  </r>
  <r>
    <s v="DIS-0157"/>
    <s v="INV-1157"/>
    <s v="VND-006"/>
    <s v="MegaParts Ltd"/>
    <s v="Materials"/>
    <s v="East"/>
    <d v="2024-10-12T00:00:00"/>
    <s v="Contract Terms"/>
    <n v="8572.69"/>
    <n v="2799.44"/>
    <s v="Medium"/>
    <s v="Carlos Mendez"/>
    <x v="0"/>
    <n v="232"/>
    <d v="2024-12-18T00:00:00"/>
    <n v="67"/>
    <s v="Full Credit"/>
    <n v="2799.44"/>
  </r>
  <r>
    <s v="DIS-0158"/>
    <s v="INV-1158"/>
    <s v="VND-006"/>
    <s v="MegaParts Ltd"/>
    <s v="Materials"/>
    <s v="East"/>
    <d v="2024-08-07T00:00:00"/>
    <s v="Duplicate Invoice"/>
    <n v="57660.06"/>
    <n v="37125.199999999997"/>
    <s v="High"/>
    <s v="Luis Herrera"/>
    <x v="0"/>
    <n v="298"/>
    <d v="2024-10-09T00:00:00"/>
    <n v="63"/>
    <s v="Partial Credit"/>
    <n v="28758.42"/>
  </r>
  <r>
    <s v="DIS-0159"/>
    <s v="INV-1159"/>
    <s v="VND-006"/>
    <s v="MegaParts Ltd"/>
    <s v="Materials"/>
    <s v="East"/>
    <d v="2024-10-13T00:00:00"/>
    <s v="Contract Terms"/>
    <n v="14832.68"/>
    <n v="10743.98"/>
    <s v="Medium"/>
    <s v="Carlos Mendez"/>
    <x v="0"/>
    <n v="231"/>
    <d v="2024-11-07T00:00:00"/>
    <n v="25"/>
    <s v="Full Credit"/>
    <n v="10743.98"/>
  </r>
  <r>
    <s v="DIS-0160"/>
    <s v="INV-1160"/>
    <s v="VND-006"/>
    <s v="MegaParts Ltd"/>
    <s v="Materials"/>
    <s v="East"/>
    <d v="2024-06-03T00:00:00"/>
    <s v="Damaged Goods"/>
    <n v="46587.040000000001"/>
    <n v="17682.87"/>
    <s v="Medium"/>
    <s v="Diego Castillo"/>
    <x v="0"/>
    <n v="363"/>
    <d v="2024-07-12T00:00:00"/>
    <n v="39"/>
    <s v="Full Credit"/>
    <n v="17682.87"/>
  </r>
  <r>
    <s v="DIS-0161"/>
    <s v="INV-1161"/>
    <s v="VND-006"/>
    <s v="MegaParts Ltd"/>
    <s v="Materials"/>
    <s v="East"/>
    <d v="2024-12-09T00:00:00"/>
    <s v="Missing Goods"/>
    <n v="69495.28"/>
    <n v="6204.13"/>
    <s v="Medium"/>
    <s v="Carlos Mendez"/>
    <x v="0"/>
    <n v="174"/>
    <d v="2025-02-21T00:00:00"/>
    <n v="74"/>
    <s v="Payment Adjusted"/>
    <n v="1325.57"/>
  </r>
  <r>
    <s v="DIS-0162"/>
    <s v="INV-1162"/>
    <s v="VND-007"/>
    <s v="CloudSoft Solutions"/>
    <s v="IT"/>
    <s v="Central"/>
    <d v="2024-12-12T00:00:00"/>
    <s v="Missing Goods"/>
    <n v="12742.69"/>
    <n v="6979.29"/>
    <s v="Critical"/>
    <s v="Valeria Moreno"/>
    <x v="0"/>
    <n v="171"/>
    <d v="2025-03-15T00:00:00"/>
    <n v="93"/>
    <s v="Pending"/>
    <n v="0"/>
  </r>
  <r>
    <s v="DIS-0163"/>
    <s v="INV-1163"/>
    <s v="VND-007"/>
    <s v="CloudSoft Solutions"/>
    <s v="IT"/>
    <s v="Central"/>
    <d v="2024-12-24T00:00:00"/>
    <s v="Damaged Goods"/>
    <n v="58097.599999999999"/>
    <n v="30943.94"/>
    <s v="Medium"/>
    <s v="Carlos Mendez"/>
    <x v="0"/>
    <n v="159"/>
    <d v="2025-02-19T00:00:00"/>
    <n v="57"/>
    <s v="Partial Credit"/>
    <n v="6527.26"/>
  </r>
  <r>
    <s v="DIS-0164"/>
    <s v="INV-1164"/>
    <s v="VND-007"/>
    <s v="CloudSoft Solutions"/>
    <s v="IT"/>
    <s v="Central"/>
    <d v="2024-12-24T00:00:00"/>
    <s v="Duplicate Invoice"/>
    <n v="22124.98"/>
    <n v="4660.51"/>
    <s v="Critical"/>
    <s v="Luis Herrera"/>
    <x v="0"/>
    <n v="159"/>
    <d v="2025-01-13T00:00:00"/>
    <n v="20"/>
    <s v="Full Credit"/>
    <n v="4660.51"/>
  </r>
  <r>
    <s v="DIS-0165"/>
    <s v="INV-1165"/>
    <s v="VND-007"/>
    <s v="CloudSoft Solutions"/>
    <s v="IT"/>
    <s v="Central"/>
    <d v="2024-12-31T00:00:00"/>
    <s v="Contract Terms"/>
    <n v="85220.7"/>
    <n v="10725.5"/>
    <s v="High"/>
    <s v="Ana Torres"/>
    <x v="3"/>
    <n v="152"/>
    <d v="2025-04-25T00:00:00"/>
    <n v="115"/>
    <s v="Payment Adjusted"/>
    <n v="1634.78"/>
  </r>
  <r>
    <s v="DIS-0166"/>
    <s v="INV-1166"/>
    <s v="VND-007"/>
    <s v="CloudSoft Solutions"/>
    <s v="IT"/>
    <s v="Central"/>
    <d v="2024-11-20T00:00:00"/>
    <s v="Service Quality"/>
    <n v="19654.009999999998"/>
    <n v="3648.46"/>
    <s v="High"/>
    <s v="Sofia Ruiz"/>
    <x v="3"/>
    <n v="193"/>
    <d v="2024-11-28T00:00:00"/>
    <n v="8"/>
    <s v="Partial Credit"/>
    <n v="2210.3000000000002"/>
  </r>
  <r>
    <s v="DIS-0167"/>
    <s v="INV-1167"/>
    <s v="VND-007"/>
    <s v="CloudSoft Solutions"/>
    <s v="IT"/>
    <s v="Central"/>
    <d v="2025-01-30T00:00:00"/>
    <s v="Duplicate Invoice"/>
    <n v="97110.92"/>
    <n v="49327.16"/>
    <s v="High"/>
    <s v="Luis Herrera"/>
    <x v="0"/>
    <n v="122"/>
    <d v="2025-03-13T00:00:00"/>
    <n v="42"/>
    <s v="Pending"/>
    <n v="0"/>
  </r>
  <r>
    <s v="DIS-0168"/>
    <s v="INV-1168"/>
    <s v="VND-007"/>
    <s v="CloudSoft Solutions"/>
    <s v="IT"/>
    <s v="Central"/>
    <d v="2024-10-03T00:00:00"/>
    <s v="Service Quality"/>
    <n v="90877.56"/>
    <n v="17767.669999999998"/>
    <s v="High"/>
    <s v="Juan Vargas"/>
    <x v="0"/>
    <n v="241"/>
    <d v="2024-11-11T00:00:00"/>
    <n v="39"/>
    <s v="Payment Adjusted"/>
    <n v="5350.96"/>
  </r>
  <r>
    <s v="DIS-0169"/>
    <s v="INV-1169"/>
    <s v="VND-007"/>
    <s v="CloudSoft Solutions"/>
    <s v="IT"/>
    <s v="Central"/>
    <d v="2024-10-29T00:00:00"/>
    <s v="Damaged Goods"/>
    <n v="96795.47"/>
    <n v="64143.3"/>
    <s v="High"/>
    <s v="Marta Lopez"/>
    <x v="4"/>
    <n v="215"/>
    <m/>
    <m/>
    <s v="Pending"/>
    <n v="0"/>
  </r>
  <r>
    <s v="DIS-0170"/>
    <s v="INV-1170"/>
    <s v="VND-007"/>
    <s v="CloudSoft Solutions"/>
    <s v="IT"/>
    <s v="Central"/>
    <d v="2024-09-27T00:00:00"/>
    <s v="Service Quality"/>
    <n v="88041.11"/>
    <n v="41018.839999999997"/>
    <s v="Low"/>
    <s v="Carlos Mendez"/>
    <x v="0"/>
    <n v="247"/>
    <d v="2025-01-05T00:00:00"/>
    <n v="100"/>
    <s v="Full Credit"/>
    <n v="41018.839999999997"/>
  </r>
  <r>
    <s v="DIS-0171"/>
    <s v="INV-1171"/>
    <s v="VND-007"/>
    <s v="CloudSoft Solutions"/>
    <s v="IT"/>
    <s v="Central"/>
    <d v="2024-10-13T00:00:00"/>
    <s v="Damaged Goods"/>
    <n v="91004.09"/>
    <n v="14607.2"/>
    <s v="Medium"/>
    <s v="Juan Vargas"/>
    <x v="2"/>
    <n v="231"/>
    <d v="2024-10-19T00:00:00"/>
    <n v="6"/>
    <s v="Partial Credit"/>
    <n v="6396.09"/>
  </r>
  <r>
    <s v="DIS-0172"/>
    <s v="INV-1172"/>
    <s v="VND-007"/>
    <s v="CloudSoft Solutions"/>
    <s v="IT"/>
    <s v="Central"/>
    <d v="2024-11-21T00:00:00"/>
    <s v="Price Discrepancy"/>
    <n v="27398.92"/>
    <n v="21806.639999999999"/>
    <s v="Medium"/>
    <s v="Diego Castillo"/>
    <x v="2"/>
    <n v="192"/>
    <d v="2025-03-11T00:00:00"/>
    <n v="110"/>
    <s v="Payment Adjusted"/>
    <n v="5105.29"/>
  </r>
  <r>
    <s v="DIS-0173"/>
    <s v="INV-1173"/>
    <s v="VND-007"/>
    <s v="CloudSoft Solutions"/>
    <s v="IT"/>
    <s v="Central"/>
    <d v="2025-03-18T00:00:00"/>
    <s v="Contract Terms"/>
    <n v="18071.96"/>
    <n v="4791.95"/>
    <s v="High"/>
    <s v="Sofia Ruiz"/>
    <x v="3"/>
    <n v="75"/>
    <d v="2025-05-20T00:00:00"/>
    <n v="63"/>
    <s v="Partial Credit"/>
    <n v="973.49"/>
  </r>
  <r>
    <s v="DIS-0174"/>
    <s v="INV-1174"/>
    <s v="VND-007"/>
    <s v="CloudSoft Solutions"/>
    <s v="IT"/>
    <s v="Central"/>
    <d v="2025-04-21T00:00:00"/>
    <s v="Contract Terms"/>
    <n v="6805.37"/>
    <n v="1440.98"/>
    <s v="Low"/>
    <s v="Valeria Moreno"/>
    <x v="1"/>
    <n v="41"/>
    <m/>
    <m/>
    <s v="Pending"/>
    <n v="0"/>
  </r>
  <r>
    <s v="DIS-0175"/>
    <s v="INV-1175"/>
    <s v="VND-007"/>
    <s v="CloudSoft Solutions"/>
    <s v="IT"/>
    <s v="Central"/>
    <d v="2025-01-04T00:00:00"/>
    <s v="Contract Terms"/>
    <n v="27575.82"/>
    <n v="3898.84"/>
    <s v="Low"/>
    <s v="Juan Vargas"/>
    <x v="4"/>
    <n v="148"/>
    <m/>
    <m/>
    <s v="Pending"/>
    <n v="0"/>
  </r>
  <r>
    <s v="DIS-0176"/>
    <s v="INV-1176"/>
    <s v="VND-007"/>
    <s v="CloudSoft Solutions"/>
    <s v="IT"/>
    <s v="Central"/>
    <d v="2024-09-18T00:00:00"/>
    <s v="Damaged Goods"/>
    <n v="61690.21"/>
    <n v="3844.94"/>
    <s v="Medium"/>
    <s v="Sofia Ruiz"/>
    <x v="0"/>
    <n v="256"/>
    <d v="2024-09-21T00:00:00"/>
    <n v="3"/>
    <s v="Partial Credit"/>
    <n v="1323.96"/>
  </r>
  <r>
    <s v="DIS-0177"/>
    <s v="INV-1177"/>
    <s v="VND-007"/>
    <s v="CloudSoft Solutions"/>
    <s v="IT"/>
    <s v="Central"/>
    <d v="2024-10-30T00:00:00"/>
    <s v="Missing Goods"/>
    <n v="22794.82"/>
    <n v="12563.62"/>
    <s v="Medium"/>
    <s v="Carlos Mendez"/>
    <x v="2"/>
    <n v="214"/>
    <d v="2025-01-10T00:00:00"/>
    <n v="72"/>
    <s v="Partial Credit"/>
    <n v="9962.94"/>
  </r>
  <r>
    <s v="DIS-0178"/>
    <s v="INV-1178"/>
    <s v="VND-007"/>
    <s v="CloudSoft Solutions"/>
    <s v="IT"/>
    <s v="Central"/>
    <d v="2024-08-21T00:00:00"/>
    <s v="Duplicate Invoice"/>
    <n v="6931.76"/>
    <n v="4886.88"/>
    <s v="Low"/>
    <s v="Diego Castillo"/>
    <x v="0"/>
    <n v="284"/>
    <d v="2024-08-26T00:00:00"/>
    <n v="5"/>
    <s v="Full Credit"/>
    <n v="4886.88"/>
  </r>
  <r>
    <s v="DIS-0179"/>
    <s v="INV-1179"/>
    <s v="VND-007"/>
    <s v="CloudSoft Solutions"/>
    <s v="IT"/>
    <s v="Central"/>
    <d v="2025-04-27T00:00:00"/>
    <s v="Service Quality"/>
    <n v="37756.239999999998"/>
    <n v="22642.63"/>
    <s v="Medium"/>
    <s v="Diego Castillo"/>
    <x v="1"/>
    <n v="35"/>
    <m/>
    <m/>
    <s v="Pending"/>
    <n v="0"/>
  </r>
  <r>
    <s v="DIS-0180"/>
    <s v="INV-1180"/>
    <s v="VND-007"/>
    <s v="CloudSoft Solutions"/>
    <s v="IT"/>
    <s v="Central"/>
    <d v="2024-12-02T00:00:00"/>
    <s v="Contract Terms"/>
    <n v="56871.31"/>
    <n v="37542.550000000003"/>
    <s v="Low"/>
    <s v="Juan Vargas"/>
    <x v="2"/>
    <n v="181"/>
    <d v="2025-02-04T00:00:00"/>
    <n v="64"/>
    <s v="Partial Credit"/>
    <n v="25787.93"/>
  </r>
  <r>
    <s v="DIS-0181"/>
    <s v="INV-1181"/>
    <s v="VND-007"/>
    <s v="CloudSoft Solutions"/>
    <s v="IT"/>
    <s v="Central"/>
    <d v="2025-04-29T00:00:00"/>
    <s v="Damaged Goods"/>
    <n v="73024.28"/>
    <n v="55330.78"/>
    <s v="Low"/>
    <s v="Ana Torres"/>
    <x v="3"/>
    <n v="33"/>
    <d v="2025-05-30T00:00:00"/>
    <n v="31"/>
    <s v="Full Credit"/>
    <n v="55330.78"/>
  </r>
  <r>
    <s v="DIS-0182"/>
    <s v="INV-1182"/>
    <s v="VND-007"/>
    <s v="CloudSoft Solutions"/>
    <s v="IT"/>
    <s v="Central"/>
    <d v="2024-12-24T00:00:00"/>
    <s v="Missing Goods"/>
    <n v="53961.440000000002"/>
    <n v="42728.94"/>
    <s v="Medium"/>
    <s v="Ana Torres"/>
    <x v="3"/>
    <n v="159"/>
    <d v="2025-01-20T00:00:00"/>
    <n v="27"/>
    <s v="Full Credit"/>
    <n v="42728.94"/>
  </r>
  <r>
    <s v="DIS-0183"/>
    <s v="INV-1183"/>
    <s v="VND-007"/>
    <s v="CloudSoft Solutions"/>
    <s v="IT"/>
    <s v="Central"/>
    <d v="2025-05-07T00:00:00"/>
    <s v="Missing Goods"/>
    <n v="87250.84"/>
    <n v="26083.07"/>
    <s v="Low"/>
    <s v="Valeria Moreno"/>
    <x v="3"/>
    <n v="25"/>
    <d v="2025-05-24T00:00:00"/>
    <n v="17"/>
    <s v="No Action"/>
    <n v="0"/>
  </r>
  <r>
    <s v="DIS-0184"/>
    <s v="INV-1184"/>
    <s v="VND-007"/>
    <s v="CloudSoft Solutions"/>
    <s v="IT"/>
    <s v="Central"/>
    <d v="2024-11-15T00:00:00"/>
    <s v="Missing Goods"/>
    <n v="37208.480000000003"/>
    <n v="7073.81"/>
    <s v="High"/>
    <s v="Marta Lopez"/>
    <x v="2"/>
    <n v="198"/>
    <d v="2025-02-19T00:00:00"/>
    <n v="96"/>
    <s v="Partial Credit"/>
    <n v="3242.38"/>
  </r>
  <r>
    <s v="DIS-0185"/>
    <s v="INV-1185"/>
    <s v="VND-007"/>
    <s v="CloudSoft Solutions"/>
    <s v="IT"/>
    <s v="Central"/>
    <d v="2025-02-28T00:00:00"/>
    <s v="Contract Terms"/>
    <n v="56820.07"/>
    <n v="16529.45"/>
    <s v="Low"/>
    <s v="Marta Lopez"/>
    <x v="0"/>
    <n v="93"/>
    <d v="2025-05-19T00:00:00"/>
    <n v="80"/>
    <s v="Payment Adjusted"/>
    <n v="2754.76"/>
  </r>
  <r>
    <s v="DIS-0186"/>
    <s v="INV-1186"/>
    <s v="VND-008"/>
    <s v="Rapi Cargo SA"/>
    <s v="Logistics"/>
    <s v="West"/>
    <d v="2024-10-15T00:00:00"/>
    <s v="Duplicate Invoice"/>
    <n v="9023.74"/>
    <n v="6339.43"/>
    <s v="Medium"/>
    <s v="Marta Lopez"/>
    <x v="0"/>
    <n v="229"/>
    <d v="2025-01-27T00:00:00"/>
    <n v="104"/>
    <s v="Pending"/>
    <n v="0"/>
  </r>
  <r>
    <s v="DIS-0187"/>
    <s v="INV-1187"/>
    <s v="VND-008"/>
    <s v="Rapi Cargo SA"/>
    <s v="Logistics"/>
    <s v="West"/>
    <d v="2025-04-23T00:00:00"/>
    <s v="Contract Terms"/>
    <n v="68762.47"/>
    <n v="24387.14"/>
    <s v="Medium"/>
    <s v="Sofia Ruiz"/>
    <x v="2"/>
    <n v="39"/>
    <d v="2025-05-05T00:00:00"/>
    <n v="12"/>
    <s v="No Action"/>
    <n v="0"/>
  </r>
  <r>
    <s v="DIS-0188"/>
    <s v="INV-1188"/>
    <s v="VND-008"/>
    <s v="Rapi Cargo SA"/>
    <s v="Logistics"/>
    <s v="West"/>
    <d v="2024-06-18T00:00:00"/>
    <s v="Contract Terms"/>
    <n v="79224.639999999999"/>
    <n v="6028.93"/>
    <s v="Low"/>
    <s v="Diego Castillo"/>
    <x v="0"/>
    <n v="348"/>
    <d v="2024-09-01T00:00:00"/>
    <n v="75"/>
    <s v="Full Credit"/>
    <n v="6028.93"/>
  </r>
  <r>
    <s v="DIS-0189"/>
    <s v="INV-1189"/>
    <s v="VND-008"/>
    <s v="Rapi Cargo SA"/>
    <s v="Logistics"/>
    <s v="West"/>
    <d v="2025-03-14T00:00:00"/>
    <s v="Price Discrepancy"/>
    <n v="69510.899999999994"/>
    <n v="52940.73"/>
    <s v="Medium"/>
    <s v="Sofia Ruiz"/>
    <x v="0"/>
    <n v="79"/>
    <d v="2025-05-06T00:00:00"/>
    <n v="53"/>
    <s v="Full Credit"/>
    <n v="52940.73"/>
  </r>
  <r>
    <s v="DIS-0190"/>
    <s v="INV-1190"/>
    <s v="VND-008"/>
    <s v="Rapi Cargo SA"/>
    <s v="Logistics"/>
    <s v="West"/>
    <d v="2025-01-09T00:00:00"/>
    <s v="Duplicate Invoice"/>
    <n v="28713.11"/>
    <n v="3878.75"/>
    <s v="High"/>
    <s v="Valeria Moreno"/>
    <x v="2"/>
    <n v="143"/>
    <d v="2025-01-27T00:00:00"/>
    <n v="18"/>
    <s v="Full Credit"/>
    <n v="3878.75"/>
  </r>
  <r>
    <s v="DIS-0191"/>
    <s v="INV-1191"/>
    <s v="VND-008"/>
    <s v="Rapi Cargo SA"/>
    <s v="Logistics"/>
    <s v="West"/>
    <d v="2025-01-18T00:00:00"/>
    <s v="Contract Terms"/>
    <n v="71883.59"/>
    <n v="15162.25"/>
    <s v="Medium"/>
    <s v="Juan Vargas"/>
    <x v="0"/>
    <n v="134"/>
    <d v="2025-02-07T00:00:00"/>
    <n v="20"/>
    <s v="No Action"/>
    <n v="0"/>
  </r>
  <r>
    <s v="DIS-0192"/>
    <s v="INV-1192"/>
    <s v="VND-008"/>
    <s v="Rapi Cargo SA"/>
    <s v="Logistics"/>
    <s v="West"/>
    <d v="2024-10-12T00:00:00"/>
    <s v="Contract Terms"/>
    <n v="21402.35"/>
    <n v="12520.96"/>
    <s v="Critical"/>
    <s v="Diego Castillo"/>
    <x v="3"/>
    <n v="232"/>
    <d v="2025-01-13T00:00:00"/>
    <n v="93"/>
    <s v="Full Credit"/>
    <n v="12520.96"/>
  </r>
  <r>
    <s v="DIS-0193"/>
    <s v="INV-1193"/>
    <s v="VND-008"/>
    <s v="Rapi Cargo SA"/>
    <s v="Logistics"/>
    <s v="West"/>
    <d v="2024-08-27T00:00:00"/>
    <s v="Contract Terms"/>
    <n v="32584.42"/>
    <n v="8959.66"/>
    <s v="Low"/>
    <s v="Sofia Ruiz"/>
    <x v="3"/>
    <n v="278"/>
    <d v="2024-11-03T00:00:00"/>
    <n v="68"/>
    <s v="Full Credit"/>
    <n v="8959.66"/>
  </r>
  <r>
    <s v="DIS-0194"/>
    <s v="INV-1194"/>
    <s v="VND-008"/>
    <s v="Rapi Cargo SA"/>
    <s v="Logistics"/>
    <s v="West"/>
    <d v="2025-02-18T00:00:00"/>
    <s v="Missing Goods"/>
    <n v="80246.240000000005"/>
    <n v="18260.2"/>
    <s v="Medium"/>
    <s v="Diego Castillo"/>
    <x v="0"/>
    <n v="103"/>
    <d v="2025-05-02T00:00:00"/>
    <n v="73"/>
    <s v="Full Credit"/>
    <n v="18260.2"/>
  </r>
  <r>
    <s v="DIS-0195"/>
    <s v="INV-1195"/>
    <s v="VND-008"/>
    <s v="Rapi Cargo SA"/>
    <s v="Logistics"/>
    <s v="West"/>
    <d v="2025-04-17T00:00:00"/>
    <s v="Duplicate Invoice"/>
    <n v="11246.07"/>
    <n v="3920.6"/>
    <s v="High"/>
    <s v="Valeria Moreno"/>
    <x v="3"/>
    <n v="45"/>
    <d v="2025-05-26T00:00:00"/>
    <n v="39"/>
    <s v="Full Credit"/>
    <n v="3920.6"/>
  </r>
  <r>
    <s v="DIS-0196"/>
    <s v="INV-1196"/>
    <s v="VND-008"/>
    <s v="Rapi Cargo SA"/>
    <s v="Logistics"/>
    <s v="West"/>
    <d v="2024-12-20T00:00:00"/>
    <s v="Missing Goods"/>
    <n v="66022.17"/>
    <n v="25582.33"/>
    <s v="High"/>
    <s v="Sofia Ruiz"/>
    <x v="2"/>
    <n v="163"/>
    <d v="2025-04-01T00:00:00"/>
    <n v="102"/>
    <s v="Partial Credit"/>
    <n v="14138.63"/>
  </r>
  <r>
    <s v="DIS-0197"/>
    <s v="INV-1197"/>
    <s v="VND-008"/>
    <s v="Rapi Cargo SA"/>
    <s v="Logistics"/>
    <s v="West"/>
    <d v="2025-03-26T00:00:00"/>
    <s v="Price Discrepancy"/>
    <n v="46098.74"/>
    <n v="33791.949999999997"/>
    <s v="Low"/>
    <s v="Sofia Ruiz"/>
    <x v="0"/>
    <n v="67"/>
    <d v="2025-04-18T00:00:00"/>
    <n v="23"/>
    <s v="Full Credit"/>
    <n v="33791.949999999997"/>
  </r>
  <r>
    <s v="DIS-0198"/>
    <s v="INV-1198"/>
    <s v="VND-008"/>
    <s v="Rapi Cargo SA"/>
    <s v="Logistics"/>
    <s v="West"/>
    <d v="2024-06-02T00:00:00"/>
    <s v="Missing Goods"/>
    <n v="26419.68"/>
    <n v="20095.13"/>
    <s v="Medium"/>
    <s v="Carlos Mendez"/>
    <x v="0"/>
    <n v="364"/>
    <d v="2024-08-25T00:00:00"/>
    <n v="84"/>
    <s v="Pending"/>
    <n v="0"/>
  </r>
  <r>
    <s v="DIS-0199"/>
    <s v="INV-1199"/>
    <s v="VND-008"/>
    <s v="Rapi Cargo SA"/>
    <s v="Logistics"/>
    <s v="West"/>
    <d v="2025-01-11T00:00:00"/>
    <s v="Service Quality"/>
    <n v="16891.18"/>
    <n v="4680.8599999999997"/>
    <s v="Medium"/>
    <s v="Sofia Ruiz"/>
    <x v="0"/>
    <n v="141"/>
    <d v="2025-03-29T00:00:00"/>
    <n v="77"/>
    <s v="Full Credit"/>
    <n v="4680.8599999999997"/>
  </r>
  <r>
    <s v="DIS-0200"/>
    <s v="INV-1200"/>
    <s v="VND-008"/>
    <s v="Rapi Cargo SA"/>
    <s v="Logistics"/>
    <s v="West"/>
    <d v="2024-06-28T00:00:00"/>
    <s v="Service Quality"/>
    <n v="64325.52"/>
    <n v="46732.53"/>
    <s v="Medium"/>
    <s v="Ana Torres"/>
    <x v="2"/>
    <n v="338"/>
    <d v="2024-07-04T00:00:00"/>
    <n v="6"/>
    <s v="Full Credit"/>
    <n v="46732.53"/>
  </r>
  <r>
    <s v="DIS-0201"/>
    <s v="INV-1201"/>
    <s v="VND-008"/>
    <s v="Rapi Cargo SA"/>
    <s v="Logistics"/>
    <s v="West"/>
    <d v="2024-07-07T00:00:00"/>
    <s v="Service Quality"/>
    <n v="78247.13"/>
    <n v="19443.78"/>
    <s v="Low"/>
    <s v="Valeria Moreno"/>
    <x v="0"/>
    <n v="329"/>
    <d v="2024-07-13T00:00:00"/>
    <n v="6"/>
    <s v="Partial Credit"/>
    <n v="11205.42"/>
  </r>
  <r>
    <s v="DIS-0202"/>
    <s v="INV-1202"/>
    <s v="VND-008"/>
    <s v="Rapi Cargo SA"/>
    <s v="Logistics"/>
    <s v="West"/>
    <d v="2025-01-03T00:00:00"/>
    <s v="Contract Terms"/>
    <n v="65981.19"/>
    <n v="18248.46"/>
    <s v="Low"/>
    <s v="Valeria Moreno"/>
    <x v="0"/>
    <n v="149"/>
    <d v="2025-01-15T00:00:00"/>
    <n v="12"/>
    <s v="Payment Adjusted"/>
    <n v="2978.74"/>
  </r>
  <r>
    <s v="DIS-0203"/>
    <s v="INV-1203"/>
    <s v="VND-008"/>
    <s v="Rapi Cargo SA"/>
    <s v="Logistics"/>
    <s v="West"/>
    <d v="2024-10-31T00:00:00"/>
    <s v="Missing Goods"/>
    <n v="51003.86"/>
    <n v="10354.66"/>
    <s v="Medium"/>
    <s v="Diego Castillo"/>
    <x v="3"/>
    <n v="213"/>
    <d v="2025-02-21T00:00:00"/>
    <n v="113"/>
    <s v="Full Credit"/>
    <n v="10354.66"/>
  </r>
  <r>
    <s v="DIS-0204"/>
    <s v="INV-1204"/>
    <s v="VND-008"/>
    <s v="Rapi Cargo SA"/>
    <s v="Logistics"/>
    <s v="West"/>
    <d v="2024-11-08T00:00:00"/>
    <s v="Missing Goods"/>
    <n v="17422.78"/>
    <n v="5713.02"/>
    <s v="Medium"/>
    <s v="Luis Herrera"/>
    <x v="0"/>
    <n v="205"/>
    <d v="2024-12-15T00:00:00"/>
    <n v="37"/>
    <s v="Partial Credit"/>
    <n v="1625.51"/>
  </r>
  <r>
    <s v="DIS-0205"/>
    <s v="INV-1205"/>
    <s v="VND-008"/>
    <s v="Rapi Cargo SA"/>
    <s v="Logistics"/>
    <s v="West"/>
    <d v="2025-05-06T00:00:00"/>
    <s v="Damaged Goods"/>
    <n v="32570.14"/>
    <n v="11012.37"/>
    <s v="Medium"/>
    <s v="Sofia Ruiz"/>
    <x v="3"/>
    <n v="26"/>
    <d v="2025-05-27T00:00:00"/>
    <n v="21"/>
    <s v="Payment Adjusted"/>
    <n v="1937.45"/>
  </r>
  <r>
    <s v="DIS-0206"/>
    <s v="INV-1206"/>
    <s v="VND-008"/>
    <s v="Rapi Cargo SA"/>
    <s v="Logistics"/>
    <s v="West"/>
    <d v="2025-03-11T00:00:00"/>
    <s v="Missing Goods"/>
    <n v="52335.23"/>
    <n v="22820.44"/>
    <s v="Medium"/>
    <s v="Juan Vargas"/>
    <x v="1"/>
    <n v="82"/>
    <m/>
    <m/>
    <s v="Pending"/>
    <n v="0"/>
  </r>
  <r>
    <s v="DIS-0207"/>
    <s v="INV-1207"/>
    <s v="VND-008"/>
    <s v="Rapi Cargo SA"/>
    <s v="Logistics"/>
    <s v="West"/>
    <d v="2024-11-11T00:00:00"/>
    <s v="Missing Goods"/>
    <n v="53017.22"/>
    <n v="41089.14"/>
    <s v="Low"/>
    <s v="Ana Torres"/>
    <x v="4"/>
    <n v="202"/>
    <m/>
    <m/>
    <s v="Pending"/>
    <n v="0"/>
  </r>
  <r>
    <s v="DIS-0208"/>
    <s v="INV-1208"/>
    <s v="VND-008"/>
    <s v="Rapi Cargo SA"/>
    <s v="Logistics"/>
    <s v="West"/>
    <d v="2024-09-20T00:00:00"/>
    <s v="Missing Goods"/>
    <n v="61764.28"/>
    <n v="42131.72"/>
    <s v="High"/>
    <s v="Ana Torres"/>
    <x v="2"/>
    <n v="254"/>
    <d v="2024-11-17T00:00:00"/>
    <n v="58"/>
    <s v="Full Credit"/>
    <n v="42131.72"/>
  </r>
  <r>
    <s v="DIS-0209"/>
    <s v="INV-1209"/>
    <s v="VND-008"/>
    <s v="Rapi Cargo SA"/>
    <s v="Logistics"/>
    <s v="West"/>
    <d v="2025-01-16T00:00:00"/>
    <s v="Duplicate Invoice"/>
    <n v="74113.27"/>
    <n v="46164.61"/>
    <s v="Medium"/>
    <s v="Ana Torres"/>
    <x v="0"/>
    <n v="136"/>
    <d v="2025-02-12T00:00:00"/>
    <n v="27"/>
    <s v="Full Credit"/>
    <n v="46164.61"/>
  </r>
  <r>
    <s v="DIS-0210"/>
    <s v="INV-1210"/>
    <s v="VND-008"/>
    <s v="Rapi Cargo SA"/>
    <s v="Logistics"/>
    <s v="West"/>
    <d v="2025-01-04T00:00:00"/>
    <s v="Missing Goods"/>
    <n v="11985.52"/>
    <n v="5132.1000000000004"/>
    <s v="High"/>
    <s v="Carlos Mendez"/>
    <x v="0"/>
    <n v="148"/>
    <d v="2025-01-19T00:00:00"/>
    <n v="15"/>
    <s v="Full Credit"/>
    <n v="5132.1000000000004"/>
  </r>
  <r>
    <s v="DIS-0211"/>
    <s v="INV-1211"/>
    <s v="VND-008"/>
    <s v="Rapi Cargo SA"/>
    <s v="Logistics"/>
    <s v="West"/>
    <d v="2024-12-09T00:00:00"/>
    <s v="Service Quality"/>
    <n v="57994.02"/>
    <n v="18801.939999999999"/>
    <s v="Low"/>
    <s v="Valeria Moreno"/>
    <x v="0"/>
    <n v="174"/>
    <d v="2024-12-17T00:00:00"/>
    <n v="8"/>
    <s v="Full Credit"/>
    <n v="18801.939999999999"/>
  </r>
  <r>
    <s v="DIS-0212"/>
    <s v="INV-1212"/>
    <s v="VND-008"/>
    <s v="Rapi Cargo SA"/>
    <s v="Logistics"/>
    <s v="West"/>
    <d v="2024-12-12T00:00:00"/>
    <s v="Service Quality"/>
    <n v="81376.759999999995"/>
    <n v="35765.050000000003"/>
    <s v="Low"/>
    <s v="Sofia Ruiz"/>
    <x v="0"/>
    <n v="171"/>
    <d v="2025-03-03T00:00:00"/>
    <n v="81"/>
    <s v="Full Credit"/>
    <n v="35765.050000000003"/>
  </r>
  <r>
    <s v="DIS-0213"/>
    <s v="INV-1213"/>
    <s v="VND-008"/>
    <s v="Rapi Cargo SA"/>
    <s v="Logistics"/>
    <s v="West"/>
    <d v="2024-11-11T00:00:00"/>
    <s v="Missing Goods"/>
    <n v="99108.5"/>
    <n v="59910.05"/>
    <s v="Medium"/>
    <s v="Juan Vargas"/>
    <x v="3"/>
    <n v="202"/>
    <d v="2024-12-22T00:00:00"/>
    <n v="41"/>
    <s v="Partial Credit"/>
    <n v="12580.04"/>
  </r>
  <r>
    <s v="DIS-0214"/>
    <s v="INV-1214"/>
    <s v="VND-008"/>
    <s v="Rapi Cargo SA"/>
    <s v="Logistics"/>
    <s v="West"/>
    <d v="2024-12-13T00:00:00"/>
    <s v="Contract Terms"/>
    <n v="69011.61"/>
    <n v="54168.84"/>
    <s v="Medium"/>
    <s v="Ana Torres"/>
    <x v="0"/>
    <n v="170"/>
    <d v="2025-01-18T00:00:00"/>
    <n v="36"/>
    <s v="Pending"/>
    <n v="0"/>
  </r>
  <r>
    <s v="DIS-0215"/>
    <s v="INV-1215"/>
    <s v="VND-008"/>
    <s v="Rapi Cargo SA"/>
    <s v="Logistics"/>
    <s v="West"/>
    <d v="2024-08-08T00:00:00"/>
    <s v="Damaged Goods"/>
    <n v="59875.27"/>
    <n v="35389.279999999999"/>
    <s v="Medium"/>
    <s v="Valeria Moreno"/>
    <x v="0"/>
    <n v="297"/>
    <d v="2024-11-06T00:00:00"/>
    <n v="90"/>
    <s v="Full Credit"/>
    <n v="35389.279999999999"/>
  </r>
  <r>
    <s v="DIS-0216"/>
    <s v="INV-1216"/>
    <s v="VND-008"/>
    <s v="Rapi Cargo SA"/>
    <s v="Logistics"/>
    <s v="West"/>
    <d v="2024-08-11T00:00:00"/>
    <s v="Missing Goods"/>
    <n v="95079.49"/>
    <n v="12590.58"/>
    <s v="Low"/>
    <s v="Valeria Moreno"/>
    <x v="0"/>
    <n v="294"/>
    <d v="2024-11-10T00:00:00"/>
    <n v="91"/>
    <s v="Full Credit"/>
    <n v="12590.58"/>
  </r>
  <r>
    <s v="DIS-0217"/>
    <s v="INV-1217"/>
    <s v="VND-009"/>
    <s v="Consulting Masters"/>
    <s v="Services"/>
    <s v="Central"/>
    <d v="2025-04-30T00:00:00"/>
    <s v="Contract Terms"/>
    <n v="72048.649999999994"/>
    <n v="31630.25"/>
    <s v="Medium"/>
    <s v="Juan Vargas"/>
    <x v="0"/>
    <n v="32"/>
    <d v="2025-05-13T00:00:00"/>
    <n v="13"/>
    <s v="Pending"/>
    <n v="0"/>
  </r>
  <r>
    <s v="DIS-0218"/>
    <s v="INV-1218"/>
    <s v="VND-009"/>
    <s v="Consulting Masters"/>
    <s v="Services"/>
    <s v="Central"/>
    <d v="2024-10-08T00:00:00"/>
    <s v="Contract Terms"/>
    <n v="91651.8"/>
    <n v="28113.759999999998"/>
    <s v="Medium"/>
    <s v="Marta Lopez"/>
    <x v="0"/>
    <n v="236"/>
    <d v="2024-11-04T00:00:00"/>
    <n v="27"/>
    <s v="Pending"/>
    <n v="0"/>
  </r>
  <r>
    <s v="DIS-0219"/>
    <s v="INV-1219"/>
    <s v="VND-009"/>
    <s v="Consulting Masters"/>
    <s v="Services"/>
    <s v="Central"/>
    <d v="2025-01-09T00:00:00"/>
    <s v="Missing Goods"/>
    <n v="58018.23"/>
    <n v="12685.7"/>
    <s v="Critical"/>
    <s v="Marta Lopez"/>
    <x v="3"/>
    <n v="143"/>
    <d v="2025-04-10T00:00:00"/>
    <n v="91"/>
    <s v="Payment Adjusted"/>
    <n v="2877.32"/>
  </r>
  <r>
    <s v="DIS-0220"/>
    <s v="INV-1220"/>
    <s v="VND-009"/>
    <s v="Consulting Masters"/>
    <s v="Services"/>
    <s v="Central"/>
    <d v="2024-12-04T00:00:00"/>
    <s v="Missing Goods"/>
    <n v="58246.32"/>
    <n v="43735.07"/>
    <s v="High"/>
    <s v="Carlos Mendez"/>
    <x v="0"/>
    <n v="179"/>
    <d v="2025-02-14T00:00:00"/>
    <n v="72"/>
    <s v="Full Credit"/>
    <n v="43735.07"/>
  </r>
  <r>
    <s v="DIS-0221"/>
    <s v="INV-1221"/>
    <s v="VND-009"/>
    <s v="Consulting Masters"/>
    <s v="Services"/>
    <s v="Central"/>
    <d v="2024-11-10T00:00:00"/>
    <s v="Missing Goods"/>
    <n v="82745.86"/>
    <n v="63379.74"/>
    <s v="High"/>
    <s v="Ana Torres"/>
    <x v="0"/>
    <n v="203"/>
    <d v="2025-02-12T00:00:00"/>
    <n v="94"/>
    <s v="Full Credit"/>
    <n v="63379.74"/>
  </r>
  <r>
    <s v="DIS-0222"/>
    <s v="INV-1222"/>
    <s v="VND-009"/>
    <s v="Consulting Masters"/>
    <s v="Services"/>
    <s v="Central"/>
    <d v="2024-10-17T00:00:00"/>
    <s v="Service Quality"/>
    <n v="67317.34"/>
    <n v="41097.5"/>
    <s v="Low"/>
    <s v="Marta Lopez"/>
    <x v="2"/>
    <n v="227"/>
    <d v="2025-01-17T00:00:00"/>
    <n v="92"/>
    <s v="Full Credit"/>
    <n v="41097.5"/>
  </r>
  <r>
    <s v="DIS-0223"/>
    <s v="INV-1223"/>
    <s v="VND-009"/>
    <s v="Consulting Masters"/>
    <s v="Services"/>
    <s v="Central"/>
    <d v="2025-04-06T00:00:00"/>
    <s v="Contract Terms"/>
    <n v="63489.32"/>
    <n v="31117.57"/>
    <s v="Low"/>
    <s v="Luis Herrera"/>
    <x v="0"/>
    <n v="56"/>
    <d v="2025-04-12T00:00:00"/>
    <n v="6"/>
    <s v="Full Credit"/>
    <n v="31117.57"/>
  </r>
  <r>
    <s v="DIS-0224"/>
    <s v="INV-1224"/>
    <s v="VND-009"/>
    <s v="Consulting Masters"/>
    <s v="Services"/>
    <s v="Central"/>
    <d v="2024-12-13T00:00:00"/>
    <s v="Price Discrepancy"/>
    <n v="73149.02"/>
    <n v="9173.52"/>
    <s v="High"/>
    <s v="Sofia Ruiz"/>
    <x v="0"/>
    <n v="170"/>
    <d v="2025-04-07T00:00:00"/>
    <n v="115"/>
    <s v="No Action"/>
    <n v="0"/>
  </r>
  <r>
    <s v="DIS-0225"/>
    <s v="INV-1225"/>
    <s v="VND-009"/>
    <s v="Consulting Masters"/>
    <s v="Services"/>
    <s v="Central"/>
    <d v="2024-09-29T00:00:00"/>
    <s v="Missing Goods"/>
    <n v="66801.179999999993"/>
    <n v="41211.870000000003"/>
    <s v="Medium"/>
    <s v="Ana Torres"/>
    <x v="2"/>
    <n v="245"/>
    <d v="2024-10-13T00:00:00"/>
    <n v="14"/>
    <s v="Payment Adjusted"/>
    <n v="7949.28"/>
  </r>
  <r>
    <s v="DIS-0226"/>
    <s v="INV-1226"/>
    <s v="VND-009"/>
    <s v="Consulting Masters"/>
    <s v="Services"/>
    <s v="Central"/>
    <d v="2025-05-12T00:00:00"/>
    <s v="Damaged Goods"/>
    <n v="91756.82"/>
    <n v="16635.38"/>
    <s v="High"/>
    <s v="Ana Torres"/>
    <x v="2"/>
    <n v="20"/>
    <d v="2025-05-27T00:00:00"/>
    <n v="15"/>
    <s v="Payment Adjusted"/>
    <n v="2903.28"/>
  </r>
  <r>
    <s v="DIS-0227"/>
    <s v="INV-1227"/>
    <s v="VND-009"/>
    <s v="Consulting Masters"/>
    <s v="Services"/>
    <s v="Central"/>
    <d v="2025-01-03T00:00:00"/>
    <s v="Price Discrepancy"/>
    <n v="88290.6"/>
    <n v="5028.18"/>
    <s v="Medium"/>
    <s v="Diego Castillo"/>
    <x v="0"/>
    <n v="149"/>
    <d v="2025-03-29T00:00:00"/>
    <n v="85"/>
    <s v="Partial Credit"/>
    <n v="2495.7199999999998"/>
  </r>
  <r>
    <s v="DIS-0228"/>
    <s v="INV-1228"/>
    <s v="VND-009"/>
    <s v="Consulting Masters"/>
    <s v="Services"/>
    <s v="Central"/>
    <d v="2025-03-24T00:00:00"/>
    <s v="Price Discrepancy"/>
    <n v="85850.68"/>
    <n v="34427.46"/>
    <s v="Low"/>
    <s v="Diego Castillo"/>
    <x v="4"/>
    <n v="69"/>
    <m/>
    <m/>
    <s v="Pending"/>
    <n v="0"/>
  </r>
  <r>
    <s v="DIS-0229"/>
    <s v="INV-1229"/>
    <s v="VND-009"/>
    <s v="Consulting Masters"/>
    <s v="Services"/>
    <s v="Central"/>
    <d v="2024-10-09T00:00:00"/>
    <s v="Missing Goods"/>
    <n v="66587.11"/>
    <n v="39216.39"/>
    <s v="Low"/>
    <s v="Marta Lopez"/>
    <x v="0"/>
    <n v="235"/>
    <d v="2025-01-16T00:00:00"/>
    <n v="99"/>
    <s v="Full Credit"/>
    <n v="39216.39"/>
  </r>
  <r>
    <s v="DIS-0230"/>
    <s v="INV-1230"/>
    <s v="VND-009"/>
    <s v="Consulting Masters"/>
    <s v="Services"/>
    <s v="Central"/>
    <d v="2024-07-23T00:00:00"/>
    <s v="Service Quality"/>
    <n v="86333.92"/>
    <n v="62400.61"/>
    <s v="High"/>
    <s v="Diego Castillo"/>
    <x v="4"/>
    <n v="313"/>
    <m/>
    <m/>
    <s v="Pending"/>
    <n v="0"/>
  </r>
  <r>
    <s v="DIS-0231"/>
    <s v="INV-1231"/>
    <s v="VND-009"/>
    <s v="Consulting Masters"/>
    <s v="Services"/>
    <s v="Central"/>
    <d v="2024-06-23T00:00:00"/>
    <s v="Damaged Goods"/>
    <n v="14061.59"/>
    <n v="11056.12"/>
    <s v="Medium"/>
    <s v="Ana Torres"/>
    <x v="0"/>
    <n v="343"/>
    <d v="2024-07-26T00:00:00"/>
    <n v="33"/>
    <s v="Partial Credit"/>
    <n v="3982.38"/>
  </r>
  <r>
    <s v="DIS-0232"/>
    <s v="INV-1232"/>
    <s v="VND-009"/>
    <s v="Consulting Masters"/>
    <s v="Services"/>
    <s v="Central"/>
    <d v="2024-12-14T00:00:00"/>
    <s v="Contract Terms"/>
    <n v="33684.85"/>
    <n v="19946.88"/>
    <s v="Low"/>
    <s v="Diego Castillo"/>
    <x v="3"/>
    <n v="169"/>
    <d v="2024-12-24T00:00:00"/>
    <n v="10"/>
    <s v="Payment Adjusted"/>
    <n v="5707.96"/>
  </r>
  <r>
    <s v="DIS-0233"/>
    <s v="INV-1233"/>
    <s v="VND-009"/>
    <s v="Consulting Masters"/>
    <s v="Services"/>
    <s v="Central"/>
    <d v="2025-03-11T00:00:00"/>
    <s v="Contract Terms"/>
    <n v="43514.58"/>
    <n v="18575.95"/>
    <s v="High"/>
    <s v="Marta Lopez"/>
    <x v="0"/>
    <n v="82"/>
    <d v="2025-04-20T00:00:00"/>
    <n v="40"/>
    <s v="Full Credit"/>
    <n v="18575.95"/>
  </r>
  <r>
    <s v="DIS-0234"/>
    <s v="INV-1234"/>
    <s v="VND-009"/>
    <s v="Consulting Masters"/>
    <s v="Services"/>
    <s v="Central"/>
    <d v="2025-02-07T00:00:00"/>
    <s v="Contract Terms"/>
    <n v="25817.22"/>
    <n v="3877.14"/>
    <s v="Low"/>
    <s v="Diego Castillo"/>
    <x v="0"/>
    <n v="114"/>
    <d v="2025-04-21T00:00:00"/>
    <n v="73"/>
    <s v="No Action"/>
    <n v="0"/>
  </r>
  <r>
    <s v="DIS-0235"/>
    <s v="INV-1235"/>
    <s v="VND-009"/>
    <s v="Consulting Masters"/>
    <s v="Services"/>
    <s v="Central"/>
    <d v="2024-08-29T00:00:00"/>
    <s v="Contract Terms"/>
    <n v="81189.52"/>
    <n v="54332.24"/>
    <s v="High"/>
    <s v="Carlos Mendez"/>
    <x v="0"/>
    <n v="276"/>
    <d v="2024-11-07T00:00:00"/>
    <n v="70"/>
    <s v="Payment Adjusted"/>
    <n v="7130.62"/>
  </r>
  <r>
    <s v="DIS-0236"/>
    <s v="INV-1236"/>
    <s v="VND-009"/>
    <s v="Consulting Masters"/>
    <s v="Services"/>
    <s v="Central"/>
    <d v="2024-08-16T00:00:00"/>
    <s v="Damaged Goods"/>
    <n v="15659.84"/>
    <n v="10516.84"/>
    <s v="Critical"/>
    <s v="Sofia Ruiz"/>
    <x v="0"/>
    <n v="289"/>
    <d v="2024-12-06T00:00:00"/>
    <n v="112"/>
    <s v="Partial Credit"/>
    <n v="2836.85"/>
  </r>
  <r>
    <s v="DIS-0237"/>
    <s v="INV-1237"/>
    <s v="VND-009"/>
    <s v="Consulting Masters"/>
    <s v="Services"/>
    <s v="Central"/>
    <d v="2025-02-15T00:00:00"/>
    <s v="Duplicate Invoice"/>
    <n v="73107.210000000006"/>
    <n v="30458"/>
    <s v="High"/>
    <s v="Ana Torres"/>
    <x v="0"/>
    <n v="106"/>
    <d v="2025-04-24T00:00:00"/>
    <n v="68"/>
    <s v="Partial Credit"/>
    <n v="16396.96"/>
  </r>
  <r>
    <s v="DIS-0238"/>
    <s v="INV-1238"/>
    <s v="VND-009"/>
    <s v="Consulting Masters"/>
    <s v="Services"/>
    <s v="Central"/>
    <d v="2024-08-18T00:00:00"/>
    <s v="Duplicate Invoice"/>
    <n v="48925.94"/>
    <n v="32055.62"/>
    <s v="High"/>
    <s v="Marta Lopez"/>
    <x v="2"/>
    <n v="287"/>
    <d v="2024-11-24T00:00:00"/>
    <n v="98"/>
    <s v="Full Credit"/>
    <n v="32055.62"/>
  </r>
  <r>
    <s v="DIS-0239"/>
    <s v="INV-1239"/>
    <s v="VND-009"/>
    <s v="Consulting Masters"/>
    <s v="Services"/>
    <s v="Central"/>
    <d v="2025-04-24T00:00:00"/>
    <s v="Price Discrepancy"/>
    <n v="9302.5300000000007"/>
    <n v="2868.87"/>
    <s v="Low"/>
    <s v="Carlos Mendez"/>
    <x v="2"/>
    <n v="38"/>
    <d v="2025-05-27T00:00:00"/>
    <n v="33"/>
    <s v="Full Credit"/>
    <n v="2868.87"/>
  </r>
  <r>
    <s v="DIS-0240"/>
    <s v="INV-1240"/>
    <s v="VND-009"/>
    <s v="Consulting Masters"/>
    <s v="Services"/>
    <s v="Central"/>
    <d v="2024-11-03T00:00:00"/>
    <s v="Contract Terms"/>
    <n v="22098.23"/>
    <n v="3349.47"/>
    <s v="Medium"/>
    <s v="Valeria Moreno"/>
    <x v="0"/>
    <n v="210"/>
    <d v="2025-02-28T00:00:00"/>
    <n v="117"/>
    <s v="Full Credit"/>
    <n v="3349.47"/>
  </r>
  <r>
    <s v="DIS-0241"/>
    <s v="INV-1241"/>
    <s v="VND-009"/>
    <s v="Consulting Masters"/>
    <s v="Services"/>
    <s v="Central"/>
    <d v="2024-11-19T00:00:00"/>
    <s v="Service Quality"/>
    <n v="40686.33"/>
    <n v="22867.66"/>
    <s v="High"/>
    <s v="Sofia Ruiz"/>
    <x v="3"/>
    <n v="194"/>
    <d v="2025-01-05T00:00:00"/>
    <n v="47"/>
    <s v="Full Credit"/>
    <n v="22867.66"/>
  </r>
  <r>
    <s v="DIS-0242"/>
    <s v="INV-1242"/>
    <s v="VND-009"/>
    <s v="Consulting Masters"/>
    <s v="Services"/>
    <s v="Central"/>
    <d v="2024-08-29T00:00:00"/>
    <s v="Price Discrepancy"/>
    <n v="42340.57"/>
    <n v="6160.99"/>
    <s v="Critical"/>
    <s v="Ana Torres"/>
    <x v="2"/>
    <n v="276"/>
    <d v="2024-10-30T00:00:00"/>
    <n v="62"/>
    <s v="Payment Adjusted"/>
    <n v="1957.83"/>
  </r>
  <r>
    <s v="DIS-0243"/>
    <s v="INV-1243"/>
    <s v="VND-009"/>
    <s v="Consulting Masters"/>
    <s v="Services"/>
    <s v="Central"/>
    <d v="2024-09-01T00:00:00"/>
    <s v="Damaged Goods"/>
    <n v="41031.26"/>
    <n v="9119.1200000000008"/>
    <s v="Medium"/>
    <s v="Marta Lopez"/>
    <x v="0"/>
    <n v="273"/>
    <d v="2024-12-25T00:00:00"/>
    <n v="115"/>
    <s v="Payment Adjusted"/>
    <n v="1323.53"/>
  </r>
  <r>
    <s v="DIS-0244"/>
    <s v="INV-1244"/>
    <s v="VND-009"/>
    <s v="Consulting Masters"/>
    <s v="Services"/>
    <s v="Central"/>
    <d v="2024-06-27T00:00:00"/>
    <s v="Price Discrepancy"/>
    <n v="44827.86"/>
    <n v="27996.799999999999"/>
    <s v="High"/>
    <s v="Luis Herrera"/>
    <x v="0"/>
    <n v="339"/>
    <d v="2024-07-12T00:00:00"/>
    <n v="15"/>
    <s v="Partial Credit"/>
    <n v="13098.71"/>
  </r>
  <r>
    <s v="DIS-0245"/>
    <s v="INV-1245"/>
    <s v="VND-009"/>
    <s v="Consulting Masters"/>
    <s v="Services"/>
    <s v="Central"/>
    <d v="2024-06-21T00:00:00"/>
    <s v="Duplicate Invoice"/>
    <n v="71812.2"/>
    <n v="6212.28"/>
    <s v="High"/>
    <s v="Juan Vargas"/>
    <x v="0"/>
    <n v="345"/>
    <d v="2024-07-21T00:00:00"/>
    <n v="30"/>
    <s v="Payment Adjusted"/>
    <n v="2549.6799999999998"/>
  </r>
  <r>
    <s v="DIS-0246"/>
    <s v="INV-1246"/>
    <s v="VND-009"/>
    <s v="Consulting Masters"/>
    <s v="Services"/>
    <s v="Central"/>
    <d v="2025-03-21T00:00:00"/>
    <s v="Contract Terms"/>
    <n v="52870.11"/>
    <n v="14113.55"/>
    <s v="High"/>
    <s v="Diego Castillo"/>
    <x v="0"/>
    <n v="72"/>
    <d v="2025-05-04T00:00:00"/>
    <n v="44"/>
    <s v="Full Credit"/>
    <n v="14113.55"/>
  </r>
  <r>
    <s v="DIS-0247"/>
    <s v="INV-1247"/>
    <s v="VND-009"/>
    <s v="Consulting Masters"/>
    <s v="Services"/>
    <s v="Central"/>
    <d v="2025-03-19T00:00:00"/>
    <s v="Missing Goods"/>
    <n v="98641.08"/>
    <n v="43494.63"/>
    <s v="Medium"/>
    <s v="Ana Torres"/>
    <x v="0"/>
    <n v="74"/>
    <d v="2025-04-13T00:00:00"/>
    <n v="25"/>
    <s v="Partial Credit"/>
    <n v="19847.48"/>
  </r>
  <r>
    <s v="DIS-0248"/>
    <s v="INV-1248"/>
    <s v="VND-009"/>
    <s v="Consulting Masters"/>
    <s v="Services"/>
    <s v="Central"/>
    <d v="2024-09-20T00:00:00"/>
    <s v="Duplicate Invoice"/>
    <n v="9453.99"/>
    <n v="2914.77"/>
    <s v="Medium"/>
    <s v="Diego Castillo"/>
    <x v="3"/>
    <n v="254"/>
    <d v="2024-11-14T00:00:00"/>
    <n v="55"/>
    <s v="Full Credit"/>
    <n v="2914.77"/>
  </r>
  <r>
    <s v="DIS-0249"/>
    <s v="INV-1249"/>
    <s v="VND-009"/>
    <s v="Consulting Masters"/>
    <s v="Services"/>
    <s v="Central"/>
    <d v="2024-11-20T00:00:00"/>
    <s v="Damaged Goods"/>
    <n v="22468.5"/>
    <n v="10188.26"/>
    <s v="Low"/>
    <s v="Marta Lopez"/>
    <x v="2"/>
    <n v="193"/>
    <d v="2024-12-11T00:00:00"/>
    <n v="21"/>
    <s v="No Action"/>
    <n v="0"/>
  </r>
  <r>
    <s v="DIS-0250"/>
    <s v="INV-1250"/>
    <s v="VND-009"/>
    <s v="Consulting Masters"/>
    <s v="Services"/>
    <s v="Central"/>
    <d v="2025-05-02T00:00:00"/>
    <s v="Damaged Goods"/>
    <n v="58426.67"/>
    <n v="45329.73"/>
    <s v="Medium"/>
    <s v="Valeria Moreno"/>
    <x v="1"/>
    <n v="30"/>
    <m/>
    <m/>
    <s v="Pending"/>
    <n v="0"/>
  </r>
  <r>
    <s v="DIS-0251"/>
    <s v="INV-1251"/>
    <s v="VND-009"/>
    <s v="Consulting Masters"/>
    <s v="Services"/>
    <s v="Central"/>
    <d v="2025-02-16T00:00:00"/>
    <s v="Missing Goods"/>
    <n v="36374.980000000003"/>
    <n v="3975.89"/>
    <s v="Medium"/>
    <s v="Carlos Mendez"/>
    <x v="0"/>
    <n v="105"/>
    <d v="2025-03-15T00:00:00"/>
    <n v="27"/>
    <s v="Full Credit"/>
    <n v="3975.89"/>
  </r>
  <r>
    <s v="DIS-0252"/>
    <s v="INV-1252"/>
    <s v="VND-010"/>
    <s v="AquaServ"/>
    <s v="Utilities"/>
    <s v="West"/>
    <d v="2025-04-24T00:00:00"/>
    <s v="Service Quality"/>
    <n v="22875.51"/>
    <n v="14211.92"/>
    <s v="High"/>
    <s v="Luis Herrera"/>
    <x v="0"/>
    <n v="38"/>
    <d v="2025-05-18T00:00:00"/>
    <n v="24"/>
    <s v="Full Credit"/>
    <n v="14211.92"/>
  </r>
  <r>
    <s v="DIS-0253"/>
    <s v="INV-1253"/>
    <s v="VND-010"/>
    <s v="AquaServ"/>
    <s v="Utilities"/>
    <s v="West"/>
    <d v="2025-05-24T00:00:00"/>
    <s v="Contract Terms"/>
    <n v="25121.74"/>
    <n v="4836.38"/>
    <s v="High"/>
    <s v="Juan Vargas"/>
    <x v="4"/>
    <n v="8"/>
    <m/>
    <m/>
    <s v="Pending"/>
    <n v="0"/>
  </r>
  <r>
    <s v="DIS-0254"/>
    <s v="INV-1254"/>
    <s v="VND-010"/>
    <s v="AquaServ"/>
    <s v="Utilities"/>
    <s v="West"/>
    <d v="2024-06-09T00:00:00"/>
    <s v="Service Quality"/>
    <n v="62418.15"/>
    <n v="12694.91"/>
    <s v="Critical"/>
    <s v="Diego Castillo"/>
    <x v="3"/>
    <n v="357"/>
    <d v="2024-07-30T00:00:00"/>
    <n v="51"/>
    <s v="Partial Credit"/>
    <n v="7480.26"/>
  </r>
  <r>
    <s v="DIS-0255"/>
    <s v="INV-1255"/>
    <s v="VND-010"/>
    <s v="AquaServ"/>
    <s v="Utilities"/>
    <s v="West"/>
    <d v="2024-12-25T00:00:00"/>
    <s v="Price Discrepancy"/>
    <n v="29848.35"/>
    <n v="12972.46"/>
    <s v="Medium"/>
    <s v="Juan Vargas"/>
    <x v="3"/>
    <n v="158"/>
    <d v="2025-02-06T00:00:00"/>
    <n v="43"/>
    <s v="No Action"/>
    <n v="0"/>
  </r>
  <r>
    <s v="DIS-0256"/>
    <s v="INV-1256"/>
    <s v="VND-010"/>
    <s v="AquaServ"/>
    <s v="Utilities"/>
    <s v="West"/>
    <d v="2024-11-23T00:00:00"/>
    <s v="Contract Terms"/>
    <n v="34727.589999999997"/>
    <n v="2927.07"/>
    <s v="High"/>
    <s v="Sofia Ruiz"/>
    <x v="1"/>
    <n v="190"/>
    <m/>
    <m/>
    <s v="Pending"/>
    <n v="0"/>
  </r>
  <r>
    <s v="DIS-0257"/>
    <s v="INV-1257"/>
    <s v="VND-010"/>
    <s v="AquaServ"/>
    <s v="Utilities"/>
    <s v="West"/>
    <d v="2024-08-21T00:00:00"/>
    <s v="Damaged Goods"/>
    <n v="93802.03"/>
    <n v="45433.69"/>
    <s v="Medium"/>
    <s v="Luis Herrera"/>
    <x v="0"/>
    <n v="284"/>
    <d v="2024-10-11T00:00:00"/>
    <n v="51"/>
    <s v="Partial Credit"/>
    <n v="15785.39"/>
  </r>
  <r>
    <s v="DIS-0258"/>
    <s v="INV-1258"/>
    <s v="VND-010"/>
    <s v="AquaServ"/>
    <s v="Utilities"/>
    <s v="West"/>
    <d v="2024-08-23T00:00:00"/>
    <s v="Duplicate Invoice"/>
    <n v="67187.759999999995"/>
    <n v="37869.370000000003"/>
    <s v="Medium"/>
    <s v="Juan Vargas"/>
    <x v="0"/>
    <n v="282"/>
    <d v="2024-11-27T00:00:00"/>
    <n v="96"/>
    <s v="Payment Adjusted"/>
    <n v="6350.93"/>
  </r>
  <r>
    <s v="DIS-0259"/>
    <s v="INV-1259"/>
    <s v="VND-010"/>
    <s v="AquaServ"/>
    <s v="Utilities"/>
    <s v="West"/>
    <d v="2024-08-25T00:00:00"/>
    <s v="Contract Terms"/>
    <n v="51390.05"/>
    <n v="37909.129999999997"/>
    <s v="Medium"/>
    <s v="Ana Torres"/>
    <x v="0"/>
    <n v="280"/>
    <d v="2024-12-13T00:00:00"/>
    <n v="110"/>
    <s v="No Action"/>
    <n v="0"/>
  </r>
  <r>
    <s v="DIS-0260"/>
    <s v="INV-1260"/>
    <s v="VND-010"/>
    <s v="AquaServ"/>
    <s v="Utilities"/>
    <s v="West"/>
    <d v="2024-06-23T00:00:00"/>
    <s v="Contract Terms"/>
    <n v="9608.8700000000008"/>
    <n v="526.45000000000005"/>
    <s v="Low"/>
    <s v="Luis Herrera"/>
    <x v="4"/>
    <n v="343"/>
    <m/>
    <m/>
    <s v="Pending"/>
    <n v="0"/>
  </r>
  <r>
    <s v="DIS-0261"/>
    <s v="INV-1261"/>
    <s v="VND-010"/>
    <s v="AquaServ"/>
    <s v="Utilities"/>
    <s v="West"/>
    <d v="2025-03-15T00:00:00"/>
    <s v="Service Quality"/>
    <n v="5868.44"/>
    <n v="2519.3200000000002"/>
    <s v="Medium"/>
    <s v="Juan Vargas"/>
    <x v="0"/>
    <n v="78"/>
    <d v="2025-03-20T00:00:00"/>
    <n v="5"/>
    <s v="Full Credit"/>
    <n v="2519.3200000000002"/>
  </r>
  <r>
    <s v="DIS-0262"/>
    <s v="INV-1262"/>
    <s v="VND-010"/>
    <s v="AquaServ"/>
    <s v="Utilities"/>
    <s v="West"/>
    <d v="2024-08-22T00:00:00"/>
    <s v="Service Quality"/>
    <n v="44077.16"/>
    <n v="2756.79"/>
    <s v="High"/>
    <s v="Marta Lopez"/>
    <x v="1"/>
    <n v="283"/>
    <m/>
    <m/>
    <s v="Pending"/>
    <n v="0"/>
  </r>
  <r>
    <s v="DIS-0263"/>
    <s v="INV-1263"/>
    <s v="VND-010"/>
    <s v="AquaServ"/>
    <s v="Utilities"/>
    <s v="West"/>
    <d v="2024-06-08T00:00:00"/>
    <s v="Price Discrepancy"/>
    <n v="69033.13"/>
    <n v="45190.87"/>
    <s v="Critical"/>
    <s v="Carlos Mendez"/>
    <x v="0"/>
    <n v="358"/>
    <d v="2024-07-11T00:00:00"/>
    <n v="33"/>
    <s v="Full Credit"/>
    <n v="45190.87"/>
  </r>
  <r>
    <s v="DIS-0264"/>
    <s v="INV-1264"/>
    <s v="VND-010"/>
    <s v="AquaServ"/>
    <s v="Utilities"/>
    <s v="West"/>
    <d v="2024-09-04T00:00:00"/>
    <s v="Price Discrepancy"/>
    <n v="28979.73"/>
    <n v="9152.69"/>
    <s v="High"/>
    <s v="Diego Castillo"/>
    <x v="2"/>
    <n v="270"/>
    <d v="2024-11-04T00:00:00"/>
    <n v="61"/>
    <s v="Partial Credit"/>
    <n v="7268.52"/>
  </r>
  <r>
    <s v="DIS-0265"/>
    <s v="INV-1265"/>
    <s v="VND-010"/>
    <s v="AquaServ"/>
    <s v="Utilities"/>
    <s v="West"/>
    <d v="2025-02-05T00:00:00"/>
    <s v="Contract Terms"/>
    <n v="33497.589999999997"/>
    <n v="22478.44"/>
    <s v="Low"/>
    <s v="Ana Torres"/>
    <x v="4"/>
    <n v="116"/>
    <m/>
    <m/>
    <s v="Pending"/>
    <n v="0"/>
  </r>
  <r>
    <s v="DIS-0266"/>
    <s v="INV-1266"/>
    <s v="VND-010"/>
    <s v="AquaServ"/>
    <s v="Utilities"/>
    <s v="West"/>
    <d v="2024-11-18T00:00:00"/>
    <s v="Contract Terms"/>
    <n v="40831.11"/>
    <n v="16618.419999999998"/>
    <s v="Medium"/>
    <s v="Sofia Ruiz"/>
    <x v="4"/>
    <n v="195"/>
    <m/>
    <m/>
    <s v="Pending"/>
    <n v="0"/>
  </r>
  <r>
    <s v="DIS-0267"/>
    <s v="INV-1267"/>
    <s v="VND-010"/>
    <s v="AquaServ"/>
    <s v="Utilities"/>
    <s v="West"/>
    <d v="2024-10-21T00:00:00"/>
    <s v="Price Discrepancy"/>
    <n v="66266.19"/>
    <n v="19777.34"/>
    <s v="Critical"/>
    <s v="Ana Torres"/>
    <x v="0"/>
    <n v="223"/>
    <d v="2025-02-16T00:00:00"/>
    <n v="118"/>
    <s v="No Action"/>
    <n v="0"/>
  </r>
  <r>
    <s v="DIS-0268"/>
    <s v="INV-1268"/>
    <s v="VND-010"/>
    <s v="AquaServ"/>
    <s v="Utilities"/>
    <s v="West"/>
    <d v="2024-08-14T00:00:00"/>
    <s v="Missing Goods"/>
    <n v="50172.53"/>
    <n v="4260.7299999999996"/>
    <s v="Low"/>
    <s v="Ana Torres"/>
    <x v="0"/>
    <n v="291"/>
    <d v="2024-12-03T00:00:00"/>
    <n v="111"/>
    <s v="Full Credit"/>
    <n v="4260.7299999999996"/>
  </r>
  <r>
    <s v="DIS-0269"/>
    <s v="INV-1269"/>
    <s v="VND-010"/>
    <s v="AquaServ"/>
    <s v="Utilities"/>
    <s v="West"/>
    <d v="2025-02-14T00:00:00"/>
    <s v="Duplicate Invoice"/>
    <n v="60768.43"/>
    <n v="37323.410000000003"/>
    <s v="High"/>
    <s v="Carlos Mendez"/>
    <x v="0"/>
    <n v="107"/>
    <d v="2025-04-30T00:00:00"/>
    <n v="75"/>
    <s v="Full Credit"/>
    <n v="37323.410000000003"/>
  </r>
  <r>
    <s v="DIS-0270"/>
    <s v="INV-1270"/>
    <s v="VND-010"/>
    <s v="AquaServ"/>
    <s v="Utilities"/>
    <s v="West"/>
    <d v="2024-11-13T00:00:00"/>
    <s v="Contract Terms"/>
    <n v="69318.320000000007"/>
    <n v="31569.08"/>
    <s v="Medium"/>
    <s v="Sofia Ruiz"/>
    <x v="3"/>
    <n v="200"/>
    <d v="2025-02-12T00:00:00"/>
    <n v="91"/>
    <s v="Payment Adjusted"/>
    <n v="9480.74"/>
  </r>
  <r>
    <s v="DIS-0271"/>
    <s v="INV-1271"/>
    <s v="VND-010"/>
    <s v="AquaServ"/>
    <s v="Utilities"/>
    <s v="West"/>
    <d v="2024-12-05T00:00:00"/>
    <s v="Missing Goods"/>
    <n v="10101.16"/>
    <n v="3816.38"/>
    <s v="High"/>
    <s v="Valeria Moreno"/>
    <x v="2"/>
    <n v="178"/>
    <d v="2025-01-18T00:00:00"/>
    <n v="44"/>
    <s v="Full Credit"/>
    <n v="3816.38"/>
  </r>
  <r>
    <s v="DIS-0272"/>
    <s v="INV-1272"/>
    <s v="VND-010"/>
    <s v="AquaServ"/>
    <s v="Utilities"/>
    <s v="West"/>
    <d v="2025-01-12T00:00:00"/>
    <s v="Service Quality"/>
    <n v="79437.070000000007"/>
    <n v="30814.639999999999"/>
    <s v="Low"/>
    <s v="Valeria Moreno"/>
    <x v="0"/>
    <n v="140"/>
    <d v="2025-04-12T00:00:00"/>
    <n v="90"/>
    <s v="Partial Credit"/>
    <n v="13190.01"/>
  </r>
  <r>
    <s v="DIS-0273"/>
    <s v="INV-1273"/>
    <s v="VND-011"/>
    <s v="SteelBuild Co"/>
    <s v="Materials"/>
    <s v="Central"/>
    <d v="2025-01-25T00:00:00"/>
    <s v="Contract Terms"/>
    <n v="72745.31"/>
    <n v="8113.18"/>
    <s v="Low"/>
    <s v="Sofia Ruiz"/>
    <x v="3"/>
    <n v="127"/>
    <d v="2025-03-09T00:00:00"/>
    <n v="43"/>
    <s v="Full Credit"/>
    <n v="8113.18"/>
  </r>
  <r>
    <s v="DIS-0274"/>
    <s v="INV-1274"/>
    <s v="VND-011"/>
    <s v="SteelBuild Co"/>
    <s v="Materials"/>
    <s v="Central"/>
    <d v="2025-04-15T00:00:00"/>
    <s v="Missing Goods"/>
    <n v="5493.55"/>
    <n v="1544.79"/>
    <s v="Medium"/>
    <s v="Carlos Mendez"/>
    <x v="1"/>
    <n v="47"/>
    <m/>
    <m/>
    <s v="Pending"/>
    <n v="0"/>
  </r>
  <r>
    <s v="DIS-0275"/>
    <s v="INV-1275"/>
    <s v="VND-011"/>
    <s v="SteelBuild Co"/>
    <s v="Materials"/>
    <s v="Central"/>
    <d v="2025-02-25T00:00:00"/>
    <s v="Price Discrepancy"/>
    <n v="45943.05"/>
    <n v="21489.35"/>
    <s v="Medium"/>
    <s v="Ana Torres"/>
    <x v="4"/>
    <n v="96"/>
    <m/>
    <m/>
    <s v="Pending"/>
    <n v="0"/>
  </r>
  <r>
    <s v="DIS-0276"/>
    <s v="INV-1276"/>
    <s v="VND-011"/>
    <s v="SteelBuild Co"/>
    <s v="Materials"/>
    <s v="Central"/>
    <d v="2024-08-21T00:00:00"/>
    <s v="Duplicate Invoice"/>
    <n v="13841.1"/>
    <n v="6900.24"/>
    <s v="Medium"/>
    <s v="Ana Torres"/>
    <x v="0"/>
    <n v="284"/>
    <d v="2024-10-12T00:00:00"/>
    <n v="52"/>
    <s v="Payment Adjusted"/>
    <n v="2690.66"/>
  </r>
  <r>
    <s v="DIS-0277"/>
    <s v="INV-1277"/>
    <s v="VND-011"/>
    <s v="SteelBuild Co"/>
    <s v="Materials"/>
    <s v="Central"/>
    <d v="2024-08-18T00:00:00"/>
    <s v="Damaged Goods"/>
    <n v="90994.72"/>
    <n v="71306.17"/>
    <s v="Medium"/>
    <s v="Valeria Moreno"/>
    <x v="0"/>
    <n v="287"/>
    <d v="2024-09-24T00:00:00"/>
    <n v="37"/>
    <s v="Full Credit"/>
    <n v="71306.17"/>
  </r>
  <r>
    <s v="DIS-0278"/>
    <s v="INV-1278"/>
    <s v="VND-011"/>
    <s v="SteelBuild Co"/>
    <s v="Materials"/>
    <s v="Central"/>
    <d v="2024-09-21T00:00:00"/>
    <s v="Missing Goods"/>
    <n v="18863.810000000001"/>
    <n v="3308.82"/>
    <s v="Medium"/>
    <s v="Juan Vargas"/>
    <x v="3"/>
    <n v="253"/>
    <d v="2024-11-09T00:00:00"/>
    <n v="49"/>
    <s v="Full Credit"/>
    <n v="3308.82"/>
  </r>
  <r>
    <s v="DIS-0279"/>
    <s v="INV-1279"/>
    <s v="VND-011"/>
    <s v="SteelBuild Co"/>
    <s v="Materials"/>
    <s v="Central"/>
    <d v="2025-01-25T00:00:00"/>
    <s v="Duplicate Invoice"/>
    <n v="73485.45"/>
    <n v="30999.97"/>
    <s v="Medium"/>
    <s v="Carlos Mendez"/>
    <x v="0"/>
    <n v="127"/>
    <d v="2025-01-28T00:00:00"/>
    <n v="3"/>
    <s v="Pending"/>
    <n v="0"/>
  </r>
  <r>
    <s v="DIS-0280"/>
    <s v="INV-1280"/>
    <s v="VND-011"/>
    <s v="SteelBuild Co"/>
    <s v="Materials"/>
    <s v="Central"/>
    <d v="2024-12-12T00:00:00"/>
    <s v="Duplicate Invoice"/>
    <n v="84953.27"/>
    <n v="28452.33"/>
    <s v="High"/>
    <s v="Diego Castillo"/>
    <x v="0"/>
    <n v="171"/>
    <d v="2025-03-30T00:00:00"/>
    <n v="108"/>
    <s v="No Action"/>
    <n v="0"/>
  </r>
  <r>
    <s v="DIS-0281"/>
    <s v="INV-1281"/>
    <s v="VND-011"/>
    <s v="SteelBuild Co"/>
    <s v="Materials"/>
    <s v="Central"/>
    <d v="2024-07-31T00:00:00"/>
    <s v="Damaged Goods"/>
    <n v="17931.82"/>
    <n v="5209.17"/>
    <s v="Critical"/>
    <s v="Juan Vargas"/>
    <x v="0"/>
    <n v="305"/>
    <d v="2024-09-22T00:00:00"/>
    <n v="53"/>
    <s v="Pending"/>
    <n v="0"/>
  </r>
  <r>
    <s v="DIS-0282"/>
    <s v="INV-1282"/>
    <s v="VND-011"/>
    <s v="SteelBuild Co"/>
    <s v="Materials"/>
    <s v="Central"/>
    <d v="2025-01-02T00:00:00"/>
    <s v="Damaged Goods"/>
    <n v="74813.06"/>
    <n v="39252.68"/>
    <s v="Critical"/>
    <s v="Diego Castillo"/>
    <x v="0"/>
    <n v="150"/>
    <d v="2025-04-19T00:00:00"/>
    <n v="107"/>
    <s v="Payment Adjusted"/>
    <n v="9656.4"/>
  </r>
  <r>
    <s v="DIS-0283"/>
    <s v="INV-1283"/>
    <s v="VND-011"/>
    <s v="SteelBuild Co"/>
    <s v="Materials"/>
    <s v="Central"/>
    <d v="2024-08-16T00:00:00"/>
    <s v="Service Quality"/>
    <n v="23981"/>
    <n v="19135.61"/>
    <s v="Low"/>
    <s v="Ana Torres"/>
    <x v="2"/>
    <n v="289"/>
    <d v="2024-10-17T00:00:00"/>
    <n v="62"/>
    <s v="Pending"/>
    <n v="0"/>
  </r>
  <r>
    <s v="DIS-0284"/>
    <s v="INV-1284"/>
    <s v="VND-011"/>
    <s v="SteelBuild Co"/>
    <s v="Materials"/>
    <s v="Central"/>
    <d v="2025-02-13T00:00:00"/>
    <s v="Duplicate Invoice"/>
    <n v="46653.22"/>
    <n v="12526.32"/>
    <s v="High"/>
    <s v="Juan Vargas"/>
    <x v="0"/>
    <n v="108"/>
    <d v="2025-03-26T00:00:00"/>
    <n v="41"/>
    <s v="Full Credit"/>
    <n v="12526.32"/>
  </r>
  <r>
    <s v="DIS-0285"/>
    <s v="INV-1285"/>
    <s v="VND-011"/>
    <s v="SteelBuild Co"/>
    <s v="Materials"/>
    <s v="Central"/>
    <d v="2024-06-28T00:00:00"/>
    <s v="Duplicate Invoice"/>
    <n v="19643.61"/>
    <n v="7216"/>
    <s v="Medium"/>
    <s v="Juan Vargas"/>
    <x v="0"/>
    <n v="338"/>
    <d v="2024-09-07T00:00:00"/>
    <n v="71"/>
    <s v="Partial Credit"/>
    <n v="5428.13"/>
  </r>
  <r>
    <s v="DIS-0286"/>
    <s v="INV-1286"/>
    <s v="VND-011"/>
    <s v="SteelBuild Co"/>
    <s v="Materials"/>
    <s v="Central"/>
    <d v="2024-06-11T00:00:00"/>
    <s v="Contract Terms"/>
    <n v="44738.57"/>
    <n v="3470.54"/>
    <s v="Critical"/>
    <s v="Carlos Mendez"/>
    <x v="0"/>
    <n v="355"/>
    <d v="2024-07-15T00:00:00"/>
    <n v="34"/>
    <s v="Payment Adjusted"/>
    <n v="839.88"/>
  </r>
  <r>
    <s v="DIS-0287"/>
    <s v="INV-1287"/>
    <s v="VND-011"/>
    <s v="SteelBuild Co"/>
    <s v="Materials"/>
    <s v="Central"/>
    <d v="2024-07-04T00:00:00"/>
    <s v="Contract Terms"/>
    <n v="63204.4"/>
    <n v="29858.720000000001"/>
    <s v="Medium"/>
    <s v="Valeria Moreno"/>
    <x v="2"/>
    <n v="332"/>
    <d v="2024-08-18T00:00:00"/>
    <n v="45"/>
    <s v="Pending"/>
    <n v="0"/>
  </r>
  <r>
    <s v="DIS-0288"/>
    <s v="INV-1288"/>
    <s v="VND-011"/>
    <s v="SteelBuild Co"/>
    <s v="Materials"/>
    <s v="Central"/>
    <d v="2024-10-23T00:00:00"/>
    <s v="Contract Terms"/>
    <n v="15064.73"/>
    <n v="1867.35"/>
    <s v="Low"/>
    <s v="Luis Herrera"/>
    <x v="0"/>
    <n v="221"/>
    <d v="2024-12-15T00:00:00"/>
    <n v="53"/>
    <s v="Partial Credit"/>
    <n v="1134.8499999999999"/>
  </r>
  <r>
    <s v="DIS-0289"/>
    <s v="INV-1289"/>
    <s v="VND-011"/>
    <s v="SteelBuild Co"/>
    <s v="Materials"/>
    <s v="Central"/>
    <d v="2024-06-12T00:00:00"/>
    <s v="Price Discrepancy"/>
    <n v="52544.25"/>
    <n v="16221.75"/>
    <s v="Low"/>
    <s v="Marta Lopez"/>
    <x v="0"/>
    <n v="354"/>
    <d v="2024-06-25T00:00:00"/>
    <n v="13"/>
    <s v="Full Credit"/>
    <n v="16221.75"/>
  </r>
  <r>
    <s v="DIS-0290"/>
    <s v="INV-1290"/>
    <s v="VND-011"/>
    <s v="SteelBuild Co"/>
    <s v="Materials"/>
    <s v="Central"/>
    <d v="2025-03-20T00:00:00"/>
    <s v="Service Quality"/>
    <n v="38091.22"/>
    <n v="11705.43"/>
    <s v="High"/>
    <s v="Juan Vargas"/>
    <x v="0"/>
    <n v="73"/>
    <d v="2025-04-04T00:00:00"/>
    <n v="15"/>
    <s v="Partial Credit"/>
    <n v="7234.63"/>
  </r>
  <r>
    <s v="DIS-0291"/>
    <s v="INV-1291"/>
    <s v="VND-011"/>
    <s v="SteelBuild Co"/>
    <s v="Materials"/>
    <s v="Central"/>
    <d v="2024-12-19T00:00:00"/>
    <s v="Price Discrepancy"/>
    <n v="11381.56"/>
    <n v="950.5"/>
    <s v="High"/>
    <s v="Diego Castillo"/>
    <x v="0"/>
    <n v="164"/>
    <d v="2025-03-18T00:00:00"/>
    <n v="89"/>
    <s v="No Action"/>
    <n v="0"/>
  </r>
  <r>
    <s v="DIS-0292"/>
    <s v="INV-1292"/>
    <s v="VND-011"/>
    <s v="SteelBuild Co"/>
    <s v="Materials"/>
    <s v="Central"/>
    <d v="2025-01-27T00:00:00"/>
    <s v="Duplicate Invoice"/>
    <n v="54019.42"/>
    <n v="25061.38"/>
    <s v="Medium"/>
    <s v="Juan Vargas"/>
    <x v="0"/>
    <n v="125"/>
    <d v="2025-03-22T00:00:00"/>
    <n v="54"/>
    <s v="Partial Credit"/>
    <n v="7814.94"/>
  </r>
  <r>
    <s v="DIS-0293"/>
    <s v="INV-1293"/>
    <s v="VND-011"/>
    <s v="SteelBuild Co"/>
    <s v="Materials"/>
    <s v="Central"/>
    <d v="2024-06-29T00:00:00"/>
    <s v="Damaged Goods"/>
    <n v="46052.77"/>
    <n v="3310.93"/>
    <s v="Medium"/>
    <s v="Juan Vargas"/>
    <x v="0"/>
    <n v="337"/>
    <d v="2024-08-20T00:00:00"/>
    <n v="52"/>
    <s v="Full Credit"/>
    <n v="3310.93"/>
  </r>
  <r>
    <s v="DIS-0294"/>
    <s v="INV-1294"/>
    <s v="VND-011"/>
    <s v="SteelBuild Co"/>
    <s v="Materials"/>
    <s v="Central"/>
    <d v="2025-02-11T00:00:00"/>
    <s v="Price Discrepancy"/>
    <n v="24549.53"/>
    <n v="15079.4"/>
    <s v="High"/>
    <s v="Carlos Mendez"/>
    <x v="3"/>
    <n v="110"/>
    <d v="2025-04-23T00:00:00"/>
    <n v="71"/>
    <s v="Full Credit"/>
    <n v="15079.4"/>
  </r>
  <r>
    <s v="DIS-0295"/>
    <s v="INV-1295"/>
    <s v="VND-011"/>
    <s v="SteelBuild Co"/>
    <s v="Materials"/>
    <s v="Central"/>
    <d v="2024-12-16T00:00:00"/>
    <s v="Duplicate Invoice"/>
    <n v="23722.06"/>
    <n v="3213.54"/>
    <s v="High"/>
    <s v="Diego Castillo"/>
    <x v="0"/>
    <n v="167"/>
    <d v="2025-03-07T00:00:00"/>
    <n v="81"/>
    <s v="Full Credit"/>
    <n v="3213.54"/>
  </r>
  <r>
    <s v="DIS-0296"/>
    <s v="INV-1296"/>
    <s v="VND-011"/>
    <s v="SteelBuild Co"/>
    <s v="Materials"/>
    <s v="Central"/>
    <d v="2025-04-03T00:00:00"/>
    <s v="Contract Terms"/>
    <n v="38052.839999999997"/>
    <n v="26033.41"/>
    <s v="Medium"/>
    <s v="Marta Lopez"/>
    <x v="2"/>
    <n v="59"/>
    <d v="2025-05-13T00:00:00"/>
    <n v="40"/>
    <s v="Full Credit"/>
    <n v="26033.41"/>
  </r>
  <r>
    <s v="DIS-0297"/>
    <s v="INV-1297"/>
    <s v="VND-011"/>
    <s v="SteelBuild Co"/>
    <s v="Materials"/>
    <s v="Central"/>
    <d v="2025-03-24T00:00:00"/>
    <s v="Missing Goods"/>
    <n v="34752.65"/>
    <n v="7955.91"/>
    <s v="Low"/>
    <s v="Sofia Ruiz"/>
    <x v="0"/>
    <n v="69"/>
    <d v="2025-05-19T00:00:00"/>
    <n v="56"/>
    <s v="Partial Credit"/>
    <n v="4335.05"/>
  </r>
  <r>
    <s v="DIS-0298"/>
    <s v="INV-1298"/>
    <s v="VND-011"/>
    <s v="SteelBuild Co"/>
    <s v="Materials"/>
    <s v="Central"/>
    <d v="2024-10-27T00:00:00"/>
    <s v="Contract Terms"/>
    <n v="22646.6"/>
    <n v="11926.29"/>
    <s v="High"/>
    <s v="Sofia Ruiz"/>
    <x v="0"/>
    <n v="217"/>
    <d v="2024-12-31T00:00:00"/>
    <n v="65"/>
    <s v="Full Credit"/>
    <n v="11926.29"/>
  </r>
  <r>
    <s v="DIS-0299"/>
    <s v="INV-1299"/>
    <s v="VND-011"/>
    <s v="SteelBuild Co"/>
    <s v="Materials"/>
    <s v="Central"/>
    <d v="2025-02-25T00:00:00"/>
    <s v="Missing Goods"/>
    <n v="34885.1"/>
    <n v="13544.17"/>
    <s v="Low"/>
    <s v="Ana Torres"/>
    <x v="0"/>
    <n v="96"/>
    <d v="2025-03-24T00:00:00"/>
    <n v="27"/>
    <s v="No Action"/>
    <n v="0"/>
  </r>
  <r>
    <s v="DIS-0300"/>
    <s v="INV-1300"/>
    <s v="VND-011"/>
    <s v="SteelBuild Co"/>
    <s v="Materials"/>
    <s v="Central"/>
    <d v="2024-08-17T00:00:00"/>
    <s v="Duplicate Invoice"/>
    <n v="53016.61"/>
    <n v="22332.05"/>
    <s v="High"/>
    <s v="Juan Vargas"/>
    <x v="0"/>
    <n v="288"/>
    <d v="2024-08-30T00:00:00"/>
    <n v="13"/>
    <s v="Partial Credit"/>
    <n v="15130.6"/>
  </r>
  <r>
    <s v="DIS-0301"/>
    <s v="INV-1301"/>
    <s v="VND-011"/>
    <s v="SteelBuild Co"/>
    <s v="Materials"/>
    <s v="Central"/>
    <d v="2025-02-08T00:00:00"/>
    <s v="Damaged Goods"/>
    <n v="32748.54"/>
    <n v="8388.2000000000007"/>
    <s v="Medium"/>
    <s v="Juan Vargas"/>
    <x v="0"/>
    <n v="113"/>
    <d v="2025-05-20T00:00:00"/>
    <n v="101"/>
    <s v="Payment Adjusted"/>
    <n v="2683.31"/>
  </r>
  <r>
    <s v="DIS-0302"/>
    <s v="INV-1302"/>
    <s v="VND-012"/>
    <s v="DataCenter Pro"/>
    <s v="IT"/>
    <s v="North"/>
    <d v="2025-01-14T00:00:00"/>
    <s v="Price Discrepancy"/>
    <n v="78635.740000000005"/>
    <n v="52486.38"/>
    <s v="Medium"/>
    <s v="Juan Vargas"/>
    <x v="0"/>
    <n v="138"/>
    <d v="2025-03-12T00:00:00"/>
    <n v="57"/>
    <s v="Full Credit"/>
    <n v="52486.38"/>
  </r>
  <r>
    <s v="DIS-0303"/>
    <s v="INV-1303"/>
    <s v="VND-012"/>
    <s v="DataCenter Pro"/>
    <s v="IT"/>
    <s v="North"/>
    <d v="2024-07-01T00:00:00"/>
    <s v="Duplicate Invoice"/>
    <n v="76377.820000000007"/>
    <n v="20872.66"/>
    <s v="Critical"/>
    <s v="Marta Lopez"/>
    <x v="0"/>
    <n v="335"/>
    <d v="2024-10-16T00:00:00"/>
    <n v="107"/>
    <s v="Full Credit"/>
    <n v="20872.66"/>
  </r>
  <r>
    <s v="DIS-0304"/>
    <s v="INV-1304"/>
    <s v="VND-012"/>
    <s v="DataCenter Pro"/>
    <s v="IT"/>
    <s v="North"/>
    <d v="2025-04-01T00:00:00"/>
    <s v="Service Quality"/>
    <n v="78685.009999999995"/>
    <n v="17917.330000000002"/>
    <s v="High"/>
    <s v="Diego Castillo"/>
    <x v="2"/>
    <n v="61"/>
    <d v="2025-05-13T00:00:00"/>
    <n v="42"/>
    <s v="Partial Credit"/>
    <n v="5367.83"/>
  </r>
  <r>
    <s v="DIS-0305"/>
    <s v="INV-1305"/>
    <s v="VND-012"/>
    <s v="DataCenter Pro"/>
    <s v="IT"/>
    <s v="North"/>
    <d v="2025-03-21T00:00:00"/>
    <s v="Service Quality"/>
    <n v="79560.679999999993"/>
    <n v="52521.78"/>
    <s v="High"/>
    <s v="Diego Castillo"/>
    <x v="0"/>
    <n v="72"/>
    <d v="2025-05-31T00:00:00"/>
    <n v="71"/>
    <s v="Full Credit"/>
    <n v="52521.78"/>
  </r>
  <r>
    <s v="DIS-0306"/>
    <s v="INV-1306"/>
    <s v="VND-012"/>
    <s v="DataCenter Pro"/>
    <s v="IT"/>
    <s v="North"/>
    <d v="2024-06-05T00:00:00"/>
    <s v="Service Quality"/>
    <n v="32800.300000000003"/>
    <n v="15729.44"/>
    <s v="Critical"/>
    <s v="Carlos Mendez"/>
    <x v="0"/>
    <n v="361"/>
    <d v="2024-09-12T00:00:00"/>
    <n v="99"/>
    <s v="Payment Adjusted"/>
    <n v="7353.63"/>
  </r>
  <r>
    <s v="DIS-0307"/>
    <s v="INV-1307"/>
    <s v="VND-012"/>
    <s v="DataCenter Pro"/>
    <s v="IT"/>
    <s v="North"/>
    <d v="2025-01-10T00:00:00"/>
    <s v="Damaged Goods"/>
    <n v="87369.52"/>
    <n v="12683.09"/>
    <s v="High"/>
    <s v="Sofia Ruiz"/>
    <x v="3"/>
    <n v="142"/>
    <d v="2025-04-29T00:00:00"/>
    <n v="109"/>
    <s v="Full Credit"/>
    <n v="12683.09"/>
  </r>
  <r>
    <s v="DIS-0308"/>
    <s v="INV-1308"/>
    <s v="VND-012"/>
    <s v="DataCenter Pro"/>
    <s v="IT"/>
    <s v="North"/>
    <d v="2024-06-19T00:00:00"/>
    <s v="Contract Terms"/>
    <n v="42306.57"/>
    <n v="6626.42"/>
    <s v="Medium"/>
    <s v="Valeria Moreno"/>
    <x v="0"/>
    <n v="347"/>
    <d v="2024-07-01T00:00:00"/>
    <n v="12"/>
    <s v="Partial Credit"/>
    <n v="4824.53"/>
  </r>
  <r>
    <s v="DIS-0309"/>
    <s v="INV-1309"/>
    <s v="VND-012"/>
    <s v="DataCenter Pro"/>
    <s v="IT"/>
    <s v="North"/>
    <d v="2025-04-14T00:00:00"/>
    <s v="Missing Goods"/>
    <n v="43270.82"/>
    <n v="26496.959999999999"/>
    <s v="High"/>
    <s v="Juan Vargas"/>
    <x v="2"/>
    <n v="48"/>
    <d v="2025-05-07T00:00:00"/>
    <n v="23"/>
    <s v="Partial Credit"/>
    <n v="19113.439999999999"/>
  </r>
  <r>
    <s v="DIS-0310"/>
    <s v="INV-1310"/>
    <s v="VND-012"/>
    <s v="DataCenter Pro"/>
    <s v="IT"/>
    <s v="North"/>
    <d v="2025-04-14T00:00:00"/>
    <s v="Missing Goods"/>
    <n v="74438.53"/>
    <n v="29316.639999999999"/>
    <s v="High"/>
    <s v="Carlos Mendez"/>
    <x v="3"/>
    <n v="48"/>
    <d v="2025-05-12T00:00:00"/>
    <n v="28"/>
    <s v="Full Credit"/>
    <n v="29316.639999999999"/>
  </r>
  <r>
    <s v="DIS-0311"/>
    <s v="INV-1311"/>
    <s v="VND-012"/>
    <s v="DataCenter Pro"/>
    <s v="IT"/>
    <s v="North"/>
    <d v="2024-10-24T00:00:00"/>
    <s v="Missing Goods"/>
    <n v="83360.53"/>
    <n v="35097.800000000003"/>
    <s v="Medium"/>
    <s v="Diego Castillo"/>
    <x v="0"/>
    <n v="220"/>
    <d v="2024-11-12T00:00:00"/>
    <n v="19"/>
    <s v="Partial Credit"/>
    <n v="17240.14"/>
  </r>
  <r>
    <s v="DIS-0312"/>
    <s v="INV-1312"/>
    <s v="VND-012"/>
    <s v="DataCenter Pro"/>
    <s v="IT"/>
    <s v="North"/>
    <d v="2024-12-07T00:00:00"/>
    <s v="Contract Terms"/>
    <n v="89944.69"/>
    <n v="55917.760000000002"/>
    <s v="Low"/>
    <s v="Juan Vargas"/>
    <x v="1"/>
    <n v="176"/>
    <m/>
    <m/>
    <s v="Pending"/>
    <n v="0"/>
  </r>
  <r>
    <s v="DIS-0313"/>
    <s v="INV-1313"/>
    <s v="VND-012"/>
    <s v="DataCenter Pro"/>
    <s v="IT"/>
    <s v="North"/>
    <d v="2025-03-12T00:00:00"/>
    <s v="Damaged Goods"/>
    <n v="46922.17"/>
    <n v="2369.9"/>
    <s v="Critical"/>
    <s v="Sofia Ruiz"/>
    <x v="2"/>
    <n v="81"/>
    <d v="2025-04-22T00:00:00"/>
    <n v="41"/>
    <s v="Full Credit"/>
    <n v="2369.9"/>
  </r>
  <r>
    <s v="DIS-0314"/>
    <s v="INV-1314"/>
    <s v="VND-012"/>
    <s v="DataCenter Pro"/>
    <s v="IT"/>
    <s v="North"/>
    <d v="2025-01-11T00:00:00"/>
    <s v="Contract Terms"/>
    <n v="13867.3"/>
    <n v="4442.0600000000004"/>
    <s v="Low"/>
    <s v="Sofia Ruiz"/>
    <x v="4"/>
    <n v="141"/>
    <m/>
    <m/>
    <s v="Pending"/>
    <n v="0"/>
  </r>
  <r>
    <s v="DIS-0315"/>
    <s v="INV-1315"/>
    <s v="VND-012"/>
    <s v="DataCenter Pro"/>
    <s v="IT"/>
    <s v="North"/>
    <d v="2024-07-15T00:00:00"/>
    <s v="Contract Terms"/>
    <n v="34023.379999999997"/>
    <n v="19549.189999999999"/>
    <s v="Low"/>
    <s v="Carlos Mendez"/>
    <x v="3"/>
    <n v="321"/>
    <d v="2024-07-18T00:00:00"/>
    <n v="3"/>
    <s v="Full Credit"/>
    <n v="19549.189999999999"/>
  </r>
  <r>
    <s v="DIS-0316"/>
    <s v="INV-1316"/>
    <s v="VND-012"/>
    <s v="DataCenter Pro"/>
    <s v="IT"/>
    <s v="North"/>
    <d v="2025-04-22T00:00:00"/>
    <s v="Price Discrepancy"/>
    <n v="17606.48"/>
    <n v="3867.14"/>
    <s v="High"/>
    <s v="Ana Torres"/>
    <x v="0"/>
    <n v="40"/>
    <d v="2025-05-02T00:00:00"/>
    <n v="10"/>
    <s v="Pending"/>
    <n v="0"/>
  </r>
  <r>
    <s v="DIS-0317"/>
    <s v="INV-1317"/>
    <s v="VND-012"/>
    <s v="DataCenter Pro"/>
    <s v="IT"/>
    <s v="North"/>
    <d v="2024-10-27T00:00:00"/>
    <s v="Price Discrepancy"/>
    <n v="70932.95"/>
    <n v="28960.16"/>
    <s v="Low"/>
    <s v="Carlos Mendez"/>
    <x v="0"/>
    <n v="217"/>
    <d v="2024-12-16T00:00:00"/>
    <n v="50"/>
    <s v="No Action"/>
    <n v="0"/>
  </r>
  <r>
    <s v="DIS-0318"/>
    <s v="INV-1318"/>
    <s v="VND-012"/>
    <s v="DataCenter Pro"/>
    <s v="IT"/>
    <s v="North"/>
    <d v="2025-03-22T00:00:00"/>
    <s v="Contract Terms"/>
    <n v="41358.5"/>
    <n v="27297.68"/>
    <s v="High"/>
    <s v="Sofia Ruiz"/>
    <x v="1"/>
    <n v="71"/>
    <m/>
    <m/>
    <s v="Pending"/>
    <n v="0"/>
  </r>
  <r>
    <s v="DIS-0319"/>
    <s v="INV-1319"/>
    <s v="VND-012"/>
    <s v="DataCenter Pro"/>
    <s v="IT"/>
    <s v="North"/>
    <d v="2024-08-16T00:00:00"/>
    <s v="Contract Terms"/>
    <n v="5805.1"/>
    <n v="3120.33"/>
    <s v="Medium"/>
    <s v="Luis Herrera"/>
    <x v="0"/>
    <n v="289"/>
    <d v="2024-09-07T00:00:00"/>
    <n v="22"/>
    <s v="No Action"/>
    <n v="0"/>
  </r>
  <r>
    <s v="DIS-0320"/>
    <s v="INV-1320"/>
    <s v="VND-012"/>
    <s v="DataCenter Pro"/>
    <s v="IT"/>
    <s v="North"/>
    <d v="2024-07-20T00:00:00"/>
    <s v="Price Discrepancy"/>
    <n v="70223.789999999994"/>
    <n v="48803.56"/>
    <s v="Low"/>
    <s v="Sofia Ruiz"/>
    <x v="3"/>
    <n v="316"/>
    <d v="2024-10-06T00:00:00"/>
    <n v="78"/>
    <s v="Payment Adjusted"/>
    <n v="11742.83"/>
  </r>
  <r>
    <s v="DIS-0321"/>
    <s v="INV-1321"/>
    <s v="VND-012"/>
    <s v="DataCenter Pro"/>
    <s v="IT"/>
    <s v="North"/>
    <d v="2024-10-24T00:00:00"/>
    <s v="Price Discrepancy"/>
    <n v="34877.85"/>
    <n v="5401.62"/>
    <s v="Medium"/>
    <s v="Luis Herrera"/>
    <x v="0"/>
    <n v="220"/>
    <d v="2025-01-11T00:00:00"/>
    <n v="79"/>
    <s v="Payment Adjusted"/>
    <n v="1155.78"/>
  </r>
  <r>
    <s v="DIS-0322"/>
    <s v="INV-1322"/>
    <s v="VND-012"/>
    <s v="DataCenter Pro"/>
    <s v="IT"/>
    <s v="North"/>
    <d v="2024-06-12T00:00:00"/>
    <s v="Damaged Goods"/>
    <n v="7548.32"/>
    <n v="5172.88"/>
    <s v="High"/>
    <s v="Luis Herrera"/>
    <x v="3"/>
    <n v="354"/>
    <d v="2024-07-22T00:00:00"/>
    <n v="40"/>
    <s v="Partial Credit"/>
    <n v="3467.28"/>
  </r>
  <r>
    <s v="DIS-0323"/>
    <s v="INV-1323"/>
    <s v="VND-012"/>
    <s v="DataCenter Pro"/>
    <s v="IT"/>
    <s v="North"/>
    <d v="2025-01-29T00:00:00"/>
    <s v="Service Quality"/>
    <n v="52014.33"/>
    <n v="6998.93"/>
    <s v="Medium"/>
    <s v="Carlos Mendez"/>
    <x v="0"/>
    <n v="123"/>
    <d v="2025-02-02T00:00:00"/>
    <n v="4"/>
    <s v="Pending"/>
    <n v="0"/>
  </r>
  <r>
    <s v="DIS-0324"/>
    <s v="INV-1324"/>
    <s v="VND-012"/>
    <s v="DataCenter Pro"/>
    <s v="IT"/>
    <s v="North"/>
    <d v="2024-12-20T00:00:00"/>
    <s v="Missing Goods"/>
    <n v="17538.37"/>
    <n v="12199.87"/>
    <s v="Medium"/>
    <s v="Sofia Ruiz"/>
    <x v="3"/>
    <n v="163"/>
    <d v="2025-03-31T00:00:00"/>
    <n v="101"/>
    <s v="Full Credit"/>
    <n v="12199.87"/>
  </r>
  <r>
    <s v="DIS-0325"/>
    <s v="INV-1325"/>
    <s v="VND-013"/>
    <s v="FreightKing"/>
    <s v="Logistics"/>
    <s v="Central"/>
    <d v="2025-05-24T00:00:00"/>
    <s v="Duplicate Invoice"/>
    <n v="29907.599999999999"/>
    <n v="2388.7199999999998"/>
    <s v="Low"/>
    <s v="Marta Lopez"/>
    <x v="1"/>
    <n v="8"/>
    <m/>
    <m/>
    <s v="Pending"/>
    <n v="0"/>
  </r>
  <r>
    <s v="DIS-0326"/>
    <s v="INV-1326"/>
    <s v="VND-013"/>
    <s v="FreightKing"/>
    <s v="Logistics"/>
    <s v="Central"/>
    <d v="2024-09-17T00:00:00"/>
    <s v="Contract Terms"/>
    <n v="77875.45"/>
    <n v="28633.360000000001"/>
    <s v="Medium"/>
    <s v="Sofia Ruiz"/>
    <x v="0"/>
    <n v="257"/>
    <d v="2024-10-29T00:00:00"/>
    <n v="42"/>
    <s v="Full Credit"/>
    <n v="28633.360000000001"/>
  </r>
  <r>
    <s v="DIS-0327"/>
    <s v="INV-1327"/>
    <s v="VND-013"/>
    <s v="FreightKing"/>
    <s v="Logistics"/>
    <s v="Central"/>
    <d v="2025-02-16T00:00:00"/>
    <s v="Service Quality"/>
    <n v="97559.77"/>
    <n v="16246.91"/>
    <s v="Medium"/>
    <s v="Carlos Mendez"/>
    <x v="0"/>
    <n v="105"/>
    <d v="2025-04-15T00:00:00"/>
    <n v="58"/>
    <s v="Payment Adjusted"/>
    <n v="7125.69"/>
  </r>
  <r>
    <s v="DIS-0328"/>
    <s v="INV-1328"/>
    <s v="VND-013"/>
    <s v="FreightKing"/>
    <s v="Logistics"/>
    <s v="Central"/>
    <d v="2025-05-02T00:00:00"/>
    <s v="Service Quality"/>
    <n v="28225.58"/>
    <n v="20984.89"/>
    <s v="Low"/>
    <s v="Ana Torres"/>
    <x v="1"/>
    <n v="30"/>
    <m/>
    <m/>
    <s v="Pending"/>
    <n v="0"/>
  </r>
  <r>
    <s v="DIS-0329"/>
    <s v="INV-1329"/>
    <s v="VND-013"/>
    <s v="FreightKing"/>
    <s v="Logistics"/>
    <s v="Central"/>
    <d v="2024-06-29T00:00:00"/>
    <s v="Contract Terms"/>
    <n v="75362.53"/>
    <n v="10519.27"/>
    <s v="High"/>
    <s v="Ana Torres"/>
    <x v="0"/>
    <n v="337"/>
    <d v="2024-08-15T00:00:00"/>
    <n v="47"/>
    <s v="Partial Credit"/>
    <n v="7045.73"/>
  </r>
  <r>
    <s v="DIS-0330"/>
    <s v="INV-1330"/>
    <s v="VND-013"/>
    <s v="FreightKing"/>
    <s v="Logistics"/>
    <s v="Central"/>
    <d v="2025-01-19T00:00:00"/>
    <s v="Missing Goods"/>
    <n v="20861.48"/>
    <n v="3029.04"/>
    <s v="High"/>
    <s v="Carlos Mendez"/>
    <x v="3"/>
    <n v="133"/>
    <d v="2025-01-25T00:00:00"/>
    <n v="6"/>
    <s v="Full Credit"/>
    <n v="3029.04"/>
  </r>
  <r>
    <s v="DIS-0331"/>
    <s v="INV-1331"/>
    <s v="VND-013"/>
    <s v="FreightKing"/>
    <s v="Logistics"/>
    <s v="Central"/>
    <d v="2024-10-24T00:00:00"/>
    <s v="Service Quality"/>
    <n v="30838.16"/>
    <n v="3019.18"/>
    <s v="High"/>
    <s v="Carlos Mendez"/>
    <x v="0"/>
    <n v="220"/>
    <d v="2024-12-31T00:00:00"/>
    <n v="68"/>
    <s v="Full Credit"/>
    <n v="3019.18"/>
  </r>
  <r>
    <s v="DIS-0332"/>
    <s v="INV-1332"/>
    <s v="VND-013"/>
    <s v="FreightKing"/>
    <s v="Logistics"/>
    <s v="Central"/>
    <d v="2024-09-18T00:00:00"/>
    <s v="Price Discrepancy"/>
    <n v="86639.18"/>
    <n v="15175.81"/>
    <s v="Low"/>
    <s v="Carlos Mendez"/>
    <x v="0"/>
    <n v="256"/>
    <d v="2024-11-25T00:00:00"/>
    <n v="68"/>
    <s v="Full Credit"/>
    <n v="15175.81"/>
  </r>
  <r>
    <s v="DIS-0333"/>
    <s v="INV-1333"/>
    <s v="VND-013"/>
    <s v="FreightKing"/>
    <s v="Logistics"/>
    <s v="Central"/>
    <d v="2025-05-25T00:00:00"/>
    <s v="Damaged Goods"/>
    <n v="28232.39"/>
    <n v="11400.9"/>
    <s v="Medium"/>
    <s v="Sofia Ruiz"/>
    <x v="4"/>
    <n v="7"/>
    <m/>
    <m/>
    <s v="Pending"/>
    <n v="0"/>
  </r>
  <r>
    <s v="DIS-0334"/>
    <s v="INV-1334"/>
    <s v="VND-013"/>
    <s v="FreightKing"/>
    <s v="Logistics"/>
    <s v="Central"/>
    <d v="2025-05-13T00:00:00"/>
    <s v="Duplicate Invoice"/>
    <n v="57522.15"/>
    <n v="42305.279999999999"/>
    <s v="High"/>
    <s v="Luis Herrera"/>
    <x v="1"/>
    <n v="19"/>
    <m/>
    <m/>
    <s v="Pending"/>
    <n v="0"/>
  </r>
  <r>
    <s v="DIS-0335"/>
    <s v="INV-1335"/>
    <s v="VND-013"/>
    <s v="FreightKing"/>
    <s v="Logistics"/>
    <s v="Central"/>
    <d v="2024-10-30T00:00:00"/>
    <s v="Service Quality"/>
    <n v="92006.2"/>
    <n v="26677.32"/>
    <s v="High"/>
    <s v="Diego Castillo"/>
    <x v="0"/>
    <n v="214"/>
    <d v="2025-01-27T00:00:00"/>
    <n v="89"/>
    <s v="No Action"/>
    <n v="0"/>
  </r>
  <r>
    <s v="DIS-0336"/>
    <s v="INV-1336"/>
    <s v="VND-013"/>
    <s v="FreightKing"/>
    <s v="Logistics"/>
    <s v="Central"/>
    <d v="2025-03-01T00:00:00"/>
    <s v="Duplicate Invoice"/>
    <n v="26202.58"/>
    <n v="11446.09"/>
    <s v="Low"/>
    <s v="Carlos Mendez"/>
    <x v="2"/>
    <n v="92"/>
    <d v="2025-04-09T00:00:00"/>
    <n v="39"/>
    <s v="Payment Adjusted"/>
    <n v="2567.12"/>
  </r>
  <r>
    <s v="DIS-0337"/>
    <s v="INV-1337"/>
    <s v="VND-013"/>
    <s v="FreightKing"/>
    <s v="Logistics"/>
    <s v="Central"/>
    <d v="2025-04-17T00:00:00"/>
    <s v="Service Quality"/>
    <n v="57543.68"/>
    <n v="3221.12"/>
    <s v="Low"/>
    <s v="Marta Lopez"/>
    <x v="3"/>
    <n v="45"/>
    <d v="2025-05-05T00:00:00"/>
    <n v="18"/>
    <s v="Partial Credit"/>
    <n v="1787.77"/>
  </r>
  <r>
    <s v="DIS-0338"/>
    <s v="INV-1338"/>
    <s v="VND-013"/>
    <s v="FreightKing"/>
    <s v="Logistics"/>
    <s v="Central"/>
    <d v="2024-09-21T00:00:00"/>
    <s v="Service Quality"/>
    <n v="99789.78"/>
    <n v="63058.61"/>
    <s v="High"/>
    <s v="Luis Herrera"/>
    <x v="0"/>
    <n v="253"/>
    <d v="2024-11-15T00:00:00"/>
    <n v="55"/>
    <s v="Full Credit"/>
    <n v="63058.61"/>
  </r>
  <r>
    <s v="DIS-0339"/>
    <s v="INV-1339"/>
    <s v="VND-013"/>
    <s v="FreightKing"/>
    <s v="Logistics"/>
    <s v="Central"/>
    <d v="2024-08-27T00:00:00"/>
    <s v="Missing Goods"/>
    <n v="37910.25"/>
    <n v="25766.86"/>
    <s v="High"/>
    <s v="Ana Torres"/>
    <x v="3"/>
    <n v="278"/>
    <d v="2024-10-17T00:00:00"/>
    <n v="51"/>
    <s v="No Action"/>
    <n v="0"/>
  </r>
  <r>
    <s v="DIS-0340"/>
    <s v="INV-1340"/>
    <s v="VND-013"/>
    <s v="FreightKing"/>
    <s v="Logistics"/>
    <s v="Central"/>
    <d v="2024-12-25T00:00:00"/>
    <s v="Duplicate Invoice"/>
    <n v="14875.16"/>
    <n v="6654.56"/>
    <s v="Low"/>
    <s v="Ana Torres"/>
    <x v="2"/>
    <n v="158"/>
    <d v="2025-01-15T00:00:00"/>
    <n v="21"/>
    <s v="Payment Adjusted"/>
    <n v="913.08"/>
  </r>
  <r>
    <s v="DIS-0341"/>
    <s v="INV-1341"/>
    <s v="VND-013"/>
    <s v="FreightKing"/>
    <s v="Logistics"/>
    <s v="Central"/>
    <d v="2025-02-02T00:00:00"/>
    <s v="Missing Goods"/>
    <n v="90242.31"/>
    <n v="39690.32"/>
    <s v="High"/>
    <s v="Juan Vargas"/>
    <x v="2"/>
    <n v="119"/>
    <d v="2025-02-15T00:00:00"/>
    <n v="13"/>
    <s v="Partial Credit"/>
    <n v="19974.419999999998"/>
  </r>
  <r>
    <s v="DIS-0342"/>
    <s v="INV-1342"/>
    <s v="VND-013"/>
    <s v="FreightKing"/>
    <s v="Logistics"/>
    <s v="Central"/>
    <d v="2024-07-09T00:00:00"/>
    <s v="Duplicate Invoice"/>
    <n v="82896.47"/>
    <n v="8797.2099999999991"/>
    <s v="Medium"/>
    <s v="Sofia Ruiz"/>
    <x v="0"/>
    <n v="327"/>
    <d v="2024-08-14T00:00:00"/>
    <n v="36"/>
    <s v="No Action"/>
    <n v="0"/>
  </r>
  <r>
    <s v="DIS-0343"/>
    <s v="INV-1343"/>
    <s v="VND-013"/>
    <s v="FreightKing"/>
    <s v="Logistics"/>
    <s v="Central"/>
    <d v="2024-11-11T00:00:00"/>
    <s v="Missing Goods"/>
    <n v="71568.929999999993"/>
    <n v="43049.760000000002"/>
    <s v="Medium"/>
    <s v="Luis Herrera"/>
    <x v="4"/>
    <n v="202"/>
    <m/>
    <m/>
    <s v="Pending"/>
    <n v="0"/>
  </r>
  <r>
    <s v="DIS-0344"/>
    <s v="INV-1344"/>
    <s v="VND-013"/>
    <s v="FreightKing"/>
    <s v="Logistics"/>
    <s v="Central"/>
    <d v="2025-02-17T00:00:00"/>
    <s v="Price Discrepancy"/>
    <n v="17930.63"/>
    <n v="11253.44"/>
    <s v="Low"/>
    <s v="Sofia Ruiz"/>
    <x v="0"/>
    <n v="104"/>
    <d v="2025-04-01T00:00:00"/>
    <n v="43"/>
    <s v="Partial Credit"/>
    <n v="5869.28"/>
  </r>
  <r>
    <s v="DIS-0345"/>
    <s v="INV-1345"/>
    <s v="VND-013"/>
    <s v="FreightKing"/>
    <s v="Logistics"/>
    <s v="Central"/>
    <d v="2025-02-14T00:00:00"/>
    <s v="Price Discrepancy"/>
    <n v="47932.12"/>
    <n v="19053.490000000002"/>
    <s v="High"/>
    <s v="Sofia Ruiz"/>
    <x v="2"/>
    <n v="107"/>
    <d v="2025-03-27T00:00:00"/>
    <n v="41"/>
    <s v="No Action"/>
    <n v="0"/>
  </r>
  <r>
    <s v="DIS-0346"/>
    <s v="INV-1346"/>
    <s v="VND-013"/>
    <s v="FreightKing"/>
    <s v="Logistics"/>
    <s v="Central"/>
    <d v="2024-06-09T00:00:00"/>
    <s v="Damaged Goods"/>
    <n v="62313.74"/>
    <n v="13164.75"/>
    <s v="High"/>
    <s v="Carlos Mendez"/>
    <x v="3"/>
    <n v="357"/>
    <d v="2024-07-27T00:00:00"/>
    <n v="48"/>
    <s v="Full Credit"/>
    <n v="13164.75"/>
  </r>
  <r>
    <s v="DIS-0347"/>
    <s v="INV-1347"/>
    <s v="VND-014"/>
    <s v="FacilityPro"/>
    <s v="Services"/>
    <s v="North"/>
    <d v="2025-01-18T00:00:00"/>
    <s v="Duplicate Invoice"/>
    <n v="82908.509999999995"/>
    <n v="14956.76"/>
    <s v="Critical"/>
    <s v="Luis Herrera"/>
    <x v="4"/>
    <n v="134"/>
    <m/>
    <m/>
    <s v="Pending"/>
    <n v="0"/>
  </r>
  <r>
    <s v="DIS-0348"/>
    <s v="INV-1348"/>
    <s v="VND-014"/>
    <s v="FacilityPro"/>
    <s v="Services"/>
    <s v="North"/>
    <d v="2025-04-09T00:00:00"/>
    <s v="Damaged Goods"/>
    <n v="81370.19"/>
    <n v="12599.75"/>
    <s v="Low"/>
    <s v="Sofia Ruiz"/>
    <x v="4"/>
    <n v="53"/>
    <m/>
    <m/>
    <s v="Pending"/>
    <n v="0"/>
  </r>
  <r>
    <s v="DIS-0349"/>
    <s v="INV-1349"/>
    <s v="VND-014"/>
    <s v="FacilityPro"/>
    <s v="Services"/>
    <s v="North"/>
    <d v="2024-11-07T00:00:00"/>
    <s v="Service Quality"/>
    <n v="40362.78"/>
    <n v="21098.560000000001"/>
    <s v="Medium"/>
    <s v="Marta Lopez"/>
    <x v="2"/>
    <n v="206"/>
    <d v="2024-11-19T00:00:00"/>
    <n v="12"/>
    <s v="Full Credit"/>
    <n v="21098.560000000001"/>
  </r>
  <r>
    <s v="DIS-0350"/>
    <s v="INV-1350"/>
    <s v="VND-014"/>
    <s v="FacilityPro"/>
    <s v="Services"/>
    <s v="North"/>
    <d v="2025-04-28T00:00:00"/>
    <s v="Price Discrepancy"/>
    <n v="23786.28"/>
    <n v="12713.53"/>
    <s v="High"/>
    <s v="Diego Castillo"/>
    <x v="1"/>
    <n v="34"/>
    <m/>
    <m/>
    <s v="Pending"/>
    <n v="0"/>
  </r>
  <r>
    <s v="DIS-0351"/>
    <s v="INV-1351"/>
    <s v="VND-014"/>
    <s v="FacilityPro"/>
    <s v="Services"/>
    <s v="North"/>
    <d v="2024-10-07T00:00:00"/>
    <s v="Contract Terms"/>
    <n v="9810.58"/>
    <n v="7290.23"/>
    <s v="Medium"/>
    <s v="Valeria Moreno"/>
    <x v="0"/>
    <n v="237"/>
    <d v="2024-11-27T00:00:00"/>
    <n v="51"/>
    <s v="Payment Adjusted"/>
    <n v="1232.94"/>
  </r>
  <r>
    <s v="DIS-0352"/>
    <s v="INV-1352"/>
    <s v="VND-014"/>
    <s v="FacilityPro"/>
    <s v="Services"/>
    <s v="North"/>
    <d v="2025-02-11T00:00:00"/>
    <s v="Damaged Goods"/>
    <n v="91288.9"/>
    <n v="23391.53"/>
    <s v="Medium"/>
    <s v="Ana Torres"/>
    <x v="0"/>
    <n v="110"/>
    <d v="2025-05-03T00:00:00"/>
    <n v="81"/>
    <s v="Full Credit"/>
    <n v="23391.53"/>
  </r>
  <r>
    <s v="DIS-0353"/>
    <s v="INV-1353"/>
    <s v="VND-014"/>
    <s v="FacilityPro"/>
    <s v="Services"/>
    <s v="North"/>
    <d v="2024-12-31T00:00:00"/>
    <s v="Price Discrepancy"/>
    <n v="52394.7"/>
    <n v="37309.42"/>
    <s v="Medium"/>
    <s v="Marta Lopez"/>
    <x v="0"/>
    <n v="152"/>
    <d v="2025-02-25T00:00:00"/>
    <n v="56"/>
    <s v="Full Credit"/>
    <n v="37309.42"/>
  </r>
  <r>
    <s v="DIS-0354"/>
    <s v="INV-1354"/>
    <s v="VND-014"/>
    <s v="FacilityPro"/>
    <s v="Services"/>
    <s v="North"/>
    <d v="2024-09-04T00:00:00"/>
    <s v="Price Discrepancy"/>
    <n v="28669.040000000001"/>
    <n v="22808.1"/>
    <s v="Medium"/>
    <s v="Valeria Moreno"/>
    <x v="3"/>
    <n v="270"/>
    <d v="2024-10-22T00:00:00"/>
    <n v="48"/>
    <s v="Partial Credit"/>
    <n v="15255.45"/>
  </r>
  <r>
    <s v="DIS-0355"/>
    <s v="INV-1355"/>
    <s v="VND-014"/>
    <s v="FacilityPro"/>
    <s v="Services"/>
    <s v="North"/>
    <d v="2024-12-06T00:00:00"/>
    <s v="Damaged Goods"/>
    <n v="91704.320000000007"/>
    <n v="39138.94"/>
    <s v="Medium"/>
    <s v="Ana Torres"/>
    <x v="0"/>
    <n v="177"/>
    <d v="2025-01-06T00:00:00"/>
    <n v="31"/>
    <s v="Full Credit"/>
    <n v="39138.94"/>
  </r>
  <r>
    <s v="DIS-0356"/>
    <s v="INV-1356"/>
    <s v="VND-014"/>
    <s v="FacilityPro"/>
    <s v="Services"/>
    <s v="North"/>
    <d v="2025-01-08T00:00:00"/>
    <s v="Service Quality"/>
    <n v="10566.17"/>
    <n v="8385.82"/>
    <s v="Medium"/>
    <s v="Luis Herrera"/>
    <x v="2"/>
    <n v="144"/>
    <d v="2025-01-23T00:00:00"/>
    <n v="15"/>
    <s v="Full Credit"/>
    <n v="8385.82"/>
  </r>
  <r>
    <s v="DIS-0357"/>
    <s v="INV-1357"/>
    <s v="VND-014"/>
    <s v="FacilityPro"/>
    <s v="Services"/>
    <s v="North"/>
    <d v="2025-01-28T00:00:00"/>
    <s v="Price Discrepancy"/>
    <n v="30320.07"/>
    <n v="20078.37"/>
    <s v="Critical"/>
    <s v="Luis Herrera"/>
    <x v="0"/>
    <n v="124"/>
    <d v="2025-05-13T00:00:00"/>
    <n v="105"/>
    <s v="Full Credit"/>
    <n v="20078.37"/>
  </r>
  <r>
    <s v="DIS-0358"/>
    <s v="INV-1358"/>
    <s v="VND-014"/>
    <s v="FacilityPro"/>
    <s v="Services"/>
    <s v="North"/>
    <d v="2025-03-04T00:00:00"/>
    <s v="Contract Terms"/>
    <n v="21729.53"/>
    <n v="10742.85"/>
    <s v="High"/>
    <s v="Diego Castillo"/>
    <x v="2"/>
    <n v="89"/>
    <d v="2025-03-10T00:00:00"/>
    <n v="6"/>
    <s v="Payment Adjusted"/>
    <n v="2585.5100000000002"/>
  </r>
  <r>
    <s v="DIS-0359"/>
    <s v="INV-1359"/>
    <s v="VND-014"/>
    <s v="FacilityPro"/>
    <s v="Services"/>
    <s v="North"/>
    <d v="2024-08-14T00:00:00"/>
    <s v="Duplicate Invoice"/>
    <n v="58542.62"/>
    <n v="27651.53"/>
    <s v="Low"/>
    <s v="Marta Lopez"/>
    <x v="0"/>
    <n v="291"/>
    <d v="2024-08-21T00:00:00"/>
    <n v="7"/>
    <s v="Full Credit"/>
    <n v="27651.53"/>
  </r>
  <r>
    <s v="DIS-0360"/>
    <s v="INV-1360"/>
    <s v="VND-014"/>
    <s v="FacilityPro"/>
    <s v="Services"/>
    <s v="North"/>
    <d v="2025-02-01T00:00:00"/>
    <s v="Missing Goods"/>
    <n v="62157.96"/>
    <n v="4036.91"/>
    <s v="Medium"/>
    <s v="Luis Herrera"/>
    <x v="2"/>
    <n v="120"/>
    <d v="2025-03-19T00:00:00"/>
    <n v="46"/>
    <s v="Payment Adjusted"/>
    <n v="1887.31"/>
  </r>
  <r>
    <s v="DIS-0361"/>
    <s v="INV-1361"/>
    <s v="VND-014"/>
    <s v="FacilityPro"/>
    <s v="Services"/>
    <s v="North"/>
    <d v="2024-12-17T00:00:00"/>
    <s v="Damaged Goods"/>
    <n v="10657.82"/>
    <n v="1713.61"/>
    <s v="High"/>
    <s v="Carlos Mendez"/>
    <x v="2"/>
    <n v="166"/>
    <d v="2025-04-09T00:00:00"/>
    <n v="113"/>
    <s v="Full Credit"/>
    <n v="1713.61"/>
  </r>
  <r>
    <s v="DIS-0362"/>
    <s v="INV-1362"/>
    <s v="VND-014"/>
    <s v="FacilityPro"/>
    <s v="Services"/>
    <s v="North"/>
    <d v="2025-04-24T00:00:00"/>
    <s v="Price Discrepancy"/>
    <n v="40491.120000000003"/>
    <n v="30629.200000000001"/>
    <s v="Medium"/>
    <s v="Diego Castillo"/>
    <x v="0"/>
    <n v="38"/>
    <d v="2025-05-05T00:00:00"/>
    <n v="11"/>
    <s v="Pending"/>
    <n v="0"/>
  </r>
  <r>
    <s v="DIS-0363"/>
    <s v="INV-1363"/>
    <s v="VND-014"/>
    <s v="FacilityPro"/>
    <s v="Services"/>
    <s v="North"/>
    <d v="2024-10-20T00:00:00"/>
    <s v="Damaged Goods"/>
    <n v="80225.039999999994"/>
    <n v="61813.120000000003"/>
    <s v="Medium"/>
    <s v="Diego Castillo"/>
    <x v="0"/>
    <n v="224"/>
    <d v="2025-01-06T00:00:00"/>
    <n v="78"/>
    <s v="No Action"/>
    <n v="0"/>
  </r>
  <r>
    <s v="DIS-0364"/>
    <s v="INV-1364"/>
    <s v="VND-014"/>
    <s v="FacilityPro"/>
    <s v="Services"/>
    <s v="North"/>
    <d v="2024-11-19T00:00:00"/>
    <s v="Contract Terms"/>
    <n v="34148.21"/>
    <n v="19340.650000000001"/>
    <s v="Low"/>
    <s v="Ana Torres"/>
    <x v="2"/>
    <n v="194"/>
    <d v="2025-02-03T00:00:00"/>
    <n v="76"/>
    <s v="Full Credit"/>
    <n v="19340.650000000001"/>
  </r>
  <r>
    <s v="DIS-0365"/>
    <s v="INV-1365"/>
    <s v="VND-014"/>
    <s v="FacilityPro"/>
    <s v="Services"/>
    <s v="North"/>
    <d v="2024-08-14T00:00:00"/>
    <s v="Service Quality"/>
    <n v="8076.36"/>
    <n v="4052.65"/>
    <s v="Critical"/>
    <s v="Luis Herrera"/>
    <x v="0"/>
    <n v="291"/>
    <d v="2024-08-30T00:00:00"/>
    <n v="16"/>
    <s v="Pending"/>
    <n v="0"/>
  </r>
  <r>
    <s v="DIS-0366"/>
    <s v="INV-1366"/>
    <s v="VND-014"/>
    <s v="FacilityPro"/>
    <s v="Services"/>
    <s v="North"/>
    <d v="2025-03-20T00:00:00"/>
    <s v="Missing Goods"/>
    <n v="36461"/>
    <n v="3950.73"/>
    <s v="Medium"/>
    <s v="Sofia Ruiz"/>
    <x v="0"/>
    <n v="73"/>
    <d v="2025-04-03T00:00:00"/>
    <n v="14"/>
    <s v="No Action"/>
    <n v="0"/>
  </r>
  <r>
    <s v="DIS-0367"/>
    <s v="INV-1367"/>
    <s v="VND-014"/>
    <s v="FacilityPro"/>
    <s v="Services"/>
    <s v="North"/>
    <d v="2024-06-22T00:00:00"/>
    <s v="Missing Goods"/>
    <n v="65714.759999999995"/>
    <n v="46985.41"/>
    <s v="Medium"/>
    <s v="Luis Herrera"/>
    <x v="0"/>
    <n v="344"/>
    <d v="2024-07-03T00:00:00"/>
    <n v="11"/>
    <s v="Full Credit"/>
    <n v="46985.41"/>
  </r>
  <r>
    <s v="DIS-0368"/>
    <s v="INV-1368"/>
    <s v="VND-014"/>
    <s v="FacilityPro"/>
    <s v="Services"/>
    <s v="North"/>
    <d v="2025-04-06T00:00:00"/>
    <s v="Duplicate Invoice"/>
    <n v="73439.289999999994"/>
    <n v="6323.9"/>
    <s v="Medium"/>
    <s v="Sofia Ruiz"/>
    <x v="2"/>
    <n v="56"/>
    <d v="2025-05-10T00:00:00"/>
    <n v="34"/>
    <s v="No Action"/>
    <n v="0"/>
  </r>
  <r>
    <s v="DIS-0369"/>
    <s v="INV-1369"/>
    <s v="VND-014"/>
    <s v="FacilityPro"/>
    <s v="Services"/>
    <s v="North"/>
    <d v="2024-12-03T00:00:00"/>
    <s v="Service Quality"/>
    <n v="56872.28"/>
    <n v="7169.97"/>
    <s v="Medium"/>
    <s v="Luis Herrera"/>
    <x v="0"/>
    <n v="180"/>
    <d v="2024-12-15T00:00:00"/>
    <n v="12"/>
    <s v="Payment Adjusted"/>
    <n v="812.82"/>
  </r>
  <r>
    <s v="DIS-0370"/>
    <s v="INV-1370"/>
    <s v="VND-014"/>
    <s v="FacilityPro"/>
    <s v="Services"/>
    <s v="North"/>
    <d v="2025-05-21T00:00:00"/>
    <s v="Damaged Goods"/>
    <n v="35278.11"/>
    <n v="26943.54"/>
    <s v="Low"/>
    <s v="Valeria Moreno"/>
    <x v="1"/>
    <n v="11"/>
    <m/>
    <m/>
    <s v="Pending"/>
    <n v="0"/>
  </r>
  <r>
    <s v="DIS-0371"/>
    <s v="INV-1371"/>
    <s v="VND-014"/>
    <s v="FacilityPro"/>
    <s v="Services"/>
    <s v="North"/>
    <d v="2025-04-23T00:00:00"/>
    <s v="Service Quality"/>
    <n v="56969.39"/>
    <n v="41222.660000000003"/>
    <s v="Low"/>
    <s v="Juan Vargas"/>
    <x v="3"/>
    <n v="39"/>
    <d v="2025-05-23T00:00:00"/>
    <n v="30"/>
    <s v="Pending"/>
    <n v="0"/>
  </r>
  <r>
    <s v="DIS-0372"/>
    <s v="INV-1372"/>
    <s v="VND-014"/>
    <s v="FacilityPro"/>
    <s v="Services"/>
    <s v="North"/>
    <d v="2025-03-08T00:00:00"/>
    <s v="Missing Goods"/>
    <n v="62695.17"/>
    <n v="23551.46"/>
    <s v="Low"/>
    <s v="Luis Herrera"/>
    <x v="2"/>
    <n v="85"/>
    <d v="2025-05-02T00:00:00"/>
    <n v="55"/>
    <s v="Payment Adjusted"/>
    <n v="9157.17"/>
  </r>
  <r>
    <s v="DIS-0373"/>
    <s v="INV-1373"/>
    <s v="VND-014"/>
    <s v="FacilityPro"/>
    <s v="Services"/>
    <s v="North"/>
    <d v="2024-08-28T00:00:00"/>
    <s v="Price Discrepancy"/>
    <n v="30200.15"/>
    <n v="7886.54"/>
    <s v="Low"/>
    <s v="Valeria Moreno"/>
    <x v="0"/>
    <n v="277"/>
    <d v="2024-12-16T00:00:00"/>
    <n v="110"/>
    <s v="Partial Credit"/>
    <n v="1835.22"/>
  </r>
  <r>
    <s v="DIS-0374"/>
    <s v="INV-1374"/>
    <s v="VND-014"/>
    <s v="FacilityPro"/>
    <s v="Services"/>
    <s v="North"/>
    <d v="2025-05-30T00:00:00"/>
    <s v="Service Quality"/>
    <n v="45622.57"/>
    <n v="12359.71"/>
    <s v="High"/>
    <s v="Juan Vargas"/>
    <x v="1"/>
    <n v="2"/>
    <m/>
    <m/>
    <s v="Pending"/>
    <n v="0"/>
  </r>
  <r>
    <s v="DIS-0375"/>
    <s v="INV-1375"/>
    <s v="VND-014"/>
    <s v="FacilityPro"/>
    <s v="Services"/>
    <s v="North"/>
    <d v="2025-05-18T00:00:00"/>
    <s v="Duplicate Invoice"/>
    <n v="24660.53"/>
    <n v="13036.62"/>
    <s v="Critical"/>
    <s v="Carlos Mendez"/>
    <x v="1"/>
    <n v="14"/>
    <m/>
    <m/>
    <s v="Pending"/>
    <n v="0"/>
  </r>
  <r>
    <s v="DIS-0376"/>
    <s v="INV-1376"/>
    <s v="VND-015"/>
    <s v="PowerGrid SA"/>
    <s v="Utilities"/>
    <s v="West"/>
    <d v="2024-09-23T00:00:00"/>
    <s v="Duplicate Invoice"/>
    <n v="90013.36"/>
    <n v="22391.119999999999"/>
    <s v="Medium"/>
    <s v="Sofia Ruiz"/>
    <x v="0"/>
    <n v="251"/>
    <d v="2024-11-13T00:00:00"/>
    <n v="51"/>
    <s v="Full Credit"/>
    <n v="22391.119999999999"/>
  </r>
  <r>
    <s v="DIS-0377"/>
    <s v="INV-1377"/>
    <s v="VND-015"/>
    <s v="PowerGrid SA"/>
    <s v="Utilities"/>
    <s v="West"/>
    <d v="2024-10-15T00:00:00"/>
    <s v="Missing Goods"/>
    <n v="9238.61"/>
    <n v="3508.87"/>
    <s v="Medium"/>
    <s v="Ana Torres"/>
    <x v="0"/>
    <n v="229"/>
    <d v="2025-01-15T00:00:00"/>
    <n v="92"/>
    <s v="Payment Adjusted"/>
    <n v="471.18"/>
  </r>
  <r>
    <s v="DIS-0378"/>
    <s v="INV-1378"/>
    <s v="VND-015"/>
    <s v="PowerGrid SA"/>
    <s v="Utilities"/>
    <s v="West"/>
    <d v="2024-12-06T00:00:00"/>
    <s v="Damaged Goods"/>
    <n v="81777.11"/>
    <n v="29479.83"/>
    <s v="High"/>
    <s v="Ana Torres"/>
    <x v="2"/>
    <n v="177"/>
    <d v="2025-03-23T00:00:00"/>
    <n v="107"/>
    <s v="Partial Credit"/>
    <n v="22975.89"/>
  </r>
  <r>
    <s v="DIS-0379"/>
    <s v="INV-1379"/>
    <s v="VND-015"/>
    <s v="PowerGrid SA"/>
    <s v="Utilities"/>
    <s v="West"/>
    <d v="2024-06-14T00:00:00"/>
    <s v="Duplicate Invoice"/>
    <n v="87354.93"/>
    <n v="35476.43"/>
    <s v="High"/>
    <s v="Marta Lopez"/>
    <x v="4"/>
    <n v="352"/>
    <m/>
    <m/>
    <s v="Pending"/>
    <n v="0"/>
  </r>
  <r>
    <s v="DIS-0380"/>
    <s v="INV-1380"/>
    <s v="VND-015"/>
    <s v="PowerGrid SA"/>
    <s v="Utilities"/>
    <s v="West"/>
    <d v="2025-05-14T00:00:00"/>
    <s v="Contract Terms"/>
    <n v="52699.64"/>
    <n v="38225.230000000003"/>
    <s v="High"/>
    <s v="Sofia Ruiz"/>
    <x v="1"/>
    <n v="18"/>
    <m/>
    <m/>
    <s v="Pending"/>
    <n v="0"/>
  </r>
  <r>
    <s v="DIS-0381"/>
    <s v="INV-1381"/>
    <s v="VND-015"/>
    <s v="PowerGrid SA"/>
    <s v="Utilities"/>
    <s v="West"/>
    <d v="2024-10-14T00:00:00"/>
    <s v="Damaged Goods"/>
    <n v="21423.5"/>
    <n v="16887.63"/>
    <s v="Critical"/>
    <s v="Sofia Ruiz"/>
    <x v="1"/>
    <n v="230"/>
    <m/>
    <m/>
    <s v="Pending"/>
    <n v="0"/>
  </r>
  <r>
    <s v="DIS-0382"/>
    <s v="INV-1382"/>
    <s v="VND-015"/>
    <s v="PowerGrid SA"/>
    <s v="Utilities"/>
    <s v="West"/>
    <d v="2025-04-21T00:00:00"/>
    <s v="Contract Terms"/>
    <n v="98886.59"/>
    <n v="37235.24"/>
    <s v="Critical"/>
    <s v="Sofia Ruiz"/>
    <x v="3"/>
    <n v="41"/>
    <d v="2025-05-10T00:00:00"/>
    <n v="19"/>
    <s v="Full Credit"/>
    <n v="37235.24"/>
  </r>
  <r>
    <s v="DIS-0383"/>
    <s v="INV-1383"/>
    <s v="VND-015"/>
    <s v="PowerGrid SA"/>
    <s v="Utilities"/>
    <s v="West"/>
    <d v="2025-04-27T00:00:00"/>
    <s v="Missing Goods"/>
    <n v="13267.61"/>
    <n v="6199.6"/>
    <s v="Medium"/>
    <s v="Juan Vargas"/>
    <x v="2"/>
    <n v="35"/>
    <d v="2025-04-30T00:00:00"/>
    <n v="3"/>
    <s v="Payment Adjusted"/>
    <n v="2165.04"/>
  </r>
  <r>
    <s v="DIS-0384"/>
    <s v="INV-1384"/>
    <s v="VND-015"/>
    <s v="PowerGrid SA"/>
    <s v="Utilities"/>
    <s v="West"/>
    <d v="2024-09-06T00:00:00"/>
    <s v="Service Quality"/>
    <n v="79260.14"/>
    <n v="10651.7"/>
    <s v="Low"/>
    <s v="Carlos Mendez"/>
    <x v="2"/>
    <n v="268"/>
    <d v="2024-11-20T00:00:00"/>
    <n v="75"/>
    <s v="Payment Adjusted"/>
    <n v="4412.9799999999996"/>
  </r>
  <r>
    <s v="DIS-0385"/>
    <s v="INV-1385"/>
    <s v="VND-015"/>
    <s v="PowerGrid SA"/>
    <s v="Utilities"/>
    <s v="West"/>
    <d v="2024-08-30T00:00:00"/>
    <s v="Contract Terms"/>
    <n v="88612.9"/>
    <n v="62775.17"/>
    <s v="Medium"/>
    <s v="Juan Vargas"/>
    <x v="0"/>
    <n v="275"/>
    <d v="2024-11-01T00:00:00"/>
    <n v="63"/>
    <s v="Full Credit"/>
    <n v="62775.17"/>
  </r>
  <r>
    <s v="DIS-0386"/>
    <s v="INV-1386"/>
    <s v="VND-015"/>
    <s v="PowerGrid SA"/>
    <s v="Utilities"/>
    <s v="West"/>
    <d v="2025-01-10T00:00:00"/>
    <s v="Duplicate Invoice"/>
    <n v="43282.53"/>
    <n v="22233.52"/>
    <s v="High"/>
    <s v="Ana Torres"/>
    <x v="0"/>
    <n v="142"/>
    <d v="2025-05-05T00:00:00"/>
    <n v="115"/>
    <s v="Full Credit"/>
    <n v="22233.52"/>
  </r>
  <r>
    <s v="DIS-0387"/>
    <s v="INV-1387"/>
    <s v="VND-015"/>
    <s v="PowerGrid SA"/>
    <s v="Utilities"/>
    <s v="West"/>
    <d v="2025-01-30T00:00:00"/>
    <s v="Missing Goods"/>
    <n v="9682.64"/>
    <n v="3935.16"/>
    <s v="Medium"/>
    <s v="Ana Torres"/>
    <x v="0"/>
    <n v="122"/>
    <d v="2025-05-14T00:00:00"/>
    <n v="104"/>
    <s v="Full Credit"/>
    <n v="3935.16"/>
  </r>
  <r>
    <s v="DIS-0388"/>
    <s v="INV-1388"/>
    <s v="VND-015"/>
    <s v="PowerGrid SA"/>
    <s v="Utilities"/>
    <s v="West"/>
    <d v="2025-01-08T00:00:00"/>
    <s v="Damaged Goods"/>
    <n v="85070.42"/>
    <n v="59011.32"/>
    <s v="High"/>
    <s v="Sofia Ruiz"/>
    <x v="0"/>
    <n v="144"/>
    <d v="2025-04-16T00:00:00"/>
    <n v="98"/>
    <s v="Partial Credit"/>
    <n v="41042.019999999997"/>
  </r>
  <r>
    <s v="DIS-0389"/>
    <s v="INV-1389"/>
    <s v="VND-015"/>
    <s v="PowerGrid SA"/>
    <s v="Utilities"/>
    <s v="West"/>
    <d v="2025-01-14T00:00:00"/>
    <s v="Duplicate Invoice"/>
    <n v="74235.94"/>
    <n v="37395.19"/>
    <s v="Low"/>
    <s v="Luis Herrera"/>
    <x v="2"/>
    <n v="138"/>
    <d v="2025-03-10T00:00:00"/>
    <n v="55"/>
    <s v="Payment Adjusted"/>
    <n v="15100.08"/>
  </r>
  <r>
    <s v="DIS-0390"/>
    <s v="INV-1390"/>
    <s v="VND-015"/>
    <s v="PowerGrid SA"/>
    <s v="Utilities"/>
    <s v="West"/>
    <d v="2024-11-21T00:00:00"/>
    <s v="Missing Goods"/>
    <n v="82996.649999999994"/>
    <n v="36224.080000000002"/>
    <s v="Low"/>
    <s v="Valeria Moreno"/>
    <x v="0"/>
    <n v="192"/>
    <d v="2025-03-12T00:00:00"/>
    <n v="111"/>
    <s v="Partial Credit"/>
    <n v="19604.59"/>
  </r>
  <r>
    <s v="DIS-0391"/>
    <s v="INV-1391"/>
    <s v="VND-015"/>
    <s v="PowerGrid SA"/>
    <s v="Utilities"/>
    <s v="West"/>
    <d v="2025-03-04T00:00:00"/>
    <s v="Damaged Goods"/>
    <n v="23312.53"/>
    <n v="15728.9"/>
    <s v="High"/>
    <s v="Ana Torres"/>
    <x v="0"/>
    <n v="89"/>
    <d v="2025-04-22T00:00:00"/>
    <n v="49"/>
    <s v="Payment Adjusted"/>
    <n v="3296.64"/>
  </r>
  <r>
    <s v="DIS-0392"/>
    <s v="INV-1392"/>
    <s v="VND-015"/>
    <s v="PowerGrid SA"/>
    <s v="Utilities"/>
    <s v="West"/>
    <d v="2024-10-06T00:00:00"/>
    <s v="Price Discrepancy"/>
    <n v="52987.01"/>
    <n v="27900.7"/>
    <s v="Low"/>
    <s v="Luis Herrera"/>
    <x v="0"/>
    <n v="238"/>
    <d v="2024-12-24T00:00:00"/>
    <n v="79"/>
    <s v="Partial Credit"/>
    <n v="21659.65"/>
  </r>
  <r>
    <s v="DIS-0393"/>
    <s v="INV-1393"/>
    <s v="VND-015"/>
    <s v="PowerGrid SA"/>
    <s v="Utilities"/>
    <s v="West"/>
    <d v="2024-10-01T00:00:00"/>
    <s v="Missing Goods"/>
    <n v="60753.62"/>
    <n v="18974.57"/>
    <s v="Low"/>
    <s v="Carlos Mendez"/>
    <x v="0"/>
    <n v="243"/>
    <d v="2024-11-22T00:00:00"/>
    <n v="52"/>
    <s v="Full Credit"/>
    <n v="18974.57"/>
  </r>
  <r>
    <s v="DIS-0394"/>
    <s v="INV-1394"/>
    <s v="VND-015"/>
    <s v="PowerGrid SA"/>
    <s v="Utilities"/>
    <s v="West"/>
    <d v="2024-08-12T00:00:00"/>
    <s v="Damaged Goods"/>
    <n v="79083.86"/>
    <n v="16666.05"/>
    <s v="Low"/>
    <s v="Luis Herrera"/>
    <x v="0"/>
    <n v="293"/>
    <d v="2024-10-06T00:00:00"/>
    <n v="55"/>
    <s v="Partial Credit"/>
    <n v="11979.19"/>
  </r>
  <r>
    <s v="DIS-0395"/>
    <s v="INV-1395"/>
    <s v="VND-015"/>
    <s v="PowerGrid SA"/>
    <s v="Utilities"/>
    <s v="West"/>
    <d v="2024-06-16T00:00:00"/>
    <s v="Service Quality"/>
    <n v="5845.31"/>
    <n v="4288.33"/>
    <s v="Medium"/>
    <s v="Ana Torres"/>
    <x v="0"/>
    <n v="350"/>
    <d v="2024-09-04T00:00:00"/>
    <n v="80"/>
    <s v="No Action"/>
    <n v="0"/>
  </r>
  <r>
    <s v="DIS-0396"/>
    <s v="INV-1396"/>
    <s v="VND-015"/>
    <s v="PowerGrid SA"/>
    <s v="Utilities"/>
    <s v="West"/>
    <d v="2024-12-26T00:00:00"/>
    <s v="Duplicate Invoice"/>
    <n v="72710.350000000006"/>
    <n v="42319.32"/>
    <s v="Medium"/>
    <s v="Diego Castillo"/>
    <x v="0"/>
    <n v="157"/>
    <d v="2025-01-25T00:00:00"/>
    <n v="30"/>
    <s v="Partial Credit"/>
    <n v="25658.95"/>
  </r>
  <r>
    <s v="DIS-0397"/>
    <s v="INV-1397"/>
    <s v="VND-015"/>
    <s v="PowerGrid SA"/>
    <s v="Utilities"/>
    <s v="West"/>
    <d v="2024-07-16T00:00:00"/>
    <s v="Contract Terms"/>
    <n v="42729.49"/>
    <n v="5415.28"/>
    <s v="Medium"/>
    <s v="Diego Castillo"/>
    <x v="0"/>
    <n v="320"/>
    <d v="2024-10-03T00:00:00"/>
    <n v="79"/>
    <s v="Partial Credit"/>
    <n v="2052.85"/>
  </r>
  <r>
    <s v="DIS-0398"/>
    <s v="INV-1398"/>
    <s v="VND-015"/>
    <s v="PowerGrid SA"/>
    <s v="Utilities"/>
    <s v="West"/>
    <d v="2025-04-06T00:00:00"/>
    <s v="Missing Goods"/>
    <n v="50765.15"/>
    <n v="15341.88"/>
    <s v="Medium"/>
    <s v="Marta Lopez"/>
    <x v="4"/>
    <n v="56"/>
    <m/>
    <m/>
    <s v="Pending"/>
    <n v="0"/>
  </r>
  <r>
    <s v="DIS-0399"/>
    <s v="INV-1399"/>
    <s v="VND-015"/>
    <s v="PowerGrid SA"/>
    <s v="Utilities"/>
    <s v="West"/>
    <d v="2024-06-01T00:00:00"/>
    <s v="Service Quality"/>
    <n v="95457.84"/>
    <n v="51413.58"/>
    <s v="Low"/>
    <s v="Luis Herrera"/>
    <x v="2"/>
    <n v="365"/>
    <d v="2024-09-15T00:00:00"/>
    <n v="106"/>
    <s v="No Action"/>
    <n v="0"/>
  </r>
  <r>
    <s v="DIS-0400"/>
    <s v="INV-1400"/>
    <s v="VND-015"/>
    <s v="PowerGrid SA"/>
    <s v="Utilities"/>
    <s v="West"/>
    <d v="2024-07-28T00:00:00"/>
    <s v="Price Discrepancy"/>
    <n v="43389.35"/>
    <n v="12569.43"/>
    <s v="Low"/>
    <s v="Juan Vargas"/>
    <x v="2"/>
    <n v="308"/>
    <d v="2024-09-02T00:00:00"/>
    <n v="36"/>
    <s v="No Action"/>
    <n v="0"/>
  </r>
  <r>
    <s v="DIS-0401"/>
    <s v="INV-1401"/>
    <s v="VND-015"/>
    <s v="PowerGrid SA"/>
    <s v="Utilities"/>
    <s v="West"/>
    <d v="2024-11-05T00:00:00"/>
    <s v="Service Quality"/>
    <n v="41886.120000000003"/>
    <n v="3203.84"/>
    <s v="High"/>
    <s v="Luis Herrera"/>
    <x v="0"/>
    <n v="208"/>
    <d v="2025-02-07T00:00:00"/>
    <n v="94"/>
    <s v="Full Credit"/>
    <n v="3203.84"/>
  </r>
  <r>
    <s v="DIS-0402"/>
    <s v="INV-1402"/>
    <s v="VND-015"/>
    <s v="PowerGrid SA"/>
    <s v="Utilities"/>
    <s v="West"/>
    <d v="2024-08-31T00:00:00"/>
    <s v="Missing Goods"/>
    <n v="65639.789999999994"/>
    <n v="26702.36"/>
    <s v="Critical"/>
    <s v="Marta Lopez"/>
    <x v="2"/>
    <n v="274"/>
    <d v="2024-12-19T00:00:00"/>
    <n v="110"/>
    <s v="Payment Adjusted"/>
    <n v="8632.85"/>
  </r>
  <r>
    <s v="DIS-0403"/>
    <s v="INV-1403"/>
    <s v="VND-015"/>
    <s v="PowerGrid SA"/>
    <s v="Utilities"/>
    <s v="West"/>
    <d v="2025-01-01T00:00:00"/>
    <s v="Service Quality"/>
    <n v="14272.29"/>
    <n v="2083.16"/>
    <s v="Medium"/>
    <s v="Sofia Ruiz"/>
    <x v="2"/>
    <n v="151"/>
    <d v="2025-04-29T00:00:00"/>
    <n v="118"/>
    <s v="Full Credit"/>
    <n v="2083.16"/>
  </r>
  <r>
    <s v="DIS-0404"/>
    <s v="INV-1404"/>
    <s v="VND-015"/>
    <s v="PowerGrid SA"/>
    <s v="Utilities"/>
    <s v="West"/>
    <d v="2025-04-16T00:00:00"/>
    <s v="Duplicate Invoice"/>
    <n v="26114.080000000002"/>
    <n v="5679.71"/>
    <s v="High"/>
    <s v="Diego Castillo"/>
    <x v="0"/>
    <n v="46"/>
    <d v="2025-05-26T00:00:00"/>
    <n v="40"/>
    <s v="Full Credit"/>
    <n v="5679.71"/>
  </r>
  <r>
    <s v="DIS-0405"/>
    <s v="INV-1405"/>
    <s v="VND-015"/>
    <s v="PowerGrid SA"/>
    <s v="Utilities"/>
    <s v="West"/>
    <d v="2025-04-01T00:00:00"/>
    <s v="Service Quality"/>
    <n v="49700.97"/>
    <n v="34780.49"/>
    <s v="Medium"/>
    <s v="Carlos Mendez"/>
    <x v="0"/>
    <n v="61"/>
    <d v="2025-04-16T00:00:00"/>
    <n v="15"/>
    <s v="Partial Credit"/>
    <n v="25059.3"/>
  </r>
  <r>
    <s v="DIS-0406"/>
    <s v="INV-1406"/>
    <s v="VND-015"/>
    <s v="PowerGrid SA"/>
    <s v="Utilities"/>
    <s v="West"/>
    <d v="2024-11-17T00:00:00"/>
    <s v="Damaged Goods"/>
    <n v="55334.66"/>
    <n v="19911.099999999999"/>
    <s v="High"/>
    <s v="Sofia Ruiz"/>
    <x v="2"/>
    <n v="196"/>
    <d v="2025-01-02T00:00:00"/>
    <n v="46"/>
    <s v="Partial Credit"/>
    <n v="10784.69"/>
  </r>
  <r>
    <s v="DIS-0407"/>
    <s v="INV-1407"/>
    <s v="VND-015"/>
    <s v="PowerGrid SA"/>
    <s v="Utilities"/>
    <s v="West"/>
    <d v="2024-10-09T00:00:00"/>
    <s v="Price Discrepancy"/>
    <n v="18606.29"/>
    <n v="12964.78"/>
    <s v="Low"/>
    <s v="Juan Vargas"/>
    <x v="0"/>
    <n v="235"/>
    <d v="2024-11-03T00:00:00"/>
    <n v="25"/>
    <s v="Full Credit"/>
    <n v="12964.78"/>
  </r>
  <r>
    <s v="DIS-0408"/>
    <s v="INV-1408"/>
    <s v="VND-015"/>
    <s v="PowerGrid SA"/>
    <s v="Utilities"/>
    <s v="West"/>
    <d v="2025-05-02T00:00:00"/>
    <s v="Damaged Goods"/>
    <n v="5447.78"/>
    <n v="1389.98"/>
    <s v="High"/>
    <s v="Sofia Ruiz"/>
    <x v="4"/>
    <n v="30"/>
    <m/>
    <m/>
    <s v="Pending"/>
    <n v="0"/>
  </r>
  <r>
    <s v="DIS-0409"/>
    <s v="INV-1409"/>
    <s v="VND-015"/>
    <s v="PowerGrid SA"/>
    <s v="Utilities"/>
    <s v="West"/>
    <d v="2025-04-16T00:00:00"/>
    <s v="Duplicate Invoice"/>
    <n v="17293.57"/>
    <n v="6489.99"/>
    <s v="Medium"/>
    <s v="Juan Vargas"/>
    <x v="0"/>
    <n v="46"/>
    <d v="2025-04-21T00:00:00"/>
    <n v="5"/>
    <s v="Partial Credit"/>
    <n v="4143.18"/>
  </r>
  <r>
    <s v="DIS-0410"/>
    <s v="INV-1410"/>
    <s v="VND-015"/>
    <s v="PowerGrid SA"/>
    <s v="Utilities"/>
    <s v="West"/>
    <d v="2025-05-24T00:00:00"/>
    <s v="Price Discrepancy"/>
    <n v="89740.61"/>
    <n v="55427.01"/>
    <s v="Medium"/>
    <s v="Ana Torres"/>
    <x v="1"/>
    <n v="8"/>
    <m/>
    <m/>
    <s v="Pending"/>
    <n v="0"/>
  </r>
  <r>
    <s v="DIS-0411"/>
    <s v="INV-1411"/>
    <s v="VND-016"/>
    <s v="MetalWorks Corp"/>
    <s v="Materials"/>
    <s v="South"/>
    <d v="2024-06-10T00:00:00"/>
    <s v="Service Quality"/>
    <n v="88313.59"/>
    <n v="25087.17"/>
    <s v="Low"/>
    <s v="Marta Lopez"/>
    <x v="0"/>
    <n v="356"/>
    <d v="2024-09-26T00:00:00"/>
    <n v="108"/>
    <s v="Full Credit"/>
    <n v="25087.17"/>
  </r>
  <r>
    <s v="DIS-0412"/>
    <s v="INV-1412"/>
    <s v="VND-016"/>
    <s v="MetalWorks Corp"/>
    <s v="Materials"/>
    <s v="South"/>
    <d v="2025-01-03T00:00:00"/>
    <s v="Duplicate Invoice"/>
    <n v="48313"/>
    <n v="21268.17"/>
    <s v="Medium"/>
    <s v="Sofia Ruiz"/>
    <x v="0"/>
    <n v="149"/>
    <d v="2025-05-01T00:00:00"/>
    <n v="118"/>
    <s v="Partial Credit"/>
    <n v="13825.79"/>
  </r>
  <r>
    <s v="DIS-0413"/>
    <s v="INV-1413"/>
    <s v="VND-016"/>
    <s v="MetalWorks Corp"/>
    <s v="Materials"/>
    <s v="South"/>
    <d v="2025-03-08T00:00:00"/>
    <s v="Damaged Goods"/>
    <n v="95068.01"/>
    <n v="70222.37"/>
    <s v="Medium"/>
    <s v="Luis Herrera"/>
    <x v="3"/>
    <n v="85"/>
    <d v="2025-03-27T00:00:00"/>
    <n v="19"/>
    <s v="Full Credit"/>
    <n v="70222.37"/>
  </r>
  <r>
    <s v="DIS-0414"/>
    <s v="INV-1414"/>
    <s v="VND-016"/>
    <s v="MetalWorks Corp"/>
    <s v="Materials"/>
    <s v="South"/>
    <d v="2025-05-20T00:00:00"/>
    <s v="Contract Terms"/>
    <n v="61020.82"/>
    <n v="10784.73"/>
    <s v="Medium"/>
    <s v="Ana Torres"/>
    <x v="4"/>
    <n v="12"/>
    <m/>
    <m/>
    <s v="Pending"/>
    <n v="0"/>
  </r>
  <r>
    <s v="DIS-0415"/>
    <s v="INV-1415"/>
    <s v="VND-016"/>
    <s v="MetalWorks Corp"/>
    <s v="Materials"/>
    <s v="South"/>
    <d v="2024-07-08T00:00:00"/>
    <s v="Price Discrepancy"/>
    <n v="29299.97"/>
    <n v="13215.75"/>
    <s v="Low"/>
    <s v="Carlos Mendez"/>
    <x v="3"/>
    <n v="328"/>
    <d v="2024-07-13T00:00:00"/>
    <n v="5"/>
    <s v="Full Credit"/>
    <n v="13215.75"/>
  </r>
  <r>
    <s v="DIS-0416"/>
    <s v="INV-1416"/>
    <s v="VND-016"/>
    <s v="MetalWorks Corp"/>
    <s v="Materials"/>
    <s v="South"/>
    <d v="2025-04-02T00:00:00"/>
    <s v="Duplicate Invoice"/>
    <n v="44593.68"/>
    <n v="14947.37"/>
    <s v="Medium"/>
    <s v="Sofia Ruiz"/>
    <x v="4"/>
    <n v="60"/>
    <m/>
    <m/>
    <s v="Pending"/>
    <n v="0"/>
  </r>
  <r>
    <s v="DIS-0417"/>
    <s v="INV-1417"/>
    <s v="VND-016"/>
    <s v="MetalWorks Corp"/>
    <s v="Materials"/>
    <s v="South"/>
    <d v="2024-06-14T00:00:00"/>
    <s v="Contract Terms"/>
    <n v="64879.58"/>
    <n v="17896.21"/>
    <s v="High"/>
    <s v="Marta Lopez"/>
    <x v="0"/>
    <n v="352"/>
    <d v="2024-09-14T00:00:00"/>
    <n v="92"/>
    <s v="Full Credit"/>
    <n v="17896.21"/>
  </r>
  <r>
    <s v="DIS-0418"/>
    <s v="INV-1418"/>
    <s v="VND-016"/>
    <s v="MetalWorks Corp"/>
    <s v="Materials"/>
    <s v="South"/>
    <d v="2025-04-08T00:00:00"/>
    <s v="Price Discrepancy"/>
    <n v="53600.55"/>
    <n v="27511.74"/>
    <s v="Medium"/>
    <s v="Juan Vargas"/>
    <x v="4"/>
    <n v="54"/>
    <m/>
    <m/>
    <s v="Pending"/>
    <n v="0"/>
  </r>
  <r>
    <s v="DIS-0419"/>
    <s v="INV-1419"/>
    <s v="VND-016"/>
    <s v="MetalWorks Corp"/>
    <s v="Materials"/>
    <s v="South"/>
    <d v="2025-02-18T00:00:00"/>
    <s v="Missing Goods"/>
    <n v="78906.100000000006"/>
    <n v="53153.05"/>
    <s v="Critical"/>
    <s v="Valeria Moreno"/>
    <x v="0"/>
    <n v="103"/>
    <d v="2025-02-26T00:00:00"/>
    <n v="8"/>
    <s v="Partial Credit"/>
    <n v="39663.550000000003"/>
  </r>
  <r>
    <s v="DIS-0420"/>
    <s v="INV-1420"/>
    <s v="VND-016"/>
    <s v="MetalWorks Corp"/>
    <s v="Materials"/>
    <s v="South"/>
    <d v="2024-06-13T00:00:00"/>
    <s v="Contract Terms"/>
    <n v="93646.81"/>
    <n v="27902.32"/>
    <s v="Low"/>
    <s v="Carlos Mendez"/>
    <x v="2"/>
    <n v="353"/>
    <d v="2024-09-30T00:00:00"/>
    <n v="109"/>
    <s v="Partial Credit"/>
    <n v="13852.45"/>
  </r>
  <r>
    <s v="DIS-0421"/>
    <s v="INV-1421"/>
    <s v="VND-016"/>
    <s v="MetalWorks Corp"/>
    <s v="Materials"/>
    <s v="South"/>
    <d v="2025-04-15T00:00:00"/>
    <s v="Missing Goods"/>
    <n v="79054.990000000005"/>
    <n v="8402.4500000000007"/>
    <s v="High"/>
    <s v="Luis Herrera"/>
    <x v="0"/>
    <n v="47"/>
    <d v="2025-05-06T00:00:00"/>
    <n v="21"/>
    <s v="Full Credit"/>
    <n v="8402.4500000000007"/>
  </r>
  <r>
    <s v="DIS-0422"/>
    <s v="INV-1422"/>
    <s v="VND-016"/>
    <s v="MetalWorks Corp"/>
    <s v="Materials"/>
    <s v="South"/>
    <d v="2025-05-06T00:00:00"/>
    <s v="Missing Goods"/>
    <n v="14481.85"/>
    <n v="2621.6"/>
    <s v="Low"/>
    <s v="Diego Castillo"/>
    <x v="3"/>
    <n v="26"/>
    <d v="2025-05-19T00:00:00"/>
    <n v="13"/>
    <s v="Partial Credit"/>
    <n v="706.63"/>
  </r>
  <r>
    <s v="DIS-0423"/>
    <s v="INV-1423"/>
    <s v="VND-016"/>
    <s v="MetalWorks Corp"/>
    <s v="Materials"/>
    <s v="South"/>
    <d v="2025-05-08T00:00:00"/>
    <s v="Missing Goods"/>
    <n v="5918.87"/>
    <n v="910.3"/>
    <s v="Medium"/>
    <s v="Diego Castillo"/>
    <x v="3"/>
    <n v="24"/>
    <d v="2025-05-30T00:00:00"/>
    <n v="22"/>
    <s v="Full Credit"/>
    <n v="910.3"/>
  </r>
  <r>
    <s v="DIS-0424"/>
    <s v="INV-1424"/>
    <s v="VND-016"/>
    <s v="MetalWorks Corp"/>
    <s v="Materials"/>
    <s v="South"/>
    <d v="2025-04-14T00:00:00"/>
    <s v="Duplicate Invoice"/>
    <n v="40399.1"/>
    <n v="12404.22"/>
    <s v="Low"/>
    <s v="Juan Vargas"/>
    <x v="4"/>
    <n v="48"/>
    <m/>
    <m/>
    <s v="Pending"/>
    <n v="0"/>
  </r>
  <r>
    <s v="DIS-0425"/>
    <s v="INV-1425"/>
    <s v="VND-016"/>
    <s v="MetalWorks Corp"/>
    <s v="Materials"/>
    <s v="South"/>
    <d v="2024-11-15T00:00:00"/>
    <s v="Damaged Goods"/>
    <n v="70540.73"/>
    <n v="28828.85"/>
    <s v="Medium"/>
    <s v="Carlos Mendez"/>
    <x v="0"/>
    <n v="198"/>
    <d v="2025-02-18T00:00:00"/>
    <n v="95"/>
    <s v="Full Credit"/>
    <n v="28828.85"/>
  </r>
  <r>
    <s v="DIS-0426"/>
    <s v="INV-1426"/>
    <s v="VND-016"/>
    <s v="MetalWorks Corp"/>
    <s v="Materials"/>
    <s v="South"/>
    <d v="2025-03-11T00:00:00"/>
    <s v="Service Quality"/>
    <n v="14852.75"/>
    <n v="10893.3"/>
    <s v="Medium"/>
    <s v="Juan Vargas"/>
    <x v="4"/>
    <n v="82"/>
    <m/>
    <m/>
    <s v="Pending"/>
    <n v="0"/>
  </r>
  <r>
    <s v="DIS-0427"/>
    <s v="INV-1427"/>
    <s v="VND-016"/>
    <s v="MetalWorks Corp"/>
    <s v="Materials"/>
    <s v="South"/>
    <d v="2024-11-18T00:00:00"/>
    <s v="Contract Terms"/>
    <n v="79020.61"/>
    <n v="40183.47"/>
    <s v="High"/>
    <s v="Sofia Ruiz"/>
    <x v="0"/>
    <n v="195"/>
    <d v="2025-01-22T00:00:00"/>
    <n v="65"/>
    <s v="Full Credit"/>
    <n v="40183.47"/>
  </r>
  <r>
    <s v="DIS-0428"/>
    <s v="INV-1428"/>
    <s v="VND-016"/>
    <s v="MetalWorks Corp"/>
    <s v="Materials"/>
    <s v="South"/>
    <d v="2024-11-02T00:00:00"/>
    <s v="Price Discrepancy"/>
    <n v="46865.35"/>
    <n v="4569.47"/>
    <s v="High"/>
    <s v="Luis Herrera"/>
    <x v="2"/>
    <n v="211"/>
    <d v="2025-01-29T00:00:00"/>
    <n v="88"/>
    <s v="No Action"/>
    <n v="0"/>
  </r>
  <r>
    <s v="DIS-0429"/>
    <s v="INV-1429"/>
    <s v="VND-016"/>
    <s v="MetalWorks Corp"/>
    <s v="Materials"/>
    <s v="South"/>
    <d v="2024-09-08T00:00:00"/>
    <s v="Contract Terms"/>
    <n v="54694.8"/>
    <n v="31473.31"/>
    <s v="Low"/>
    <s v="Luis Herrera"/>
    <x v="0"/>
    <n v="266"/>
    <d v="2024-12-04T00:00:00"/>
    <n v="87"/>
    <s v="Payment Adjusted"/>
    <n v="7992.67"/>
  </r>
  <r>
    <s v="DIS-0430"/>
    <s v="INV-1430"/>
    <s v="VND-016"/>
    <s v="MetalWorks Corp"/>
    <s v="Materials"/>
    <s v="South"/>
    <d v="2024-08-19T00:00:00"/>
    <s v="Damaged Goods"/>
    <n v="89745.88"/>
    <n v="45742.17"/>
    <s v="Low"/>
    <s v="Juan Vargas"/>
    <x v="2"/>
    <n v="286"/>
    <d v="2024-12-11T00:00:00"/>
    <n v="114"/>
    <s v="Full Credit"/>
    <n v="45742.17"/>
  </r>
  <r>
    <s v="DIS-0431"/>
    <s v="INV-1431"/>
    <s v="VND-016"/>
    <s v="MetalWorks Corp"/>
    <s v="Materials"/>
    <s v="South"/>
    <d v="2024-09-22T00:00:00"/>
    <s v="Service Quality"/>
    <n v="35460.21"/>
    <n v="10573.21"/>
    <s v="Medium"/>
    <s v="Luis Herrera"/>
    <x v="0"/>
    <n v="252"/>
    <d v="2024-11-12T00:00:00"/>
    <n v="51"/>
    <s v="Partial Credit"/>
    <n v="3605.46"/>
  </r>
  <r>
    <s v="DIS-0432"/>
    <s v="INV-1432"/>
    <s v="VND-016"/>
    <s v="MetalWorks Corp"/>
    <s v="Materials"/>
    <s v="South"/>
    <d v="2024-10-08T00:00:00"/>
    <s v="Duplicate Invoice"/>
    <n v="47197.94"/>
    <n v="22644.45"/>
    <s v="Low"/>
    <s v="Juan Vargas"/>
    <x v="0"/>
    <n v="236"/>
    <d v="2024-12-13T00:00:00"/>
    <n v="66"/>
    <s v="Payment Adjusted"/>
    <n v="2425.39"/>
  </r>
  <r>
    <s v="DIS-0433"/>
    <s v="INV-1433"/>
    <s v="VND-016"/>
    <s v="MetalWorks Corp"/>
    <s v="Materials"/>
    <s v="South"/>
    <d v="2024-11-06T00:00:00"/>
    <s v="Price Discrepancy"/>
    <n v="44172.160000000003"/>
    <n v="20665.87"/>
    <s v="Low"/>
    <s v="Marta Lopez"/>
    <x v="2"/>
    <n v="207"/>
    <d v="2025-01-19T00:00:00"/>
    <n v="74"/>
    <s v="Full Credit"/>
    <n v="20665.87"/>
  </r>
  <r>
    <s v="DIS-0434"/>
    <s v="INV-1434"/>
    <s v="VND-016"/>
    <s v="MetalWorks Corp"/>
    <s v="Materials"/>
    <s v="South"/>
    <d v="2024-06-22T00:00:00"/>
    <s v="Damaged Goods"/>
    <n v="48339.75"/>
    <n v="14774.59"/>
    <s v="High"/>
    <s v="Juan Vargas"/>
    <x v="0"/>
    <n v="344"/>
    <d v="2024-10-01T00:00:00"/>
    <n v="101"/>
    <s v="Partial Credit"/>
    <n v="7149.13"/>
  </r>
  <r>
    <s v="DIS-0435"/>
    <s v="INV-1435"/>
    <s v="VND-016"/>
    <s v="MetalWorks Corp"/>
    <s v="Materials"/>
    <s v="South"/>
    <d v="2024-06-29T00:00:00"/>
    <s v="Contract Terms"/>
    <n v="39512.980000000003"/>
    <n v="15386.33"/>
    <s v="Low"/>
    <s v="Luis Herrera"/>
    <x v="1"/>
    <n v="337"/>
    <m/>
    <m/>
    <s v="Pending"/>
    <n v="0"/>
  </r>
  <r>
    <s v="DIS-0436"/>
    <s v="INV-1436"/>
    <s v="VND-016"/>
    <s v="MetalWorks Corp"/>
    <s v="Materials"/>
    <s v="South"/>
    <d v="2024-12-01T00:00:00"/>
    <s v="Service Quality"/>
    <n v="83838.97"/>
    <n v="64834.79"/>
    <s v="Medium"/>
    <s v="Diego Castillo"/>
    <x v="3"/>
    <n v="182"/>
    <d v="2024-12-09T00:00:00"/>
    <n v="8"/>
    <s v="No Action"/>
    <n v="0"/>
  </r>
  <r>
    <s v="DIS-0437"/>
    <s v="INV-1437"/>
    <s v="VND-016"/>
    <s v="MetalWorks Corp"/>
    <s v="Materials"/>
    <s v="South"/>
    <d v="2024-09-21T00:00:00"/>
    <s v="Price Discrepancy"/>
    <n v="18342.669999999998"/>
    <n v="10778.92"/>
    <s v="High"/>
    <s v="Marta Lopez"/>
    <x v="0"/>
    <n v="253"/>
    <d v="2024-10-18T00:00:00"/>
    <n v="27"/>
    <s v="Full Credit"/>
    <n v="10778.92"/>
  </r>
  <r>
    <s v="DIS-0438"/>
    <s v="INV-1438"/>
    <s v="VND-017"/>
    <s v="NetSystems Ltd"/>
    <s v="IT"/>
    <s v="West"/>
    <d v="2024-10-09T00:00:00"/>
    <s v="Duplicate Invoice"/>
    <n v="83332.639999999999"/>
    <n v="16077.71"/>
    <s v="Medium"/>
    <s v="Ana Torres"/>
    <x v="2"/>
    <n v="235"/>
    <d v="2025-01-27T00:00:00"/>
    <n v="110"/>
    <s v="Payment Adjusted"/>
    <n v="2400.1999999999998"/>
  </r>
  <r>
    <s v="DIS-0439"/>
    <s v="INV-1439"/>
    <s v="VND-017"/>
    <s v="NetSystems Ltd"/>
    <s v="IT"/>
    <s v="West"/>
    <d v="2024-10-13T00:00:00"/>
    <s v="Duplicate Invoice"/>
    <n v="48451.85"/>
    <n v="23837.69"/>
    <s v="Medium"/>
    <s v="Ana Torres"/>
    <x v="0"/>
    <n v="231"/>
    <d v="2024-10-22T00:00:00"/>
    <n v="9"/>
    <s v="Partial Credit"/>
    <n v="10957.86"/>
  </r>
  <r>
    <s v="DIS-0440"/>
    <s v="INV-1440"/>
    <s v="VND-017"/>
    <s v="NetSystems Ltd"/>
    <s v="IT"/>
    <s v="West"/>
    <d v="2024-08-05T00:00:00"/>
    <s v="Damaged Goods"/>
    <n v="50878.54"/>
    <n v="21941.35"/>
    <s v="Critical"/>
    <s v="Sofia Ruiz"/>
    <x v="3"/>
    <n v="300"/>
    <d v="2024-08-24T00:00:00"/>
    <n v="19"/>
    <s v="Full Credit"/>
    <n v="21941.35"/>
  </r>
  <r>
    <s v="DIS-0441"/>
    <s v="INV-1441"/>
    <s v="VND-017"/>
    <s v="NetSystems Ltd"/>
    <s v="IT"/>
    <s v="West"/>
    <d v="2024-06-29T00:00:00"/>
    <s v="Duplicate Invoice"/>
    <n v="62051.87"/>
    <n v="44182.29"/>
    <s v="Medium"/>
    <s v="Valeria Moreno"/>
    <x v="2"/>
    <n v="337"/>
    <d v="2024-10-27T00:00:00"/>
    <n v="120"/>
    <s v="Payment Adjusted"/>
    <n v="8805.33"/>
  </r>
  <r>
    <s v="DIS-0442"/>
    <s v="INV-1442"/>
    <s v="VND-017"/>
    <s v="NetSystems Ltd"/>
    <s v="IT"/>
    <s v="West"/>
    <d v="2024-11-09T00:00:00"/>
    <s v="Damaged Goods"/>
    <n v="96541.39"/>
    <n v="75096.53"/>
    <s v="Medium"/>
    <s v="Sofia Ruiz"/>
    <x v="0"/>
    <n v="204"/>
    <d v="2025-02-09T00:00:00"/>
    <n v="92"/>
    <s v="No Action"/>
    <n v="0"/>
  </r>
  <r>
    <s v="DIS-0443"/>
    <s v="INV-1443"/>
    <s v="VND-017"/>
    <s v="NetSystems Ltd"/>
    <s v="IT"/>
    <s v="West"/>
    <d v="2024-09-11T00:00:00"/>
    <s v="Contract Terms"/>
    <n v="33396.75"/>
    <n v="19240.560000000001"/>
    <s v="High"/>
    <s v="Luis Herrera"/>
    <x v="0"/>
    <n v="263"/>
    <d v="2024-12-02T00:00:00"/>
    <n v="82"/>
    <s v="Payment Adjusted"/>
    <n v="7208.37"/>
  </r>
  <r>
    <s v="DIS-0444"/>
    <s v="INV-1444"/>
    <s v="VND-017"/>
    <s v="NetSystems Ltd"/>
    <s v="IT"/>
    <s v="West"/>
    <d v="2024-06-21T00:00:00"/>
    <s v="Damaged Goods"/>
    <n v="17603.810000000001"/>
    <n v="10259.450000000001"/>
    <s v="Critical"/>
    <s v="Diego Castillo"/>
    <x v="3"/>
    <n v="345"/>
    <d v="2024-09-29T00:00:00"/>
    <n v="100"/>
    <s v="Full Credit"/>
    <n v="10259.450000000001"/>
  </r>
  <r>
    <s v="DIS-0445"/>
    <s v="INV-1445"/>
    <s v="VND-017"/>
    <s v="NetSystems Ltd"/>
    <s v="IT"/>
    <s v="West"/>
    <d v="2024-09-28T00:00:00"/>
    <s v="Contract Terms"/>
    <n v="60366.6"/>
    <n v="45697.83"/>
    <s v="High"/>
    <s v="Marta Lopez"/>
    <x v="2"/>
    <n v="246"/>
    <d v="2024-11-24T00:00:00"/>
    <n v="57"/>
    <s v="No Action"/>
    <n v="0"/>
  </r>
  <r>
    <s v="DIS-0446"/>
    <s v="INV-1446"/>
    <s v="VND-017"/>
    <s v="NetSystems Ltd"/>
    <s v="IT"/>
    <s v="West"/>
    <d v="2024-09-06T00:00:00"/>
    <s v="Price Discrepancy"/>
    <n v="15114.69"/>
    <n v="5073.29"/>
    <s v="Low"/>
    <s v="Luis Herrera"/>
    <x v="0"/>
    <n v="268"/>
    <d v="2024-12-18T00:00:00"/>
    <n v="103"/>
    <s v="Full Credit"/>
    <n v="5073.29"/>
  </r>
  <r>
    <s v="DIS-0447"/>
    <s v="INV-1447"/>
    <s v="VND-017"/>
    <s v="NetSystems Ltd"/>
    <s v="IT"/>
    <s v="West"/>
    <d v="2025-01-05T00:00:00"/>
    <s v="Missing Goods"/>
    <n v="69922.080000000002"/>
    <n v="11175.04"/>
    <s v="Low"/>
    <s v="Luis Herrera"/>
    <x v="3"/>
    <n v="147"/>
    <d v="2025-01-12T00:00:00"/>
    <n v="7"/>
    <s v="Full Credit"/>
    <n v="11175.04"/>
  </r>
  <r>
    <s v="DIS-0448"/>
    <s v="INV-1448"/>
    <s v="VND-017"/>
    <s v="NetSystems Ltd"/>
    <s v="IT"/>
    <s v="West"/>
    <d v="2024-10-12T00:00:00"/>
    <s v="Damaged Goods"/>
    <n v="14735.6"/>
    <n v="10330.049999999999"/>
    <s v="High"/>
    <s v="Valeria Moreno"/>
    <x v="0"/>
    <n v="232"/>
    <d v="2025-01-23T00:00:00"/>
    <n v="103"/>
    <s v="Payment Adjusted"/>
    <n v="3909.42"/>
  </r>
  <r>
    <s v="DIS-0449"/>
    <s v="INV-1449"/>
    <s v="VND-017"/>
    <s v="NetSystems Ltd"/>
    <s v="IT"/>
    <s v="West"/>
    <d v="2024-06-11T00:00:00"/>
    <s v="Contract Terms"/>
    <n v="68126.89"/>
    <n v="50745.24"/>
    <s v="Medium"/>
    <s v="Diego Castillo"/>
    <x v="2"/>
    <n v="355"/>
    <d v="2024-06-20T00:00:00"/>
    <n v="9"/>
    <s v="Full Credit"/>
    <n v="50745.24"/>
  </r>
  <r>
    <s v="DIS-0450"/>
    <s v="INV-1450"/>
    <s v="VND-017"/>
    <s v="NetSystems Ltd"/>
    <s v="IT"/>
    <s v="West"/>
    <d v="2025-01-23T00:00:00"/>
    <s v="Duplicate Invoice"/>
    <n v="24293.29"/>
    <n v="17045.080000000002"/>
    <s v="High"/>
    <s v="Luis Herrera"/>
    <x v="2"/>
    <n v="129"/>
    <d v="2025-04-26T00:00:00"/>
    <n v="93"/>
    <s v="Payment Adjusted"/>
    <n v="4211.78"/>
  </r>
  <r>
    <s v="DIS-0451"/>
    <s v="INV-1451"/>
    <s v="VND-017"/>
    <s v="NetSystems Ltd"/>
    <s v="IT"/>
    <s v="West"/>
    <d v="2024-08-03T00:00:00"/>
    <s v="Damaged Goods"/>
    <n v="56928.44"/>
    <n v="28608.83"/>
    <s v="High"/>
    <s v="Marta Lopez"/>
    <x v="0"/>
    <n v="302"/>
    <d v="2024-11-01T00:00:00"/>
    <n v="90"/>
    <s v="Full Credit"/>
    <n v="28608.83"/>
  </r>
  <r>
    <s v="DIS-0452"/>
    <s v="INV-1452"/>
    <s v="VND-017"/>
    <s v="NetSystems Ltd"/>
    <s v="IT"/>
    <s v="West"/>
    <d v="2025-03-04T00:00:00"/>
    <s v="Missing Goods"/>
    <n v="74832.55"/>
    <n v="10440.290000000001"/>
    <s v="Low"/>
    <s v="Marta Lopez"/>
    <x v="1"/>
    <n v="89"/>
    <m/>
    <m/>
    <s v="Pending"/>
    <n v="0"/>
  </r>
  <r>
    <s v="DIS-0453"/>
    <s v="INV-1453"/>
    <s v="VND-017"/>
    <s v="NetSystems Ltd"/>
    <s v="IT"/>
    <s v="West"/>
    <d v="2024-08-05T00:00:00"/>
    <s v="Damaged Goods"/>
    <n v="85371.35"/>
    <n v="4630.0200000000004"/>
    <s v="Medium"/>
    <s v="Ana Torres"/>
    <x v="0"/>
    <n v="300"/>
    <d v="2024-09-18T00:00:00"/>
    <n v="44"/>
    <s v="Partial Credit"/>
    <n v="3075.24"/>
  </r>
  <r>
    <s v="DIS-0454"/>
    <s v="INV-1454"/>
    <s v="VND-017"/>
    <s v="NetSystems Ltd"/>
    <s v="IT"/>
    <s v="West"/>
    <d v="2024-07-15T00:00:00"/>
    <s v="Service Quality"/>
    <n v="63482.82"/>
    <n v="34688.129999999997"/>
    <s v="Medium"/>
    <s v="Diego Castillo"/>
    <x v="4"/>
    <n v="321"/>
    <m/>
    <m/>
    <s v="Pending"/>
    <n v="0"/>
  </r>
  <r>
    <s v="DIS-0455"/>
    <s v="INV-1455"/>
    <s v="VND-017"/>
    <s v="NetSystems Ltd"/>
    <s v="IT"/>
    <s v="West"/>
    <d v="2024-06-03T00:00:00"/>
    <s v="Price Discrepancy"/>
    <n v="35196.61"/>
    <n v="7566.27"/>
    <s v="Low"/>
    <s v="Sofia Ruiz"/>
    <x v="0"/>
    <n v="363"/>
    <d v="2024-08-13T00:00:00"/>
    <n v="71"/>
    <s v="Partial Credit"/>
    <n v="3099.46"/>
  </r>
  <r>
    <s v="DIS-0456"/>
    <s v="INV-1456"/>
    <s v="VND-017"/>
    <s v="NetSystems Ltd"/>
    <s v="IT"/>
    <s v="West"/>
    <d v="2025-02-11T00:00:00"/>
    <s v="Service Quality"/>
    <n v="68016.78"/>
    <n v="20289.400000000001"/>
    <s v="Medium"/>
    <s v="Juan Vargas"/>
    <x v="2"/>
    <n v="110"/>
    <d v="2025-05-30T00:00:00"/>
    <n v="108"/>
    <s v="Payment Adjusted"/>
    <n v="7298.5"/>
  </r>
  <r>
    <s v="DIS-0457"/>
    <s v="INV-1457"/>
    <s v="VND-017"/>
    <s v="NetSystems Ltd"/>
    <s v="IT"/>
    <s v="West"/>
    <d v="2025-04-03T00:00:00"/>
    <s v="Service Quality"/>
    <n v="68549.149999999994"/>
    <n v="26340.04"/>
    <s v="Critical"/>
    <s v="Luis Herrera"/>
    <x v="2"/>
    <n v="59"/>
    <d v="2025-05-19T00:00:00"/>
    <n v="46"/>
    <s v="No Action"/>
    <n v="0"/>
  </r>
  <r>
    <s v="DIS-0458"/>
    <s v="INV-1458"/>
    <s v="VND-017"/>
    <s v="NetSystems Ltd"/>
    <s v="IT"/>
    <s v="West"/>
    <d v="2024-11-17T00:00:00"/>
    <s v="Service Quality"/>
    <n v="92013.58"/>
    <n v="69814.45"/>
    <s v="Medium"/>
    <s v="Marta Lopez"/>
    <x v="1"/>
    <n v="196"/>
    <m/>
    <m/>
    <s v="Pending"/>
    <n v="0"/>
  </r>
  <r>
    <s v="DIS-0459"/>
    <s v="INV-1459"/>
    <s v="VND-017"/>
    <s v="NetSystems Ltd"/>
    <s v="IT"/>
    <s v="West"/>
    <d v="2024-09-09T00:00:00"/>
    <s v="Duplicate Invoice"/>
    <n v="83100.36"/>
    <n v="27524.38"/>
    <s v="High"/>
    <s v="Juan Vargas"/>
    <x v="1"/>
    <n v="265"/>
    <m/>
    <m/>
    <s v="Pending"/>
    <n v="0"/>
  </r>
  <r>
    <s v="DIS-0460"/>
    <s v="INV-1460"/>
    <s v="VND-017"/>
    <s v="NetSystems Ltd"/>
    <s v="IT"/>
    <s v="West"/>
    <d v="2024-07-02T00:00:00"/>
    <s v="Damaged Goods"/>
    <n v="23288.68"/>
    <n v="10140.379999999999"/>
    <s v="Critical"/>
    <s v="Ana Torres"/>
    <x v="0"/>
    <n v="334"/>
    <d v="2024-07-31T00:00:00"/>
    <n v="29"/>
    <s v="Payment Adjusted"/>
    <n v="4151.8100000000004"/>
  </r>
  <r>
    <s v="DIS-0461"/>
    <s v="INV-1461"/>
    <s v="VND-017"/>
    <s v="NetSystems Ltd"/>
    <s v="IT"/>
    <s v="West"/>
    <d v="2024-06-15T00:00:00"/>
    <s v="Contract Terms"/>
    <n v="45299.9"/>
    <n v="5795.9"/>
    <s v="Medium"/>
    <s v="Valeria Moreno"/>
    <x v="0"/>
    <n v="351"/>
    <d v="2024-06-27T00:00:00"/>
    <n v="12"/>
    <s v="Payment Adjusted"/>
    <n v="936.05"/>
  </r>
  <r>
    <s v="DIS-0462"/>
    <s v="INV-1462"/>
    <s v="VND-017"/>
    <s v="NetSystems Ltd"/>
    <s v="IT"/>
    <s v="West"/>
    <d v="2024-10-08T00:00:00"/>
    <s v="Damaged Goods"/>
    <n v="73102.490000000005"/>
    <n v="5732.31"/>
    <s v="Low"/>
    <s v="Marta Lopez"/>
    <x v="0"/>
    <n v="236"/>
    <d v="2024-12-23T00:00:00"/>
    <n v="76"/>
    <s v="No Action"/>
    <n v="0"/>
  </r>
  <r>
    <s v="DIS-0463"/>
    <s v="INV-1463"/>
    <s v="VND-017"/>
    <s v="NetSystems Ltd"/>
    <s v="IT"/>
    <s v="West"/>
    <d v="2025-01-19T00:00:00"/>
    <s v="Missing Goods"/>
    <n v="43725.11"/>
    <n v="16980.39"/>
    <s v="Medium"/>
    <s v="Ana Torres"/>
    <x v="0"/>
    <n v="133"/>
    <d v="2025-02-06T00:00:00"/>
    <n v="18"/>
    <s v="Partial Credit"/>
    <n v="9931.0400000000009"/>
  </r>
  <r>
    <s v="DIS-0464"/>
    <s v="INV-1464"/>
    <s v="VND-018"/>
    <s v="SwiftShip SA"/>
    <s v="Logistics"/>
    <s v="Central"/>
    <d v="2024-08-05T00:00:00"/>
    <s v="Service Quality"/>
    <n v="9324.1"/>
    <n v="6398.09"/>
    <s v="Medium"/>
    <s v="Carlos Mendez"/>
    <x v="0"/>
    <n v="300"/>
    <d v="2024-11-03T00:00:00"/>
    <n v="90"/>
    <s v="Full Credit"/>
    <n v="6398.09"/>
  </r>
  <r>
    <s v="DIS-0465"/>
    <s v="INV-1465"/>
    <s v="VND-018"/>
    <s v="SwiftShip SA"/>
    <s v="Logistics"/>
    <s v="Central"/>
    <d v="2025-04-17T00:00:00"/>
    <s v="Contract Terms"/>
    <n v="31744.16"/>
    <n v="23649.98"/>
    <s v="Medium"/>
    <s v="Ana Torres"/>
    <x v="0"/>
    <n v="45"/>
    <d v="2025-05-24T00:00:00"/>
    <n v="37"/>
    <s v="Full Credit"/>
    <n v="23649.98"/>
  </r>
  <r>
    <s v="DIS-0466"/>
    <s v="INV-1466"/>
    <s v="VND-018"/>
    <s v="SwiftShip SA"/>
    <s v="Logistics"/>
    <s v="Central"/>
    <d v="2024-11-12T00:00:00"/>
    <s v="Contract Terms"/>
    <n v="80693.19"/>
    <n v="55444.34"/>
    <s v="Medium"/>
    <s v="Sofia Ruiz"/>
    <x v="0"/>
    <n v="201"/>
    <d v="2025-03-08T00:00:00"/>
    <n v="116"/>
    <s v="No Action"/>
    <n v="0"/>
  </r>
  <r>
    <s v="DIS-0467"/>
    <s v="INV-1467"/>
    <s v="VND-018"/>
    <s v="SwiftShip SA"/>
    <s v="Logistics"/>
    <s v="Central"/>
    <d v="2024-07-04T00:00:00"/>
    <s v="Service Quality"/>
    <n v="40447.4"/>
    <n v="30824.92"/>
    <s v="Medium"/>
    <s v="Sofia Ruiz"/>
    <x v="0"/>
    <n v="332"/>
    <d v="2024-07-07T00:00:00"/>
    <n v="3"/>
    <s v="Partial Credit"/>
    <n v="13453.51"/>
  </r>
  <r>
    <s v="DIS-0468"/>
    <s v="INV-1468"/>
    <s v="VND-018"/>
    <s v="SwiftShip SA"/>
    <s v="Logistics"/>
    <s v="Central"/>
    <d v="2024-08-24T00:00:00"/>
    <s v="Contract Terms"/>
    <n v="94963.04"/>
    <n v="26448.95"/>
    <s v="High"/>
    <s v="Diego Castillo"/>
    <x v="0"/>
    <n v="281"/>
    <d v="2024-12-20T00:00:00"/>
    <n v="118"/>
    <s v="Partial Credit"/>
    <n v="13423.68"/>
  </r>
  <r>
    <s v="DIS-0469"/>
    <s v="INV-1469"/>
    <s v="VND-018"/>
    <s v="SwiftShip SA"/>
    <s v="Logistics"/>
    <s v="Central"/>
    <d v="2025-03-10T00:00:00"/>
    <s v="Price Discrepancy"/>
    <n v="22479.31"/>
    <n v="11524.33"/>
    <s v="Medium"/>
    <s v="Sofia Ruiz"/>
    <x v="0"/>
    <n v="83"/>
    <d v="2025-05-24T00:00:00"/>
    <n v="75"/>
    <s v="No Action"/>
    <n v="0"/>
  </r>
  <r>
    <s v="DIS-0470"/>
    <s v="INV-1470"/>
    <s v="VND-018"/>
    <s v="SwiftShip SA"/>
    <s v="Logistics"/>
    <s v="Central"/>
    <d v="2024-08-23T00:00:00"/>
    <s v="Price Discrepancy"/>
    <n v="48820.19"/>
    <n v="22567.06"/>
    <s v="Medium"/>
    <s v="Marta Lopez"/>
    <x v="4"/>
    <n v="282"/>
    <m/>
    <m/>
    <s v="Pending"/>
    <n v="0"/>
  </r>
  <r>
    <s v="DIS-0471"/>
    <s v="INV-1471"/>
    <s v="VND-018"/>
    <s v="SwiftShip SA"/>
    <s v="Logistics"/>
    <s v="Central"/>
    <d v="2024-08-07T00:00:00"/>
    <s v="Contract Terms"/>
    <n v="51283.09"/>
    <n v="15289.45"/>
    <s v="Low"/>
    <s v="Luis Herrera"/>
    <x v="0"/>
    <n v="298"/>
    <d v="2024-10-28T00:00:00"/>
    <n v="82"/>
    <s v="Full Credit"/>
    <n v="15289.45"/>
  </r>
  <r>
    <s v="DIS-0472"/>
    <s v="INV-1472"/>
    <s v="VND-018"/>
    <s v="SwiftShip SA"/>
    <s v="Logistics"/>
    <s v="Central"/>
    <d v="2025-02-21T00:00:00"/>
    <s v="Missing Goods"/>
    <n v="35189.660000000003"/>
    <n v="13653.04"/>
    <s v="Medium"/>
    <s v="Sofia Ruiz"/>
    <x v="0"/>
    <n v="100"/>
    <d v="2025-04-11T00:00:00"/>
    <n v="49"/>
    <s v="No Action"/>
    <n v="0"/>
  </r>
  <r>
    <s v="DIS-0473"/>
    <s v="INV-1473"/>
    <s v="VND-018"/>
    <s v="SwiftShip SA"/>
    <s v="Logistics"/>
    <s v="Central"/>
    <d v="2024-10-24T00:00:00"/>
    <s v="Contract Terms"/>
    <n v="21020.75"/>
    <n v="5989.04"/>
    <s v="High"/>
    <s v="Valeria Moreno"/>
    <x v="0"/>
    <n v="220"/>
    <d v="2024-12-12T00:00:00"/>
    <n v="49"/>
    <s v="Full Credit"/>
    <n v="5989.04"/>
  </r>
  <r>
    <s v="DIS-0474"/>
    <s v="INV-1474"/>
    <s v="VND-018"/>
    <s v="SwiftShip SA"/>
    <s v="Logistics"/>
    <s v="Central"/>
    <d v="2024-12-13T00:00:00"/>
    <s v="Missing Goods"/>
    <n v="88399.15"/>
    <n v="35106.51"/>
    <s v="Medium"/>
    <s v="Juan Vargas"/>
    <x v="0"/>
    <n v="170"/>
    <d v="2025-01-07T00:00:00"/>
    <n v="25"/>
    <s v="Partial Credit"/>
    <n v="8747.99"/>
  </r>
  <r>
    <s v="DIS-0475"/>
    <s v="INV-1475"/>
    <s v="VND-018"/>
    <s v="SwiftShip SA"/>
    <s v="Logistics"/>
    <s v="Central"/>
    <d v="2025-01-08T00:00:00"/>
    <s v="Missing Goods"/>
    <n v="86577.8"/>
    <n v="13419.67"/>
    <s v="Medium"/>
    <s v="Carlos Mendez"/>
    <x v="3"/>
    <n v="144"/>
    <d v="2025-05-05T00:00:00"/>
    <n v="117"/>
    <s v="Full Credit"/>
    <n v="13419.67"/>
  </r>
  <r>
    <s v="DIS-0476"/>
    <s v="INV-1476"/>
    <s v="VND-018"/>
    <s v="SwiftShip SA"/>
    <s v="Logistics"/>
    <s v="Central"/>
    <d v="2024-09-14T00:00:00"/>
    <s v="Service Quality"/>
    <n v="65004.52"/>
    <n v="42869.3"/>
    <s v="Medium"/>
    <s v="Luis Herrera"/>
    <x v="2"/>
    <n v="260"/>
    <d v="2024-11-26T00:00:00"/>
    <n v="73"/>
    <s v="Full Credit"/>
    <n v="42869.3"/>
  </r>
  <r>
    <s v="DIS-0477"/>
    <s v="INV-1477"/>
    <s v="VND-018"/>
    <s v="SwiftShip SA"/>
    <s v="Logistics"/>
    <s v="Central"/>
    <d v="2024-08-28T00:00:00"/>
    <s v="Damaged Goods"/>
    <n v="49849.88"/>
    <n v="31475.11"/>
    <s v="Medium"/>
    <s v="Marta Lopez"/>
    <x v="0"/>
    <n v="277"/>
    <d v="2024-11-03T00:00:00"/>
    <n v="67"/>
    <s v="Partial Credit"/>
    <n v="13788.34"/>
  </r>
  <r>
    <s v="DIS-0478"/>
    <s v="INV-1478"/>
    <s v="VND-018"/>
    <s v="SwiftShip SA"/>
    <s v="Logistics"/>
    <s v="Central"/>
    <d v="2024-09-16T00:00:00"/>
    <s v="Service Quality"/>
    <n v="6006.21"/>
    <n v="1376.39"/>
    <s v="Critical"/>
    <s v="Sofia Ruiz"/>
    <x v="3"/>
    <n v="258"/>
    <d v="2024-10-06T00:00:00"/>
    <n v="20"/>
    <s v="Partial Credit"/>
    <n v="423.22"/>
  </r>
  <r>
    <s v="DIS-0479"/>
    <s v="INV-1479"/>
    <s v="VND-018"/>
    <s v="SwiftShip SA"/>
    <s v="Logistics"/>
    <s v="Central"/>
    <d v="2024-08-15T00:00:00"/>
    <s v="Duplicate Invoice"/>
    <n v="67644.259999999995"/>
    <n v="52478.53"/>
    <s v="High"/>
    <s v="Diego Castillo"/>
    <x v="1"/>
    <n v="290"/>
    <m/>
    <m/>
    <s v="Pending"/>
    <n v="0"/>
  </r>
  <r>
    <s v="DIS-0480"/>
    <s v="INV-1480"/>
    <s v="VND-018"/>
    <s v="SwiftShip SA"/>
    <s v="Logistics"/>
    <s v="Central"/>
    <d v="2024-09-24T00:00:00"/>
    <s v="Contract Terms"/>
    <n v="27016.240000000002"/>
    <n v="6707.26"/>
    <s v="Low"/>
    <s v="Luis Herrera"/>
    <x v="0"/>
    <n v="250"/>
    <d v="2025-01-06T00:00:00"/>
    <n v="104"/>
    <s v="Full Credit"/>
    <n v="6707.26"/>
  </r>
  <r>
    <s v="DIS-0481"/>
    <s v="INV-1481"/>
    <s v="VND-018"/>
    <s v="SwiftShip SA"/>
    <s v="Logistics"/>
    <s v="Central"/>
    <d v="2024-10-03T00:00:00"/>
    <s v="Contract Terms"/>
    <n v="92200.68"/>
    <n v="65569.8"/>
    <s v="Low"/>
    <s v="Diego Castillo"/>
    <x v="0"/>
    <n v="241"/>
    <d v="2024-12-11T00:00:00"/>
    <n v="69"/>
    <s v="Partial Credit"/>
    <n v="23873.78"/>
  </r>
  <r>
    <s v="DIS-0482"/>
    <s v="INV-1482"/>
    <s v="VND-018"/>
    <s v="SwiftShip SA"/>
    <s v="Logistics"/>
    <s v="Central"/>
    <d v="2025-01-17T00:00:00"/>
    <s v="Duplicate Invoice"/>
    <n v="59969.99"/>
    <n v="28642.87"/>
    <s v="Medium"/>
    <s v="Diego Castillo"/>
    <x v="0"/>
    <n v="135"/>
    <d v="2025-05-14T00:00:00"/>
    <n v="117"/>
    <s v="No Action"/>
    <n v="0"/>
  </r>
  <r>
    <s v="DIS-0483"/>
    <s v="INV-1483"/>
    <s v="VND-018"/>
    <s v="SwiftShip SA"/>
    <s v="Logistics"/>
    <s v="Central"/>
    <d v="2024-09-09T00:00:00"/>
    <s v="Duplicate Invoice"/>
    <n v="28900.71"/>
    <n v="22528.26"/>
    <s v="Low"/>
    <s v="Diego Castillo"/>
    <x v="2"/>
    <n v="265"/>
    <d v="2024-10-26T00:00:00"/>
    <n v="47"/>
    <s v="Partial Credit"/>
    <n v="11022.31"/>
  </r>
  <r>
    <s v="DIS-0484"/>
    <s v="INV-1484"/>
    <s v="VND-018"/>
    <s v="SwiftShip SA"/>
    <s v="Logistics"/>
    <s v="Central"/>
    <d v="2024-07-26T00:00:00"/>
    <s v="Damaged Goods"/>
    <n v="5626.78"/>
    <n v="4003.6"/>
    <s v="Medium"/>
    <s v="Carlos Mendez"/>
    <x v="0"/>
    <n v="310"/>
    <d v="2024-09-02T00:00:00"/>
    <n v="38"/>
    <s v="Full Credit"/>
    <n v="4003.6"/>
  </r>
  <r>
    <s v="DIS-0485"/>
    <s v="INV-1485"/>
    <s v="VND-018"/>
    <s v="SwiftShip SA"/>
    <s v="Logistics"/>
    <s v="Central"/>
    <d v="2025-02-25T00:00:00"/>
    <s v="Contract Terms"/>
    <n v="19948.95"/>
    <n v="10004.700000000001"/>
    <s v="High"/>
    <s v="Luis Herrera"/>
    <x v="0"/>
    <n v="96"/>
    <d v="2025-04-11T00:00:00"/>
    <n v="45"/>
    <s v="Payment Adjusted"/>
    <n v="2927.44"/>
  </r>
  <r>
    <s v="DIS-0486"/>
    <s v="INV-1486"/>
    <s v="VND-019"/>
    <s v="CleanOffice Services"/>
    <s v="Services"/>
    <s v="West"/>
    <d v="2025-02-13T00:00:00"/>
    <s v="Damaged Goods"/>
    <n v="61125.14"/>
    <n v="32729.119999999999"/>
    <s v="Medium"/>
    <s v="Ana Torres"/>
    <x v="0"/>
    <n v="108"/>
    <d v="2025-05-02T00:00:00"/>
    <n v="78"/>
    <s v="Full Credit"/>
    <n v="32729.119999999999"/>
  </r>
  <r>
    <s v="DIS-0487"/>
    <s v="INV-1487"/>
    <s v="VND-019"/>
    <s v="CleanOffice Services"/>
    <s v="Services"/>
    <s v="West"/>
    <d v="2024-07-13T00:00:00"/>
    <s v="Damaged Goods"/>
    <n v="53701.07"/>
    <n v="38562.639999999999"/>
    <s v="Low"/>
    <s v="Marta Lopez"/>
    <x v="2"/>
    <n v="323"/>
    <d v="2024-09-20T00:00:00"/>
    <n v="69"/>
    <s v="Pending"/>
    <n v="0"/>
  </r>
  <r>
    <s v="DIS-0488"/>
    <s v="INV-1488"/>
    <s v="VND-019"/>
    <s v="CleanOffice Services"/>
    <s v="Services"/>
    <s v="West"/>
    <d v="2024-07-29T00:00:00"/>
    <s v="Contract Terms"/>
    <n v="97078.15"/>
    <n v="51278.33"/>
    <s v="High"/>
    <s v="Marta Lopez"/>
    <x v="2"/>
    <n v="307"/>
    <d v="2024-08-28T00:00:00"/>
    <n v="30"/>
    <s v="Partial Credit"/>
    <n v="40800.400000000001"/>
  </r>
  <r>
    <s v="DIS-0489"/>
    <s v="INV-1489"/>
    <s v="VND-019"/>
    <s v="CleanOffice Services"/>
    <s v="Services"/>
    <s v="West"/>
    <d v="2024-09-27T00:00:00"/>
    <s v="Service Quality"/>
    <n v="21203.84"/>
    <n v="14265.36"/>
    <s v="Medium"/>
    <s v="Sofia Ruiz"/>
    <x v="0"/>
    <n v="247"/>
    <d v="2024-12-04T00:00:00"/>
    <n v="68"/>
    <s v="Full Credit"/>
    <n v="14265.36"/>
  </r>
  <r>
    <s v="DIS-0490"/>
    <s v="INV-1490"/>
    <s v="VND-019"/>
    <s v="CleanOffice Services"/>
    <s v="Services"/>
    <s v="West"/>
    <d v="2024-06-14T00:00:00"/>
    <s v="Damaged Goods"/>
    <n v="37553.769999999997"/>
    <n v="14649.82"/>
    <s v="Medium"/>
    <s v="Valeria Moreno"/>
    <x v="0"/>
    <n v="352"/>
    <d v="2024-06-30T00:00:00"/>
    <n v="16"/>
    <s v="Full Credit"/>
    <n v="14649.82"/>
  </r>
  <r>
    <s v="DIS-0491"/>
    <s v="INV-1491"/>
    <s v="VND-019"/>
    <s v="CleanOffice Services"/>
    <s v="Services"/>
    <s v="West"/>
    <d v="2024-09-06T00:00:00"/>
    <s v="Damaged Goods"/>
    <n v="86661.21"/>
    <n v="37114.370000000003"/>
    <s v="Medium"/>
    <s v="Carlos Mendez"/>
    <x v="0"/>
    <n v="268"/>
    <d v="2025-01-02T00:00:00"/>
    <n v="118"/>
    <s v="Partial Credit"/>
    <n v="8292.16"/>
  </r>
  <r>
    <s v="DIS-0492"/>
    <s v="INV-1492"/>
    <s v="VND-019"/>
    <s v="CleanOffice Services"/>
    <s v="Services"/>
    <s v="West"/>
    <d v="2024-09-01T00:00:00"/>
    <s v="Damaged Goods"/>
    <n v="52816.27"/>
    <n v="7295.9"/>
    <s v="Medium"/>
    <s v="Ana Torres"/>
    <x v="2"/>
    <n v="273"/>
    <d v="2024-12-12T00:00:00"/>
    <n v="102"/>
    <s v="Payment Adjusted"/>
    <n v="1988.85"/>
  </r>
  <r>
    <s v="DIS-0493"/>
    <s v="INV-1493"/>
    <s v="VND-019"/>
    <s v="CleanOffice Services"/>
    <s v="Services"/>
    <s v="West"/>
    <d v="2024-10-28T00:00:00"/>
    <s v="Damaged Goods"/>
    <n v="40185.86"/>
    <n v="3318.5"/>
    <s v="Medium"/>
    <s v="Juan Vargas"/>
    <x v="3"/>
    <n v="216"/>
    <d v="2024-12-18T00:00:00"/>
    <n v="51"/>
    <s v="Full Credit"/>
    <n v="3318.5"/>
  </r>
  <r>
    <s v="DIS-0494"/>
    <s v="INV-1494"/>
    <s v="VND-019"/>
    <s v="CleanOffice Services"/>
    <s v="Services"/>
    <s v="West"/>
    <d v="2024-06-09T00:00:00"/>
    <s v="Damaged Goods"/>
    <n v="59731.48"/>
    <n v="22047.91"/>
    <s v="Medium"/>
    <s v="Carlos Mendez"/>
    <x v="0"/>
    <n v="357"/>
    <d v="2024-10-02T00:00:00"/>
    <n v="115"/>
    <s v="Partial Credit"/>
    <n v="7820.02"/>
  </r>
  <r>
    <s v="DIS-0495"/>
    <s v="INV-1495"/>
    <s v="VND-019"/>
    <s v="CleanOffice Services"/>
    <s v="Services"/>
    <s v="West"/>
    <d v="2025-05-29T00:00:00"/>
    <s v="Price Discrepancy"/>
    <n v="72369.14"/>
    <n v="46465.83"/>
    <s v="Medium"/>
    <s v="Ana Torres"/>
    <x v="1"/>
    <n v="3"/>
    <m/>
    <m/>
    <s v="Pending"/>
    <n v="0"/>
  </r>
  <r>
    <s v="DIS-0496"/>
    <s v="INV-1496"/>
    <s v="VND-019"/>
    <s v="CleanOffice Services"/>
    <s v="Services"/>
    <s v="West"/>
    <d v="2025-02-15T00:00:00"/>
    <s v="Damaged Goods"/>
    <n v="70337.84"/>
    <n v="20181.78"/>
    <s v="Medium"/>
    <s v="Valeria Moreno"/>
    <x v="3"/>
    <n v="106"/>
    <d v="2025-03-22T00:00:00"/>
    <n v="35"/>
    <s v="Full Credit"/>
    <n v="20181.78"/>
  </r>
  <r>
    <s v="DIS-0497"/>
    <s v="INV-1497"/>
    <s v="VND-019"/>
    <s v="CleanOffice Services"/>
    <s v="Services"/>
    <s v="West"/>
    <d v="2024-08-30T00:00:00"/>
    <s v="Contract Terms"/>
    <n v="45238.35"/>
    <n v="14667.77"/>
    <s v="Medium"/>
    <s v="Valeria Moreno"/>
    <x v="3"/>
    <n v="275"/>
    <d v="2024-10-24T00:00:00"/>
    <n v="55"/>
    <s v="Partial Credit"/>
    <n v="7840.47"/>
  </r>
  <r>
    <s v="DIS-0498"/>
    <s v="INV-1498"/>
    <s v="VND-019"/>
    <s v="CleanOffice Services"/>
    <s v="Services"/>
    <s v="West"/>
    <d v="2025-03-01T00:00:00"/>
    <s v="Missing Goods"/>
    <n v="40170.230000000003"/>
    <n v="18726.7"/>
    <s v="Medium"/>
    <s v="Diego Castillo"/>
    <x v="3"/>
    <n v="92"/>
    <d v="2025-04-23T00:00:00"/>
    <n v="53"/>
    <s v="Payment Adjusted"/>
    <n v="8277.19"/>
  </r>
  <r>
    <s v="DIS-0499"/>
    <s v="INV-1499"/>
    <s v="VND-019"/>
    <s v="CleanOffice Services"/>
    <s v="Services"/>
    <s v="West"/>
    <d v="2024-06-28T00:00:00"/>
    <s v="Damaged Goods"/>
    <n v="16313.15"/>
    <n v="3626.88"/>
    <s v="High"/>
    <s v="Carlos Mendez"/>
    <x v="0"/>
    <n v="338"/>
    <d v="2024-08-21T00:00:00"/>
    <n v="54"/>
    <s v="Payment Adjusted"/>
    <n v="1524.53"/>
  </r>
  <r>
    <s v="DIS-0500"/>
    <s v="INV-1500"/>
    <s v="VND-019"/>
    <s v="CleanOffice Services"/>
    <s v="Services"/>
    <s v="West"/>
    <d v="2024-07-21T00:00:00"/>
    <s v="Contract Terms"/>
    <n v="71220.45"/>
    <n v="41314.449999999997"/>
    <s v="Low"/>
    <s v="Ana Torres"/>
    <x v="2"/>
    <n v="315"/>
    <d v="2024-11-06T00:00:00"/>
    <n v="108"/>
    <s v="Full Credit"/>
    <n v="41314.449999999997"/>
  </r>
  <r>
    <s v="DIS-0501"/>
    <s v="INV-1501"/>
    <s v="VND-019"/>
    <s v="CleanOffice Services"/>
    <s v="Services"/>
    <s v="West"/>
    <d v="2024-07-28T00:00:00"/>
    <s v="Price Discrepancy"/>
    <n v="46360.86"/>
    <n v="4546.16"/>
    <s v="Low"/>
    <s v="Ana Torres"/>
    <x v="3"/>
    <n v="308"/>
    <d v="2024-09-20T00:00:00"/>
    <n v="54"/>
    <s v="Partial Credit"/>
    <n v="2330.38"/>
  </r>
  <r>
    <s v="DIS-0502"/>
    <s v="INV-1502"/>
    <s v="VND-019"/>
    <s v="CleanOffice Services"/>
    <s v="Services"/>
    <s v="West"/>
    <d v="2024-06-01T00:00:00"/>
    <s v="Damaged Goods"/>
    <n v="96535.33"/>
    <n v="8987.18"/>
    <s v="High"/>
    <s v="Juan Vargas"/>
    <x v="0"/>
    <n v="365"/>
    <d v="2024-06-29T00:00:00"/>
    <n v="28"/>
    <s v="No Action"/>
    <n v="0"/>
  </r>
  <r>
    <s v="DIS-0503"/>
    <s v="INV-1503"/>
    <s v="VND-019"/>
    <s v="CleanOffice Services"/>
    <s v="Services"/>
    <s v="West"/>
    <d v="2024-09-08T00:00:00"/>
    <s v="Service Quality"/>
    <n v="32170.62"/>
    <n v="2419.46"/>
    <s v="Medium"/>
    <s v="Luis Herrera"/>
    <x v="0"/>
    <n v="266"/>
    <d v="2024-12-06T00:00:00"/>
    <n v="89"/>
    <s v="Full Credit"/>
    <n v="2419.46"/>
  </r>
  <r>
    <s v="DIS-0504"/>
    <s v="INV-1504"/>
    <s v="VND-019"/>
    <s v="CleanOffice Services"/>
    <s v="Services"/>
    <s v="West"/>
    <d v="2025-01-29T00:00:00"/>
    <s v="Missing Goods"/>
    <n v="67226.820000000007"/>
    <n v="52553.52"/>
    <s v="Low"/>
    <s v="Valeria Moreno"/>
    <x v="0"/>
    <n v="123"/>
    <d v="2025-03-23T00:00:00"/>
    <n v="53"/>
    <s v="Partial Credit"/>
    <n v="16826.91"/>
  </r>
  <r>
    <s v="DIS-0505"/>
    <s v="INV-1505"/>
    <s v="VND-019"/>
    <s v="CleanOffice Services"/>
    <s v="Services"/>
    <s v="West"/>
    <d v="2025-05-24T00:00:00"/>
    <s v="Missing Goods"/>
    <n v="75007.929999999993"/>
    <n v="7610.52"/>
    <s v="Low"/>
    <s v="Diego Castillo"/>
    <x v="1"/>
    <n v="8"/>
    <m/>
    <m/>
    <s v="Pending"/>
    <n v="0"/>
  </r>
  <r>
    <s v="DIS-0506"/>
    <s v="INV-1506"/>
    <s v="VND-019"/>
    <s v="CleanOffice Services"/>
    <s v="Services"/>
    <s v="West"/>
    <d v="2025-01-10T00:00:00"/>
    <s v="Duplicate Invoice"/>
    <n v="26498.07"/>
    <n v="20464.27"/>
    <s v="Medium"/>
    <s v="Ana Torres"/>
    <x v="0"/>
    <n v="142"/>
    <d v="2025-03-06T00:00:00"/>
    <n v="55"/>
    <s v="Partial Credit"/>
    <n v="10952.04"/>
  </r>
  <r>
    <s v="DIS-0507"/>
    <s v="INV-1507"/>
    <s v="VND-019"/>
    <s v="CleanOffice Services"/>
    <s v="Services"/>
    <s v="West"/>
    <d v="2024-09-16T00:00:00"/>
    <s v="Missing Goods"/>
    <n v="32953.919999999998"/>
    <n v="25053.599999999999"/>
    <s v="High"/>
    <s v="Marta Lopez"/>
    <x v="3"/>
    <n v="258"/>
    <d v="2024-11-06T00:00:00"/>
    <n v="51"/>
    <s v="Partial Credit"/>
    <n v="16584.990000000002"/>
  </r>
  <r>
    <s v="DIS-0508"/>
    <s v="INV-1508"/>
    <s v="VND-019"/>
    <s v="CleanOffice Services"/>
    <s v="Services"/>
    <s v="West"/>
    <d v="2024-12-09T00:00:00"/>
    <s v="Service Quality"/>
    <n v="96317.68"/>
    <n v="37962.300000000003"/>
    <s v="Medium"/>
    <s v="Ana Torres"/>
    <x v="0"/>
    <n v="174"/>
    <d v="2025-01-14T00:00:00"/>
    <n v="36"/>
    <s v="Full Credit"/>
    <n v="37962.300000000003"/>
  </r>
  <r>
    <s v="DIS-0509"/>
    <s v="INV-1509"/>
    <s v="VND-019"/>
    <s v="CleanOffice Services"/>
    <s v="Services"/>
    <s v="West"/>
    <d v="2024-07-11T00:00:00"/>
    <s v="Missing Goods"/>
    <n v="79922.320000000007"/>
    <n v="17206.22"/>
    <s v="High"/>
    <s v="Valeria Moreno"/>
    <x v="2"/>
    <n v="325"/>
    <d v="2024-09-18T00:00:00"/>
    <n v="69"/>
    <s v="Partial Credit"/>
    <n v="10676.31"/>
  </r>
  <r>
    <s v="DIS-0510"/>
    <s v="INV-1510"/>
    <s v="VND-019"/>
    <s v="CleanOffice Services"/>
    <s v="Services"/>
    <s v="West"/>
    <d v="2025-01-17T00:00:00"/>
    <s v="Missing Goods"/>
    <n v="28584.47"/>
    <n v="3423.19"/>
    <s v="High"/>
    <s v="Carlos Mendez"/>
    <x v="0"/>
    <n v="135"/>
    <d v="2025-02-11T00:00:00"/>
    <n v="25"/>
    <s v="Partial Credit"/>
    <n v="1410.77"/>
  </r>
  <r>
    <s v="DIS-0511"/>
    <s v="INV-1511"/>
    <s v="VND-019"/>
    <s v="CleanOffice Services"/>
    <s v="Services"/>
    <s v="West"/>
    <d v="2024-08-11T00:00:00"/>
    <s v="Damaged Goods"/>
    <n v="30562.2"/>
    <n v="23237.62"/>
    <s v="High"/>
    <s v="Juan Vargas"/>
    <x v="3"/>
    <n v="294"/>
    <d v="2024-09-13T00:00:00"/>
    <n v="33"/>
    <s v="Payment Adjusted"/>
    <n v="10435.950000000001"/>
  </r>
  <r>
    <s v="DIS-0512"/>
    <s v="INV-1512"/>
    <s v="VND-019"/>
    <s v="CleanOffice Services"/>
    <s v="Services"/>
    <s v="West"/>
    <d v="2025-02-15T00:00:00"/>
    <s v="Missing Goods"/>
    <n v="26774.720000000001"/>
    <n v="18105.21"/>
    <s v="High"/>
    <s v="Sofia Ruiz"/>
    <x v="3"/>
    <n v="106"/>
    <d v="2025-03-05T00:00:00"/>
    <n v="18"/>
    <s v="Pending"/>
    <n v="0"/>
  </r>
  <r>
    <s v="DIS-0513"/>
    <s v="INV-1513"/>
    <s v="VND-019"/>
    <s v="CleanOffice Services"/>
    <s v="Services"/>
    <s v="West"/>
    <d v="2024-06-19T00:00:00"/>
    <s v="Service Quality"/>
    <n v="95799.07"/>
    <n v="40187.58"/>
    <s v="Low"/>
    <s v="Ana Torres"/>
    <x v="2"/>
    <n v="347"/>
    <d v="2024-08-08T00:00:00"/>
    <n v="50"/>
    <s v="Partial Credit"/>
    <n v="19909.099999999999"/>
  </r>
  <r>
    <s v="DIS-0514"/>
    <s v="INV-1514"/>
    <s v="VND-019"/>
    <s v="CleanOffice Services"/>
    <s v="Services"/>
    <s v="West"/>
    <d v="2024-08-10T00:00:00"/>
    <s v="Service Quality"/>
    <n v="87533.04"/>
    <n v="36597.919999999998"/>
    <s v="Critical"/>
    <s v="Marta Lopez"/>
    <x v="0"/>
    <n v="295"/>
    <d v="2024-11-17T00:00:00"/>
    <n v="99"/>
    <s v="Partial Credit"/>
    <n v="8508.61"/>
  </r>
  <r>
    <s v="DIS-0515"/>
    <s v="INV-1515"/>
    <s v="VND-019"/>
    <s v="CleanOffice Services"/>
    <s v="Services"/>
    <s v="West"/>
    <d v="2024-10-27T00:00:00"/>
    <s v="Duplicate Invoice"/>
    <n v="50440.41"/>
    <n v="22979.439999999999"/>
    <s v="Medium"/>
    <s v="Sofia Ruiz"/>
    <x v="0"/>
    <n v="217"/>
    <d v="2024-11-14T00:00:00"/>
    <n v="18"/>
    <s v="Payment Adjusted"/>
    <n v="6526.81"/>
  </r>
  <r>
    <s v="DIS-0516"/>
    <s v="INV-1516"/>
    <s v="VND-019"/>
    <s v="CleanOffice Services"/>
    <s v="Services"/>
    <s v="West"/>
    <d v="2024-06-13T00:00:00"/>
    <s v="Price Discrepancy"/>
    <n v="5799.77"/>
    <n v="3222.22"/>
    <s v="Medium"/>
    <s v="Diego Castillo"/>
    <x v="0"/>
    <n v="353"/>
    <d v="2024-10-04T00:00:00"/>
    <n v="113"/>
    <s v="Full Credit"/>
    <n v="3222.22"/>
  </r>
  <r>
    <s v="DIS-0517"/>
    <s v="INV-1517"/>
    <s v="VND-019"/>
    <s v="CleanOffice Services"/>
    <s v="Services"/>
    <s v="West"/>
    <d v="2024-08-24T00:00:00"/>
    <s v="Missing Goods"/>
    <n v="29970.66"/>
    <n v="7554.29"/>
    <s v="Critical"/>
    <s v="Diego Castillo"/>
    <x v="0"/>
    <n v="281"/>
    <d v="2024-10-20T00:00:00"/>
    <n v="57"/>
    <s v="Full Credit"/>
    <n v="7554.29"/>
  </r>
  <r>
    <s v="DIS-0518"/>
    <s v="INV-1518"/>
    <s v="VND-019"/>
    <s v="CleanOffice Services"/>
    <s v="Services"/>
    <s v="West"/>
    <d v="2024-06-07T00:00:00"/>
    <s v="Duplicate Invoice"/>
    <n v="76458.600000000006"/>
    <n v="24757.94"/>
    <s v="Medium"/>
    <s v="Sofia Ruiz"/>
    <x v="0"/>
    <n v="359"/>
    <d v="2024-08-22T00:00:00"/>
    <n v="76"/>
    <s v="Payment Adjusted"/>
    <n v="10538.87"/>
  </r>
  <r>
    <s v="DIS-0519"/>
    <s v="INV-1519"/>
    <s v="VND-019"/>
    <s v="CleanOffice Services"/>
    <s v="Services"/>
    <s v="West"/>
    <d v="2025-01-13T00:00:00"/>
    <s v="Damaged Goods"/>
    <n v="81388.320000000007"/>
    <n v="37968.06"/>
    <s v="High"/>
    <s v="Sofia Ruiz"/>
    <x v="2"/>
    <n v="139"/>
    <d v="2025-04-20T00:00:00"/>
    <n v="97"/>
    <s v="Full Credit"/>
    <n v="37968.06"/>
  </r>
  <r>
    <s v="DIS-0520"/>
    <s v="INV-1520"/>
    <s v="VND-019"/>
    <s v="CleanOffice Services"/>
    <s v="Services"/>
    <s v="West"/>
    <d v="2025-05-27T00:00:00"/>
    <s v="Contract Terms"/>
    <n v="21777.69"/>
    <n v="9248.9500000000007"/>
    <s v="Critical"/>
    <s v="Diego Castillo"/>
    <x v="4"/>
    <n v="5"/>
    <m/>
    <m/>
    <s v="Pending"/>
    <n v="0"/>
  </r>
  <r>
    <s v="DIS-0521"/>
    <s v="INV-1521"/>
    <s v="VND-020"/>
    <s v="GasNetwork"/>
    <s v="Utilities"/>
    <s v="East"/>
    <d v="2024-08-17T00:00:00"/>
    <s v="Damaged Goods"/>
    <n v="86557.69"/>
    <n v="7425.09"/>
    <s v="Low"/>
    <s v="Ana Torres"/>
    <x v="0"/>
    <n v="288"/>
    <d v="2024-09-21T00:00:00"/>
    <n v="35"/>
    <s v="Partial Credit"/>
    <n v="4291.09"/>
  </r>
  <r>
    <s v="DIS-0522"/>
    <s v="INV-1522"/>
    <s v="VND-020"/>
    <s v="GasNetwork"/>
    <s v="Utilities"/>
    <s v="East"/>
    <d v="2024-10-13T00:00:00"/>
    <s v="Service Quality"/>
    <n v="75736.36"/>
    <n v="18542.29"/>
    <s v="Medium"/>
    <s v="Marta Lopez"/>
    <x v="0"/>
    <n v="231"/>
    <d v="2024-12-07T00:00:00"/>
    <n v="55"/>
    <s v="Full Credit"/>
    <n v="18542.29"/>
  </r>
  <r>
    <s v="DIS-0523"/>
    <s v="INV-1523"/>
    <s v="VND-020"/>
    <s v="GasNetwork"/>
    <s v="Utilities"/>
    <s v="East"/>
    <d v="2024-06-18T00:00:00"/>
    <s v="Contract Terms"/>
    <n v="96496.07"/>
    <n v="19223.810000000001"/>
    <s v="Medium"/>
    <s v="Sofia Ruiz"/>
    <x v="2"/>
    <n v="348"/>
    <d v="2024-07-27T00:00:00"/>
    <n v="39"/>
    <s v="Full Credit"/>
    <n v="19223.810000000001"/>
  </r>
  <r>
    <s v="DIS-0524"/>
    <s v="INV-1524"/>
    <s v="VND-020"/>
    <s v="GasNetwork"/>
    <s v="Utilities"/>
    <s v="East"/>
    <d v="2024-06-21T00:00:00"/>
    <s v="Price Discrepancy"/>
    <n v="53492.23"/>
    <n v="33756.71"/>
    <s v="Medium"/>
    <s v="Valeria Moreno"/>
    <x v="0"/>
    <n v="345"/>
    <d v="2024-08-22T00:00:00"/>
    <n v="62"/>
    <s v="Partial Credit"/>
    <n v="9685.1"/>
  </r>
  <r>
    <s v="DIS-0525"/>
    <s v="INV-1525"/>
    <s v="VND-020"/>
    <s v="GasNetwork"/>
    <s v="Utilities"/>
    <s v="East"/>
    <d v="2025-03-07T00:00:00"/>
    <s v="Service Quality"/>
    <n v="65855.16"/>
    <n v="49155.94"/>
    <s v="Medium"/>
    <s v="Valeria Moreno"/>
    <x v="3"/>
    <n v="86"/>
    <d v="2025-03-19T00:00:00"/>
    <n v="12"/>
    <s v="Full Credit"/>
    <n v="49155.94"/>
  </r>
  <r>
    <s v="DIS-0526"/>
    <s v="INV-1526"/>
    <s v="VND-020"/>
    <s v="GasNetwork"/>
    <s v="Utilities"/>
    <s v="East"/>
    <d v="2024-12-07T00:00:00"/>
    <s v="Missing Goods"/>
    <n v="26680.7"/>
    <n v="7674.93"/>
    <s v="Medium"/>
    <s v="Valeria Moreno"/>
    <x v="0"/>
    <n v="176"/>
    <d v="2025-02-04T00:00:00"/>
    <n v="59"/>
    <s v="Payment Adjusted"/>
    <n v="3649.49"/>
  </r>
  <r>
    <s v="DIS-0527"/>
    <s v="INV-1527"/>
    <s v="VND-020"/>
    <s v="GasNetwork"/>
    <s v="Utilities"/>
    <s v="East"/>
    <d v="2024-08-04T00:00:00"/>
    <s v="Price Discrepancy"/>
    <n v="54488.89"/>
    <n v="21126.240000000002"/>
    <s v="Low"/>
    <s v="Sofia Ruiz"/>
    <x v="3"/>
    <n v="301"/>
    <d v="2024-10-30T00:00:00"/>
    <n v="87"/>
    <s v="Full Credit"/>
    <n v="21126.240000000002"/>
  </r>
  <r>
    <s v="DIS-0528"/>
    <s v="INV-1528"/>
    <s v="VND-020"/>
    <s v="GasNetwork"/>
    <s v="Utilities"/>
    <s v="East"/>
    <d v="2024-06-07T00:00:00"/>
    <s v="Price Discrepancy"/>
    <n v="76225.279999999999"/>
    <n v="15849.42"/>
    <s v="Medium"/>
    <s v="Carlos Mendez"/>
    <x v="2"/>
    <n v="359"/>
    <d v="2024-08-09T00:00:00"/>
    <n v="63"/>
    <s v="Partial Credit"/>
    <n v="3420.61"/>
  </r>
  <r>
    <s v="DIS-0529"/>
    <s v="INV-1529"/>
    <s v="VND-020"/>
    <s v="GasNetwork"/>
    <s v="Utilities"/>
    <s v="East"/>
    <d v="2024-11-09T00:00:00"/>
    <s v="Service Quality"/>
    <n v="54778.37"/>
    <n v="43658.93"/>
    <s v="Low"/>
    <s v="Sofia Ruiz"/>
    <x v="4"/>
    <n v="204"/>
    <m/>
    <m/>
    <s v="Pending"/>
    <n v="0"/>
  </r>
  <r>
    <s v="DIS-0530"/>
    <s v="INV-1530"/>
    <s v="VND-020"/>
    <s v="GasNetwork"/>
    <s v="Utilities"/>
    <s v="East"/>
    <d v="2024-11-13T00:00:00"/>
    <s v="Contract Terms"/>
    <n v="34390.21"/>
    <n v="8100.52"/>
    <s v="Medium"/>
    <s v="Sofia Ruiz"/>
    <x v="0"/>
    <n v="200"/>
    <d v="2025-03-03T00:00:00"/>
    <n v="110"/>
    <s v="Full Credit"/>
    <n v="8100.52"/>
  </r>
  <r>
    <s v="DIS-0531"/>
    <s v="INV-1531"/>
    <s v="VND-020"/>
    <s v="GasNetwork"/>
    <s v="Utilities"/>
    <s v="East"/>
    <d v="2025-05-14T00:00:00"/>
    <s v="Duplicate Invoice"/>
    <n v="68037.17"/>
    <n v="47304.65"/>
    <s v="Medium"/>
    <s v="Juan Vargas"/>
    <x v="2"/>
    <n v="18"/>
    <d v="2025-05-25T00:00:00"/>
    <n v="11"/>
    <s v="Partial Credit"/>
    <n v="13295.87"/>
  </r>
  <r>
    <s v="DIS-0532"/>
    <s v="INV-1532"/>
    <s v="VND-020"/>
    <s v="GasNetwork"/>
    <s v="Utilities"/>
    <s v="East"/>
    <d v="2024-06-08T00:00:00"/>
    <s v="Contract Terms"/>
    <n v="56232.32"/>
    <n v="27729.46"/>
    <s v="Medium"/>
    <s v="Valeria Moreno"/>
    <x v="0"/>
    <n v="358"/>
    <d v="2024-08-31T00:00:00"/>
    <n v="84"/>
    <s v="Partial Credit"/>
    <n v="20668.259999999998"/>
  </r>
  <r>
    <s v="DIS-0533"/>
    <s v="INV-1533"/>
    <s v="VND-020"/>
    <s v="GasNetwork"/>
    <s v="Utilities"/>
    <s v="East"/>
    <d v="2024-09-27T00:00:00"/>
    <s v="Missing Goods"/>
    <n v="56268.47"/>
    <n v="36773.18"/>
    <s v="Medium"/>
    <s v="Valeria Moreno"/>
    <x v="0"/>
    <n v="247"/>
    <d v="2024-11-07T00:00:00"/>
    <n v="41"/>
    <s v="Full Credit"/>
    <n v="36773.18"/>
  </r>
  <r>
    <s v="DIS-0534"/>
    <s v="INV-1534"/>
    <s v="VND-020"/>
    <s v="GasNetwork"/>
    <s v="Utilities"/>
    <s v="East"/>
    <d v="2024-09-06T00:00:00"/>
    <s v="Duplicate Invoice"/>
    <n v="82461.08"/>
    <n v="56564.99"/>
    <s v="Medium"/>
    <s v="Ana Torres"/>
    <x v="3"/>
    <n v="268"/>
    <d v="2024-11-10T00:00:00"/>
    <n v="65"/>
    <s v="Pending"/>
    <n v="0"/>
  </r>
  <r>
    <s v="DIS-0535"/>
    <s v="INV-1535"/>
    <s v="VND-020"/>
    <s v="GasNetwork"/>
    <s v="Utilities"/>
    <s v="East"/>
    <d v="2024-09-29T00:00:00"/>
    <s v="Service Quality"/>
    <n v="33463"/>
    <n v="20894.36"/>
    <s v="High"/>
    <s v="Luis Herrera"/>
    <x v="3"/>
    <n v="245"/>
    <d v="2024-12-11T00:00:00"/>
    <n v="73"/>
    <s v="Full Credit"/>
    <n v="20894.36"/>
  </r>
  <r>
    <s v="DIS-0536"/>
    <s v="INV-1536"/>
    <s v="VND-020"/>
    <s v="GasNetwork"/>
    <s v="Utilities"/>
    <s v="East"/>
    <d v="2024-11-02T00:00:00"/>
    <s v="Contract Terms"/>
    <n v="88805.4"/>
    <n v="33553.32"/>
    <s v="Low"/>
    <s v="Valeria Moreno"/>
    <x v="2"/>
    <n v="211"/>
    <d v="2024-12-03T00:00:00"/>
    <n v="31"/>
    <s v="Full Credit"/>
    <n v="33553.32"/>
  </r>
  <r>
    <s v="DIS-0537"/>
    <s v="INV-1537"/>
    <s v="VND-020"/>
    <s v="GasNetwork"/>
    <s v="Utilities"/>
    <s v="East"/>
    <d v="2024-10-27T00:00:00"/>
    <s v="Service Quality"/>
    <n v="64405.69"/>
    <n v="28174.76"/>
    <s v="High"/>
    <s v="Marta Lopez"/>
    <x v="0"/>
    <n v="217"/>
    <d v="2025-02-02T00:00:00"/>
    <n v="98"/>
    <s v="Partial Credit"/>
    <n v="10179.35"/>
  </r>
  <r>
    <s v="DIS-0538"/>
    <s v="INV-1538"/>
    <s v="VND-020"/>
    <s v="GasNetwork"/>
    <s v="Utilities"/>
    <s v="East"/>
    <d v="2025-02-24T00:00:00"/>
    <s v="Contract Terms"/>
    <n v="86080.79"/>
    <n v="16080.36"/>
    <s v="Medium"/>
    <s v="Juan Vargas"/>
    <x v="0"/>
    <n v="97"/>
    <d v="2025-04-02T00:00:00"/>
    <n v="37"/>
    <s v="Payment Adjusted"/>
    <n v="4772.63"/>
  </r>
  <r>
    <s v="DIS-0539"/>
    <s v="INV-1539"/>
    <s v="VND-020"/>
    <s v="GasNetwork"/>
    <s v="Utilities"/>
    <s v="East"/>
    <d v="2024-12-18T00:00:00"/>
    <s v="Damaged Goods"/>
    <n v="6842.56"/>
    <n v="596.84"/>
    <s v="Medium"/>
    <s v="Carlos Mendez"/>
    <x v="0"/>
    <n v="165"/>
    <d v="2025-01-06T00:00:00"/>
    <n v="19"/>
    <s v="Payment Adjusted"/>
    <n v="233.27"/>
  </r>
  <r>
    <s v="DIS-0540"/>
    <s v="INV-1540"/>
    <s v="VND-020"/>
    <s v="GasNetwork"/>
    <s v="Utilities"/>
    <s v="East"/>
    <d v="2025-02-01T00:00:00"/>
    <s v="Duplicate Invoice"/>
    <n v="13568.71"/>
    <n v="828.28"/>
    <s v="Low"/>
    <s v="Marta Lopez"/>
    <x v="3"/>
    <n v="120"/>
    <d v="2025-04-08T00:00:00"/>
    <n v="66"/>
    <s v="Pending"/>
    <n v="0"/>
  </r>
  <r>
    <s v="DIS-0541"/>
    <s v="INV-1541"/>
    <s v="VND-020"/>
    <s v="GasNetwork"/>
    <s v="Utilities"/>
    <s v="East"/>
    <d v="2024-10-06T00:00:00"/>
    <s v="Damaged Goods"/>
    <n v="71208.81"/>
    <n v="5255.41"/>
    <s v="Low"/>
    <s v="Ana Torres"/>
    <x v="0"/>
    <n v="238"/>
    <d v="2024-11-28T00:00:00"/>
    <n v="53"/>
    <s v="Full Credit"/>
    <n v="5255.41"/>
  </r>
  <r>
    <s v="DIS-0542"/>
    <s v="INV-1542"/>
    <s v="VND-020"/>
    <s v="GasNetwork"/>
    <s v="Utilities"/>
    <s v="East"/>
    <d v="2024-10-03T00:00:00"/>
    <s v="Duplicate Invoice"/>
    <n v="22252.36"/>
    <n v="16061.18"/>
    <s v="Medium"/>
    <s v="Ana Torres"/>
    <x v="0"/>
    <n v="241"/>
    <d v="2025-01-12T00:00:00"/>
    <n v="101"/>
    <s v="Payment Adjusted"/>
    <n v="4078.24"/>
  </r>
  <r>
    <s v="DIS-0543"/>
    <s v="INV-1543"/>
    <s v="VND-020"/>
    <s v="GasNetwork"/>
    <s v="Utilities"/>
    <s v="East"/>
    <d v="2024-10-17T00:00:00"/>
    <s v="Contract Terms"/>
    <n v="28480.41"/>
    <n v="22667.599999999999"/>
    <s v="Low"/>
    <s v="Carlos Mendez"/>
    <x v="0"/>
    <n v="227"/>
    <d v="2024-11-15T00:00:00"/>
    <n v="29"/>
    <s v="Partial Credit"/>
    <n v="13801.52"/>
  </r>
  <r>
    <s v="DIS-0544"/>
    <s v="INV-1544"/>
    <s v="VND-020"/>
    <s v="GasNetwork"/>
    <s v="Utilities"/>
    <s v="East"/>
    <d v="2024-12-23T00:00:00"/>
    <s v="Contract Terms"/>
    <n v="93940.45"/>
    <n v="15872.04"/>
    <s v="High"/>
    <s v="Carlos Mendez"/>
    <x v="0"/>
    <n v="160"/>
    <d v="2025-03-17T00:00:00"/>
    <n v="84"/>
    <s v="Full Credit"/>
    <n v="15872.04"/>
  </r>
  <r>
    <s v="DIS-0545"/>
    <s v="INV-1545"/>
    <s v="VND-020"/>
    <s v="GasNetwork"/>
    <s v="Utilities"/>
    <s v="East"/>
    <d v="2024-11-28T00:00:00"/>
    <s v="Price Discrepancy"/>
    <n v="89314.36"/>
    <n v="62318.49"/>
    <s v="Low"/>
    <s v="Luis Herrera"/>
    <x v="0"/>
    <n v="185"/>
    <d v="2025-01-11T00:00:00"/>
    <n v="44"/>
    <s v="Full Credit"/>
    <n v="62318.49"/>
  </r>
  <r>
    <s v="DIS-0546"/>
    <s v="INV-1546"/>
    <s v="VND-020"/>
    <s v="GasNetwork"/>
    <s v="Utilities"/>
    <s v="East"/>
    <d v="2025-01-10T00:00:00"/>
    <s v="Price Discrepancy"/>
    <n v="60546.2"/>
    <n v="21000.83"/>
    <s v="Low"/>
    <s v="Juan Vargas"/>
    <x v="3"/>
    <n v="142"/>
    <d v="2025-02-01T00:00:00"/>
    <n v="22"/>
    <s v="Full Credit"/>
    <n v="21000.83"/>
  </r>
  <r>
    <s v="DIS-0547"/>
    <s v="INV-1547"/>
    <s v="VND-020"/>
    <s v="GasNetwork"/>
    <s v="Utilities"/>
    <s v="East"/>
    <d v="2025-04-16T00:00:00"/>
    <s v="Missing Goods"/>
    <n v="28628.61"/>
    <n v="12165.42"/>
    <s v="High"/>
    <s v="Ana Torres"/>
    <x v="1"/>
    <n v="46"/>
    <m/>
    <m/>
    <s v="Pending"/>
    <n v="0"/>
  </r>
  <r>
    <s v="DIS-0548"/>
    <s v="INV-1548"/>
    <s v="VND-020"/>
    <s v="GasNetwork"/>
    <s v="Utilities"/>
    <s v="East"/>
    <d v="2024-07-05T00:00:00"/>
    <s v="Duplicate Invoice"/>
    <n v="19622.25"/>
    <n v="8874.4599999999991"/>
    <s v="Low"/>
    <s v="Luis Herrera"/>
    <x v="0"/>
    <n v="331"/>
    <d v="2024-09-17T00:00:00"/>
    <n v="74"/>
    <s v="Payment Adjusted"/>
    <n v="3573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9F5CA-12F8-41EB-88FA-ADF7C6925422}" name="PT_Status" cacheId="23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L9:M1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Dispute Amount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BF529-9267-403B-AE06-49E994834655}" name="PT_Priority" cacheId="20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1">
  <location ref="G9:H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pute Amount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56DFA-4D0B-4174-8F8E-DB09B185B4A1}" name="PT_Type" cacheId="17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 chartFormat="2">
  <location ref="B9:C1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7">
        <item x="0"/>
        <item x="4"/>
        <item x="2"/>
        <item x="1"/>
        <item x="5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ispute Amount" fld="9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ispute_type" xr10:uid="{EF484595-01CA-444C-8375-A6B16C0367F4}" sourceName="dispute_type">
  <pivotTables>
    <pivotTable tabId="2" name="PT_Type"/>
  </pivotTables>
  <data>
    <tabular pivotCacheId="1047482129">
      <items count="6">
        <i x="0" s="1"/>
        <i x="4" s="1"/>
        <i x="2" s="1"/>
        <i x="1" s="1"/>
        <i x="5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iority" xr10:uid="{AD43443E-2252-4586-B5E7-D75326A3FDA6}" sourceName="priority">
  <pivotTables>
    <pivotTable tabId="2" name="PT_Priority"/>
  </pivotTables>
  <data>
    <tabular pivotCacheId="359704724">
      <items count="4">
        <i x="2" s="1"/>
        <i x="3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tatus" xr10:uid="{2715F2F6-E8A8-4F13-839C-6EFB17F4E507}" sourceName="status">
  <pivotTables>
    <pivotTable tabId="2" name="PT_Status"/>
  </pivotTables>
  <data>
    <tabular pivotCacheId="720823352">
      <items count="5">
        <i x="2" s="1"/>
        <i x="3" s="1"/>
        <i x="4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ypeSlicer" xr10:uid="{7BAFEF47-59D1-4E46-9F19-E1B82D432BE4}" cache="SegmentaciónDeDatos_dispute_type" caption="TypeSlicer" rowHeight="241300"/>
  <slicer name="PrioritySlicer" xr10:uid="{FEAA7A64-D62A-4E01-9C4B-F9374E6A88C7}" cache="SegmentaciónDeDatos_priority" caption="PrioritySlicer" rowHeight="241300"/>
  <slicer name="StatusSlicer" xr10:uid="{B695C300-4908-424B-BE86-F3931EAFB79C}" cache="SegmentaciónDeDatos_status" caption="StatusSlicer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5D54B-1364-4252-9005-DDBFABB22D60}" name="DisputeData" displayName="DisputeData" ref="A1:R549" totalsRowShown="0">
  <autoFilter ref="A1:R549" xr:uid="{9C35D54B-1364-4252-9005-DDBFABB22D60}"/>
  <tableColumns count="18">
    <tableColumn id="1" xr3:uid="{B9CF7FC9-807E-4C8A-821A-4B6E1ADC022A}" name="dispute_id"/>
    <tableColumn id="2" xr3:uid="{9E535990-C332-47BE-BD0B-32970C2A56BF}" name="invoice_id"/>
    <tableColumn id="3" xr3:uid="{B97EC10F-A122-4D56-B16B-6C23CE857C31}" name="vendor_id"/>
    <tableColumn id="4" xr3:uid="{EE845239-EF87-4E06-A738-7DE2384A8A20}" name="vendor_name"/>
    <tableColumn id="5" xr3:uid="{978676CD-808E-4C13-8860-E73411382FA5}" name="vendor_category"/>
    <tableColumn id="6" xr3:uid="{58A524A2-5165-43D1-AFC1-C7F74B06F64F}" name="region"/>
    <tableColumn id="7" xr3:uid="{7A0D0979-15AE-47F7-AB1E-C7DC77A83958}" name="dispute_date" dataDxfId="1"/>
    <tableColumn id="8" xr3:uid="{99BC110A-5B65-4A15-9A95-60F86893102F}" name="dispute_type"/>
    <tableColumn id="9" xr3:uid="{3E7867D6-C796-446F-813F-7CA219BE25B0}" name="invoice_amount"/>
    <tableColumn id="10" xr3:uid="{DF0161A6-E95B-473F-BE69-CBBDFE8CF379}" name="dispute_amount"/>
    <tableColumn id="11" xr3:uid="{C60BA530-06BC-43B3-B1A3-213C266B42AC}" name="priority"/>
    <tableColumn id="12" xr3:uid="{9784A162-BBF4-495B-BFE3-74ABC0D29D6E}" name="assigned_to"/>
    <tableColumn id="13" xr3:uid="{3F25B43B-738B-4AFA-8B56-2C69A8A6D129}" name="status"/>
    <tableColumn id="14" xr3:uid="{9167F5A0-DFD5-49BC-9BD4-DDCA227A1A60}" name="days_open"/>
    <tableColumn id="15" xr3:uid="{BE571019-3ECB-4A57-AF73-5CD9EB8B9F0D}" name="resolution_date" dataDxfId="0"/>
    <tableColumn id="16" xr3:uid="{F1CEF10E-9D27-498F-89B5-4A90E374D0D3}" name="resolution_days"/>
    <tableColumn id="17" xr3:uid="{0D3BC903-835B-4A1E-8718-E935E4E5E93D}" name="resolution_outcome"/>
    <tableColumn id="18" xr3:uid="{05F4635E-C71F-40EB-9F1E-580DDA84508C}" name="credit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E985-3681-4828-ABA6-CA039EB5ABAD}">
  <sheetPr>
    <tabColor rgb="FF1F3864"/>
  </sheetPr>
  <dimension ref="B2:P16"/>
  <sheetViews>
    <sheetView tabSelected="1" topLeftCell="B2" workbookViewId="0">
      <selection activeCell="B2" sqref="B2:P16"/>
    </sheetView>
  </sheetViews>
  <sheetFormatPr baseColWidth="10" defaultRowHeight="15" x14ac:dyDescent="0.25"/>
  <cols>
    <col min="2" max="2" width="17.5703125" bestFit="1" customWidth="1"/>
    <col min="3" max="3" width="15.42578125" bestFit="1" customWidth="1"/>
    <col min="6" max="6" width="12.7109375" bestFit="1" customWidth="1"/>
    <col min="7" max="7" width="17.5703125" bestFit="1" customWidth="1"/>
    <col min="8" max="8" width="15.42578125" bestFit="1" customWidth="1"/>
    <col min="12" max="12" width="17.5703125" bestFit="1" customWidth="1"/>
    <col min="13" max="13" width="15.42578125" bestFit="1" customWidth="1"/>
  </cols>
  <sheetData>
    <row r="2" spans="2:16" ht="42" customHeight="1" x14ac:dyDescent="0.25">
      <c r="B2" s="9" t="s">
        <v>1192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4" spans="2:16" x14ac:dyDescent="0.25">
      <c r="B4" t="s">
        <v>1193</v>
      </c>
      <c r="F4" t="s">
        <v>1194</v>
      </c>
      <c r="J4" t="s">
        <v>1195</v>
      </c>
      <c r="N4" t="s">
        <v>1196</v>
      </c>
    </row>
    <row r="5" spans="2:16" ht="32.1" customHeight="1" x14ac:dyDescent="0.25">
      <c r="B5" s="5">
        <f>COUNTIF(DisputeData[status],"Open")+COUNTIF(DisputeData[status],"In Progress")+COUNTIF(DisputeData[status],"Escalated")</f>
        <v>158</v>
      </c>
      <c r="F5" s="6">
        <f>SUMIF(DisputeData[status],"Open",DisputeData[dispute_amount])+SUMIF(DisputeData[status],"In Progress",DisputeData[dispute_amount])+SUMIF(DisputeData[status],"Escalated",DisputeData[dispute_amount])</f>
        <v>3431644.42</v>
      </c>
      <c r="J5" s="7">
        <f>IFERROR(AVERAGEIF(DisputeData[resolution_days],"&gt;0",DisputeData[resolution_days]),0)</f>
        <v>56.788336933045358</v>
      </c>
      <c r="N5" s="8">
        <f>IFERROR(COUNTIF(DisputeData[status],"Escalated")/COUNTA(DisputeData[dispute_id]),0)</f>
        <v>0.13321167883211679</v>
      </c>
    </row>
    <row r="6" spans="2:16" x14ac:dyDescent="0.25">
      <c r="B6" t="s">
        <v>1197</v>
      </c>
      <c r="F6" t="s">
        <v>1198</v>
      </c>
      <c r="J6" t="s">
        <v>1199</v>
      </c>
      <c r="N6" t="s">
        <v>1200</v>
      </c>
    </row>
    <row r="8" spans="2:16" x14ac:dyDescent="0.25">
      <c r="B8" t="s">
        <v>1201</v>
      </c>
      <c r="G8" t="s">
        <v>1202</v>
      </c>
      <c r="L8" t="s">
        <v>1203</v>
      </c>
    </row>
    <row r="9" spans="2:16" x14ac:dyDescent="0.25">
      <c r="B9" s="2" t="s">
        <v>1204</v>
      </c>
      <c r="C9" t="s">
        <v>1206</v>
      </c>
      <c r="G9" s="2" t="s">
        <v>1204</v>
      </c>
      <c r="H9" t="s">
        <v>1206</v>
      </c>
      <c r="L9" s="2" t="s">
        <v>1204</v>
      </c>
      <c r="M9" t="s">
        <v>1206</v>
      </c>
    </row>
    <row r="10" spans="2:16" x14ac:dyDescent="0.25">
      <c r="B10" s="3" t="s">
        <v>24</v>
      </c>
      <c r="C10" s="4">
        <v>2288678.31</v>
      </c>
      <c r="G10" s="3" t="s">
        <v>56</v>
      </c>
      <c r="H10" s="4">
        <v>785850.57000000007</v>
      </c>
      <c r="L10" s="3" t="s">
        <v>42</v>
      </c>
      <c r="M10" s="4">
        <v>2325010.6200000006</v>
      </c>
    </row>
    <row r="11" spans="2:16" x14ac:dyDescent="0.25">
      <c r="B11" s="3" t="s">
        <v>66</v>
      </c>
      <c r="C11" s="4">
        <v>2150559.34</v>
      </c>
      <c r="G11" s="3" t="s">
        <v>86</v>
      </c>
      <c r="H11" s="4">
        <v>2934327.5500000012</v>
      </c>
      <c r="L11" s="3" t="s">
        <v>47</v>
      </c>
      <c r="M11" s="4">
        <v>1379459.66</v>
      </c>
    </row>
    <row r="12" spans="2:16" x14ac:dyDescent="0.25">
      <c r="B12" s="3" t="s">
        <v>51</v>
      </c>
      <c r="C12" s="4">
        <v>1648672.47</v>
      </c>
      <c r="G12" s="3" t="s">
        <v>25</v>
      </c>
      <c r="H12" s="4">
        <v>3039403.6</v>
      </c>
      <c r="L12" s="3" t="s">
        <v>53</v>
      </c>
      <c r="M12" s="4">
        <v>942005.49000000022</v>
      </c>
    </row>
    <row r="13" spans="2:16" x14ac:dyDescent="0.25">
      <c r="B13" s="3" t="s">
        <v>35</v>
      </c>
      <c r="C13" s="4">
        <v>2018906.1699999995</v>
      </c>
      <c r="G13" s="3" t="s">
        <v>31</v>
      </c>
      <c r="H13" s="4">
        <v>5138834.9000000013</v>
      </c>
      <c r="L13" s="3" t="s">
        <v>37</v>
      </c>
      <c r="M13" s="4">
        <v>1110179.27</v>
      </c>
    </row>
    <row r="14" spans="2:16" x14ac:dyDescent="0.25">
      <c r="B14" s="3" t="s">
        <v>77</v>
      </c>
      <c r="C14" s="4">
        <v>1601750.6800000002</v>
      </c>
      <c r="G14" s="3" t="s">
        <v>1205</v>
      </c>
      <c r="H14" s="4">
        <v>11898416.620000001</v>
      </c>
      <c r="L14" s="3" t="s">
        <v>27</v>
      </c>
      <c r="M14" s="4">
        <v>6141761.5799999982</v>
      </c>
    </row>
    <row r="15" spans="2:16" x14ac:dyDescent="0.25">
      <c r="B15" s="3" t="s">
        <v>59</v>
      </c>
      <c r="C15" s="4">
        <v>2189849.6499999994</v>
      </c>
      <c r="L15" s="3" t="s">
        <v>1205</v>
      </c>
      <c r="M15" s="4">
        <v>11898416.619999999</v>
      </c>
    </row>
    <row r="16" spans="2:16" x14ac:dyDescent="0.25">
      <c r="B16" s="3" t="s">
        <v>1205</v>
      </c>
      <c r="C16" s="4">
        <v>11898416.619999997</v>
      </c>
    </row>
  </sheetData>
  <mergeCells count="1">
    <mergeCell ref="B2:P2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9CDAE-864D-4875-AA38-B11C9A482CD8}">
  <sheetPr>
    <tabColor rgb="FF808080"/>
  </sheetPr>
  <dimension ref="A1:R549"/>
  <sheetViews>
    <sheetView workbookViewId="0"/>
  </sheetViews>
  <sheetFormatPr baseColWidth="10" defaultRowHeight="15" x14ac:dyDescent="0.25"/>
  <cols>
    <col min="1" max="1" width="12.7109375" bestFit="1" customWidth="1"/>
    <col min="2" max="2" width="12.42578125" bestFit="1" customWidth="1"/>
    <col min="3" max="3" width="12.28515625" bestFit="1" customWidth="1"/>
    <col min="4" max="4" width="19.28515625" bestFit="1" customWidth="1"/>
    <col min="5" max="5" width="18.140625" bestFit="1" customWidth="1"/>
    <col min="6" max="6" width="9" bestFit="1" customWidth="1"/>
    <col min="7" max="7" width="15" bestFit="1" customWidth="1"/>
    <col min="8" max="8" width="16.5703125" bestFit="1" customWidth="1"/>
    <col min="9" max="9" width="17.5703125" bestFit="1" customWidth="1"/>
    <col min="10" max="10" width="17.85546875" bestFit="1" customWidth="1"/>
    <col min="11" max="11" width="9.85546875" bestFit="1" customWidth="1"/>
    <col min="12" max="12" width="14.7109375" bestFit="1" customWidth="1"/>
    <col min="13" max="13" width="10.7109375" bestFit="1" customWidth="1"/>
    <col min="14" max="14" width="12.85546875" bestFit="1" customWidth="1"/>
    <col min="15" max="16" width="17.42578125" bestFit="1" customWidth="1"/>
    <col min="17" max="17" width="21.42578125" bestFit="1" customWidth="1"/>
    <col min="18" max="18" width="16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45668</v>
      </c>
      <c r="H2" t="s">
        <v>24</v>
      </c>
      <c r="I2">
        <v>28264.73</v>
      </c>
      <c r="J2">
        <v>4371.24</v>
      </c>
      <c r="K2" t="s">
        <v>25</v>
      </c>
      <c r="L2" t="s">
        <v>26</v>
      </c>
      <c r="M2" t="s">
        <v>27</v>
      </c>
      <c r="N2">
        <v>141</v>
      </c>
      <c r="O2" s="1">
        <v>45675</v>
      </c>
      <c r="P2">
        <v>7</v>
      </c>
      <c r="Q2" t="s">
        <v>28</v>
      </c>
      <c r="R2">
        <v>4371.24</v>
      </c>
    </row>
    <row r="3" spans="1:18" x14ac:dyDescent="0.25">
      <c r="A3" t="s">
        <v>29</v>
      </c>
      <c r="B3" t="s">
        <v>30</v>
      </c>
      <c r="C3" t="s">
        <v>20</v>
      </c>
      <c r="D3" t="s">
        <v>21</v>
      </c>
      <c r="E3" t="s">
        <v>22</v>
      </c>
      <c r="F3" t="s">
        <v>23</v>
      </c>
      <c r="G3" s="1">
        <v>45697</v>
      </c>
      <c r="H3" t="s">
        <v>24</v>
      </c>
      <c r="I3">
        <v>27102.78</v>
      </c>
      <c r="J3">
        <v>13592.42</v>
      </c>
      <c r="K3" t="s">
        <v>31</v>
      </c>
      <c r="L3" t="s">
        <v>32</v>
      </c>
      <c r="M3" t="s">
        <v>27</v>
      </c>
      <c r="N3">
        <v>112</v>
      </c>
      <c r="O3" s="1">
        <v>45775</v>
      </c>
      <c r="P3">
        <v>78</v>
      </c>
      <c r="Q3" t="s">
        <v>28</v>
      </c>
      <c r="R3">
        <v>13592.42</v>
      </c>
    </row>
    <row r="4" spans="1:18" x14ac:dyDescent="0.25">
      <c r="A4" t="s">
        <v>33</v>
      </c>
      <c r="B4" t="s">
        <v>34</v>
      </c>
      <c r="C4" t="s">
        <v>20</v>
      </c>
      <c r="D4" t="s">
        <v>21</v>
      </c>
      <c r="E4" t="s">
        <v>22</v>
      </c>
      <c r="F4" t="s">
        <v>23</v>
      </c>
      <c r="G4" s="1">
        <v>45805</v>
      </c>
      <c r="H4" t="s">
        <v>35</v>
      </c>
      <c r="I4">
        <v>77086.7</v>
      </c>
      <c r="J4">
        <v>13085.04</v>
      </c>
      <c r="K4" t="s">
        <v>31</v>
      </c>
      <c r="L4" t="s">
        <v>36</v>
      </c>
      <c r="M4" t="s">
        <v>37</v>
      </c>
      <c r="N4">
        <v>4</v>
      </c>
      <c r="Q4" t="s">
        <v>38</v>
      </c>
      <c r="R4">
        <v>0</v>
      </c>
    </row>
    <row r="5" spans="1:18" x14ac:dyDescent="0.25">
      <c r="A5" t="s">
        <v>39</v>
      </c>
      <c r="B5" t="s">
        <v>40</v>
      </c>
      <c r="C5" t="s">
        <v>20</v>
      </c>
      <c r="D5" t="s">
        <v>21</v>
      </c>
      <c r="E5" t="s">
        <v>22</v>
      </c>
      <c r="F5" t="s">
        <v>23</v>
      </c>
      <c r="G5" s="1">
        <v>45636</v>
      </c>
      <c r="H5" t="s">
        <v>35</v>
      </c>
      <c r="I5">
        <v>14709.98</v>
      </c>
      <c r="J5">
        <v>4927.04</v>
      </c>
      <c r="K5" t="s">
        <v>31</v>
      </c>
      <c r="L5" t="s">
        <v>41</v>
      </c>
      <c r="M5" t="s">
        <v>42</v>
      </c>
      <c r="N5">
        <v>173</v>
      </c>
      <c r="O5" s="1">
        <v>45732</v>
      </c>
      <c r="P5">
        <v>96</v>
      </c>
      <c r="Q5" t="s">
        <v>43</v>
      </c>
      <c r="R5">
        <v>1354.42</v>
      </c>
    </row>
    <row r="6" spans="1:18" x14ac:dyDescent="0.25">
      <c r="A6" t="s">
        <v>44</v>
      </c>
      <c r="B6" t="s">
        <v>45</v>
      </c>
      <c r="C6" t="s">
        <v>20</v>
      </c>
      <c r="D6" t="s">
        <v>21</v>
      </c>
      <c r="E6" t="s">
        <v>22</v>
      </c>
      <c r="F6" t="s">
        <v>23</v>
      </c>
      <c r="G6" s="1">
        <v>45615</v>
      </c>
      <c r="H6" t="s">
        <v>35</v>
      </c>
      <c r="I6">
        <v>12486.02</v>
      </c>
      <c r="J6">
        <v>3369.77</v>
      </c>
      <c r="K6" t="s">
        <v>31</v>
      </c>
      <c r="L6" t="s">
        <v>46</v>
      </c>
      <c r="M6" t="s">
        <v>47</v>
      </c>
      <c r="N6">
        <v>194</v>
      </c>
      <c r="O6" s="1">
        <v>45623</v>
      </c>
      <c r="P6">
        <v>8</v>
      </c>
      <c r="Q6" t="s">
        <v>48</v>
      </c>
      <c r="R6">
        <v>1379</v>
      </c>
    </row>
    <row r="7" spans="1:18" x14ac:dyDescent="0.25">
      <c r="A7" t="s">
        <v>49</v>
      </c>
      <c r="B7" t="s">
        <v>50</v>
      </c>
      <c r="C7" t="s">
        <v>20</v>
      </c>
      <c r="D7" t="s">
        <v>21</v>
      </c>
      <c r="E7" t="s">
        <v>22</v>
      </c>
      <c r="F7" t="s">
        <v>23</v>
      </c>
      <c r="G7" s="1">
        <v>45768</v>
      </c>
      <c r="H7" t="s">
        <v>51</v>
      </c>
      <c r="I7">
        <v>86255.18</v>
      </c>
      <c r="J7">
        <v>60366.79</v>
      </c>
      <c r="K7" t="s">
        <v>31</v>
      </c>
      <c r="L7" t="s">
        <v>52</v>
      </c>
      <c r="M7" t="s">
        <v>53</v>
      </c>
      <c r="N7">
        <v>41</v>
      </c>
      <c r="Q7" t="s">
        <v>38</v>
      </c>
      <c r="R7">
        <v>0</v>
      </c>
    </row>
    <row r="8" spans="1:18" x14ac:dyDescent="0.25">
      <c r="A8" t="s">
        <v>54</v>
      </c>
      <c r="B8" t="s">
        <v>55</v>
      </c>
      <c r="C8" t="s">
        <v>20</v>
      </c>
      <c r="D8" t="s">
        <v>21</v>
      </c>
      <c r="E8" t="s">
        <v>22</v>
      </c>
      <c r="F8" t="s">
        <v>23</v>
      </c>
      <c r="G8" s="1">
        <v>45627</v>
      </c>
      <c r="H8" t="s">
        <v>24</v>
      </c>
      <c r="I8">
        <v>24903.17</v>
      </c>
      <c r="J8">
        <v>6231.6</v>
      </c>
      <c r="K8" t="s">
        <v>56</v>
      </c>
      <c r="L8" t="s">
        <v>26</v>
      </c>
      <c r="M8" t="s">
        <v>27</v>
      </c>
      <c r="N8">
        <v>182</v>
      </c>
      <c r="O8" s="1">
        <v>45651</v>
      </c>
      <c r="P8">
        <v>24</v>
      </c>
      <c r="Q8" t="s">
        <v>43</v>
      </c>
      <c r="R8">
        <v>2161.66</v>
      </c>
    </row>
    <row r="9" spans="1:18" x14ac:dyDescent="0.25">
      <c r="A9" t="s">
        <v>57</v>
      </c>
      <c r="B9" t="s">
        <v>58</v>
      </c>
      <c r="C9" t="s">
        <v>20</v>
      </c>
      <c r="D9" t="s">
        <v>21</v>
      </c>
      <c r="E9" t="s">
        <v>22</v>
      </c>
      <c r="F9" t="s">
        <v>23</v>
      </c>
      <c r="G9" s="1">
        <v>45572</v>
      </c>
      <c r="H9" t="s">
        <v>59</v>
      </c>
      <c r="I9">
        <v>41048.269999999997</v>
      </c>
      <c r="J9">
        <v>32516.080000000002</v>
      </c>
      <c r="K9" t="s">
        <v>31</v>
      </c>
      <c r="L9" t="s">
        <v>46</v>
      </c>
      <c r="M9" t="s">
        <v>47</v>
      </c>
      <c r="N9">
        <v>237</v>
      </c>
      <c r="O9" s="1">
        <v>45682</v>
      </c>
      <c r="P9">
        <v>110</v>
      </c>
      <c r="Q9" t="s">
        <v>48</v>
      </c>
      <c r="R9">
        <v>3979.16</v>
      </c>
    </row>
    <row r="10" spans="1:18" x14ac:dyDescent="0.25">
      <c r="A10" t="s">
        <v>60</v>
      </c>
      <c r="B10" t="s">
        <v>61</v>
      </c>
      <c r="C10" t="s">
        <v>20</v>
      </c>
      <c r="D10" t="s">
        <v>21</v>
      </c>
      <c r="E10" t="s">
        <v>22</v>
      </c>
      <c r="F10" t="s">
        <v>23</v>
      </c>
      <c r="G10" s="1">
        <v>45792</v>
      </c>
      <c r="H10" t="s">
        <v>59</v>
      </c>
      <c r="I10">
        <v>81479.350000000006</v>
      </c>
      <c r="J10">
        <v>28588.95</v>
      </c>
      <c r="K10" t="s">
        <v>25</v>
      </c>
      <c r="L10" t="s">
        <v>52</v>
      </c>
      <c r="M10" t="s">
        <v>37</v>
      </c>
      <c r="N10">
        <v>17</v>
      </c>
      <c r="Q10" t="s">
        <v>38</v>
      </c>
      <c r="R10">
        <v>0</v>
      </c>
    </row>
    <row r="11" spans="1:18" x14ac:dyDescent="0.25">
      <c r="A11" t="s">
        <v>62</v>
      </c>
      <c r="B11" t="s">
        <v>63</v>
      </c>
      <c r="C11" t="s">
        <v>20</v>
      </c>
      <c r="D11" t="s">
        <v>21</v>
      </c>
      <c r="E11" t="s">
        <v>22</v>
      </c>
      <c r="F11" t="s">
        <v>23</v>
      </c>
      <c r="G11" s="1">
        <v>45553</v>
      </c>
      <c r="H11" t="s">
        <v>35</v>
      </c>
      <c r="I11">
        <v>42585.03</v>
      </c>
      <c r="J11">
        <v>31338.78</v>
      </c>
      <c r="K11" t="s">
        <v>31</v>
      </c>
      <c r="L11" t="s">
        <v>36</v>
      </c>
      <c r="M11" t="s">
        <v>27</v>
      </c>
      <c r="N11">
        <v>256</v>
      </c>
      <c r="O11" s="1">
        <v>45627</v>
      </c>
      <c r="P11">
        <v>74</v>
      </c>
      <c r="Q11" t="s">
        <v>43</v>
      </c>
      <c r="R11">
        <v>20314.060000000001</v>
      </c>
    </row>
    <row r="12" spans="1:18" x14ac:dyDescent="0.25">
      <c r="A12" t="s">
        <v>64</v>
      </c>
      <c r="B12" t="s">
        <v>65</v>
      </c>
      <c r="C12" t="s">
        <v>20</v>
      </c>
      <c r="D12" t="s">
        <v>21</v>
      </c>
      <c r="E12" t="s">
        <v>22</v>
      </c>
      <c r="F12" t="s">
        <v>23</v>
      </c>
      <c r="G12" s="1">
        <v>45589</v>
      </c>
      <c r="H12" t="s">
        <v>66</v>
      </c>
      <c r="I12">
        <v>90293.17</v>
      </c>
      <c r="J12">
        <v>31562.01</v>
      </c>
      <c r="K12" t="s">
        <v>25</v>
      </c>
      <c r="L12" t="s">
        <v>67</v>
      </c>
      <c r="M12" t="s">
        <v>53</v>
      </c>
      <c r="N12">
        <v>220</v>
      </c>
      <c r="Q12" t="s">
        <v>38</v>
      </c>
      <c r="R12">
        <v>0</v>
      </c>
    </row>
    <row r="13" spans="1:18" x14ac:dyDescent="0.25">
      <c r="A13" t="s">
        <v>68</v>
      </c>
      <c r="B13" t="s">
        <v>69</v>
      </c>
      <c r="C13" t="s">
        <v>20</v>
      </c>
      <c r="D13" t="s">
        <v>21</v>
      </c>
      <c r="E13" t="s">
        <v>22</v>
      </c>
      <c r="F13" t="s">
        <v>23</v>
      </c>
      <c r="G13" s="1">
        <v>45784</v>
      </c>
      <c r="H13" t="s">
        <v>24</v>
      </c>
      <c r="I13">
        <v>86804.78</v>
      </c>
      <c r="J13">
        <v>14290.76</v>
      </c>
      <c r="K13" t="s">
        <v>25</v>
      </c>
      <c r="L13" t="s">
        <v>32</v>
      </c>
      <c r="M13" t="s">
        <v>53</v>
      </c>
      <c r="N13">
        <v>25</v>
      </c>
      <c r="Q13" t="s">
        <v>38</v>
      </c>
      <c r="R13">
        <v>0</v>
      </c>
    </row>
    <row r="14" spans="1:18" x14ac:dyDescent="0.25">
      <c r="A14" t="s">
        <v>70</v>
      </c>
      <c r="B14" t="s">
        <v>71</v>
      </c>
      <c r="C14" t="s">
        <v>20</v>
      </c>
      <c r="D14" t="s">
        <v>21</v>
      </c>
      <c r="E14" t="s">
        <v>22</v>
      </c>
      <c r="F14" t="s">
        <v>23</v>
      </c>
      <c r="G14" s="1">
        <v>45611</v>
      </c>
      <c r="H14" t="s">
        <v>59</v>
      </c>
      <c r="I14">
        <v>41253.83</v>
      </c>
      <c r="J14">
        <v>32883.06</v>
      </c>
      <c r="K14" t="s">
        <v>31</v>
      </c>
      <c r="L14" t="s">
        <v>72</v>
      </c>
      <c r="M14" t="s">
        <v>47</v>
      </c>
      <c r="N14">
        <v>198</v>
      </c>
      <c r="O14" s="1">
        <v>45628</v>
      </c>
      <c r="P14">
        <v>17</v>
      </c>
      <c r="Q14" t="s">
        <v>48</v>
      </c>
      <c r="R14">
        <v>10351.200000000001</v>
      </c>
    </row>
    <row r="15" spans="1:18" x14ac:dyDescent="0.25">
      <c r="A15" t="s">
        <v>73</v>
      </c>
      <c r="B15" t="s">
        <v>74</v>
      </c>
      <c r="C15" t="s">
        <v>20</v>
      </c>
      <c r="D15" t="s">
        <v>21</v>
      </c>
      <c r="E15" t="s">
        <v>22</v>
      </c>
      <c r="F15" t="s">
        <v>23</v>
      </c>
      <c r="G15" s="1">
        <v>45672</v>
      </c>
      <c r="H15" t="s">
        <v>66</v>
      </c>
      <c r="I15">
        <v>78016.88</v>
      </c>
      <c r="J15">
        <v>23805.42</v>
      </c>
      <c r="K15" t="s">
        <v>31</v>
      </c>
      <c r="L15" t="s">
        <v>67</v>
      </c>
      <c r="M15" t="s">
        <v>37</v>
      </c>
      <c r="N15">
        <v>137</v>
      </c>
      <c r="Q15" t="s">
        <v>38</v>
      </c>
      <c r="R15">
        <v>0</v>
      </c>
    </row>
    <row r="16" spans="1:18" x14ac:dyDescent="0.25">
      <c r="A16" t="s">
        <v>75</v>
      </c>
      <c r="B16" t="s">
        <v>76</v>
      </c>
      <c r="C16" t="s">
        <v>20</v>
      </c>
      <c r="D16" t="s">
        <v>21</v>
      </c>
      <c r="E16" t="s">
        <v>22</v>
      </c>
      <c r="F16" t="s">
        <v>23</v>
      </c>
      <c r="G16" s="1">
        <v>45674</v>
      </c>
      <c r="H16" t="s">
        <v>77</v>
      </c>
      <c r="I16">
        <v>97329.37</v>
      </c>
      <c r="J16">
        <v>60487.44</v>
      </c>
      <c r="K16" t="s">
        <v>31</v>
      </c>
      <c r="L16" t="s">
        <v>41</v>
      </c>
      <c r="M16" t="s">
        <v>42</v>
      </c>
      <c r="N16">
        <v>135</v>
      </c>
      <c r="O16" s="1">
        <v>45741</v>
      </c>
      <c r="P16">
        <v>67</v>
      </c>
      <c r="Q16" t="s">
        <v>43</v>
      </c>
      <c r="R16">
        <v>17644.400000000001</v>
      </c>
    </row>
    <row r="17" spans="1:18" x14ac:dyDescent="0.25">
      <c r="A17" t="s">
        <v>78</v>
      </c>
      <c r="B17" t="s">
        <v>79</v>
      </c>
      <c r="C17" t="s">
        <v>20</v>
      </c>
      <c r="D17" t="s">
        <v>21</v>
      </c>
      <c r="E17" t="s">
        <v>22</v>
      </c>
      <c r="F17" t="s">
        <v>23</v>
      </c>
      <c r="G17" s="1">
        <v>45726</v>
      </c>
      <c r="H17" t="s">
        <v>77</v>
      </c>
      <c r="I17">
        <v>56241.01</v>
      </c>
      <c r="J17">
        <v>35655.11</v>
      </c>
      <c r="K17" t="s">
        <v>31</v>
      </c>
      <c r="L17" t="s">
        <v>52</v>
      </c>
      <c r="M17" t="s">
        <v>27</v>
      </c>
      <c r="N17">
        <v>83</v>
      </c>
      <c r="O17" s="1">
        <v>45743</v>
      </c>
      <c r="P17">
        <v>17</v>
      </c>
      <c r="Q17" t="s">
        <v>38</v>
      </c>
      <c r="R17">
        <v>0</v>
      </c>
    </row>
    <row r="18" spans="1:18" x14ac:dyDescent="0.25">
      <c r="A18" t="s">
        <v>80</v>
      </c>
      <c r="B18" t="s">
        <v>81</v>
      </c>
      <c r="C18" t="s">
        <v>20</v>
      </c>
      <c r="D18" t="s">
        <v>21</v>
      </c>
      <c r="E18" t="s">
        <v>22</v>
      </c>
      <c r="F18" t="s">
        <v>23</v>
      </c>
      <c r="G18" s="1">
        <v>45651</v>
      </c>
      <c r="H18" t="s">
        <v>77</v>
      </c>
      <c r="I18">
        <v>27747.97</v>
      </c>
      <c r="J18">
        <v>6400.17</v>
      </c>
      <c r="K18" t="s">
        <v>31</v>
      </c>
      <c r="L18" t="s">
        <v>26</v>
      </c>
      <c r="M18" t="s">
        <v>47</v>
      </c>
      <c r="N18">
        <v>158</v>
      </c>
      <c r="O18" s="1">
        <v>45758</v>
      </c>
      <c r="P18">
        <v>107</v>
      </c>
      <c r="Q18" t="s">
        <v>28</v>
      </c>
      <c r="R18">
        <v>6400.17</v>
      </c>
    </row>
    <row r="19" spans="1:18" x14ac:dyDescent="0.25">
      <c r="A19" t="s">
        <v>82</v>
      </c>
      <c r="B19" t="s">
        <v>83</v>
      </c>
      <c r="C19" t="s">
        <v>20</v>
      </c>
      <c r="D19" t="s">
        <v>21</v>
      </c>
      <c r="E19" t="s">
        <v>22</v>
      </c>
      <c r="F19" t="s">
        <v>23</v>
      </c>
      <c r="G19" s="1">
        <v>45536</v>
      </c>
      <c r="H19" t="s">
        <v>59</v>
      </c>
      <c r="I19">
        <v>77754.27</v>
      </c>
      <c r="J19">
        <v>11374.95</v>
      </c>
      <c r="K19" t="s">
        <v>31</v>
      </c>
      <c r="L19" t="s">
        <v>36</v>
      </c>
      <c r="M19" t="s">
        <v>27</v>
      </c>
      <c r="N19">
        <v>273</v>
      </c>
      <c r="O19" s="1">
        <v>45650</v>
      </c>
      <c r="P19">
        <v>114</v>
      </c>
      <c r="Q19" t="s">
        <v>43</v>
      </c>
      <c r="R19">
        <v>8856.74</v>
      </c>
    </row>
    <row r="20" spans="1:18" x14ac:dyDescent="0.25">
      <c r="A20" t="s">
        <v>84</v>
      </c>
      <c r="B20" t="s">
        <v>85</v>
      </c>
      <c r="C20" t="s">
        <v>20</v>
      </c>
      <c r="D20" t="s">
        <v>21</v>
      </c>
      <c r="E20" t="s">
        <v>22</v>
      </c>
      <c r="F20" t="s">
        <v>23</v>
      </c>
      <c r="G20" s="1">
        <v>45532</v>
      </c>
      <c r="H20" t="s">
        <v>51</v>
      </c>
      <c r="I20">
        <v>76750.19</v>
      </c>
      <c r="J20">
        <v>43548.11</v>
      </c>
      <c r="K20" t="s">
        <v>86</v>
      </c>
      <c r="L20" t="s">
        <v>52</v>
      </c>
      <c r="M20" t="s">
        <v>27</v>
      </c>
      <c r="N20">
        <v>277</v>
      </c>
      <c r="O20" s="1">
        <v>45601</v>
      </c>
      <c r="P20">
        <v>69</v>
      </c>
      <c r="Q20" t="s">
        <v>43</v>
      </c>
      <c r="R20">
        <v>15187.11</v>
      </c>
    </row>
    <row r="21" spans="1:18" x14ac:dyDescent="0.25">
      <c r="A21" t="s">
        <v>87</v>
      </c>
      <c r="B21" t="s">
        <v>88</v>
      </c>
      <c r="C21" t="s">
        <v>20</v>
      </c>
      <c r="D21" t="s">
        <v>21</v>
      </c>
      <c r="E21" t="s">
        <v>22</v>
      </c>
      <c r="F21" t="s">
        <v>23</v>
      </c>
      <c r="G21" s="1">
        <v>45776</v>
      </c>
      <c r="H21" t="s">
        <v>66</v>
      </c>
      <c r="I21">
        <v>37118.129999999997</v>
      </c>
      <c r="J21">
        <v>18233.599999999999</v>
      </c>
      <c r="K21" t="s">
        <v>25</v>
      </c>
      <c r="L21" t="s">
        <v>72</v>
      </c>
      <c r="M21" t="s">
        <v>37</v>
      </c>
      <c r="N21">
        <v>33</v>
      </c>
      <c r="Q21" t="s">
        <v>38</v>
      </c>
      <c r="R21">
        <v>0</v>
      </c>
    </row>
    <row r="22" spans="1:18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  <c r="F22" t="s">
        <v>23</v>
      </c>
      <c r="G22" s="1">
        <v>45774</v>
      </c>
      <c r="H22" t="s">
        <v>66</v>
      </c>
      <c r="I22">
        <v>91014.9</v>
      </c>
      <c r="J22">
        <v>63230.47</v>
      </c>
      <c r="K22" t="s">
        <v>25</v>
      </c>
      <c r="L22" t="s">
        <v>41</v>
      </c>
      <c r="M22" t="s">
        <v>27</v>
      </c>
      <c r="N22">
        <v>35</v>
      </c>
      <c r="O22" s="1">
        <v>45790</v>
      </c>
      <c r="P22">
        <v>16</v>
      </c>
      <c r="Q22" t="s">
        <v>43</v>
      </c>
      <c r="R22">
        <v>40088.85</v>
      </c>
    </row>
    <row r="23" spans="1:18" x14ac:dyDescent="0.25">
      <c r="A23" t="s">
        <v>94</v>
      </c>
      <c r="B23" t="s">
        <v>95</v>
      </c>
      <c r="C23" t="s">
        <v>91</v>
      </c>
      <c r="D23" t="s">
        <v>92</v>
      </c>
      <c r="E23" t="s">
        <v>93</v>
      </c>
      <c r="F23" t="s">
        <v>23</v>
      </c>
      <c r="G23" s="1">
        <v>45516</v>
      </c>
      <c r="H23" t="s">
        <v>51</v>
      </c>
      <c r="I23">
        <v>59740.11</v>
      </c>
      <c r="J23">
        <v>13874.52</v>
      </c>
      <c r="K23" t="s">
        <v>31</v>
      </c>
      <c r="L23" t="s">
        <v>46</v>
      </c>
      <c r="M23" t="s">
        <v>53</v>
      </c>
      <c r="N23">
        <v>293</v>
      </c>
      <c r="Q23" t="s">
        <v>38</v>
      </c>
      <c r="R23">
        <v>0</v>
      </c>
    </row>
    <row r="24" spans="1:18" x14ac:dyDescent="0.25">
      <c r="A24" t="s">
        <v>96</v>
      </c>
      <c r="B24" t="s">
        <v>97</v>
      </c>
      <c r="C24" t="s">
        <v>91</v>
      </c>
      <c r="D24" t="s">
        <v>92</v>
      </c>
      <c r="E24" t="s">
        <v>93</v>
      </c>
      <c r="F24" t="s">
        <v>23</v>
      </c>
      <c r="G24" s="1">
        <v>45471</v>
      </c>
      <c r="H24" t="s">
        <v>24</v>
      </c>
      <c r="I24">
        <v>45949.86</v>
      </c>
      <c r="J24">
        <v>16895.03</v>
      </c>
      <c r="K24" t="s">
        <v>31</v>
      </c>
      <c r="L24" t="s">
        <v>72</v>
      </c>
      <c r="M24" t="s">
        <v>47</v>
      </c>
      <c r="N24">
        <v>338</v>
      </c>
      <c r="O24" s="1">
        <v>45556</v>
      </c>
      <c r="P24">
        <v>85</v>
      </c>
      <c r="Q24" t="s">
        <v>28</v>
      </c>
      <c r="R24">
        <v>16895.03</v>
      </c>
    </row>
    <row r="25" spans="1:18" x14ac:dyDescent="0.25">
      <c r="A25" t="s">
        <v>98</v>
      </c>
      <c r="B25" t="s">
        <v>99</v>
      </c>
      <c r="C25" t="s">
        <v>91</v>
      </c>
      <c r="D25" t="s">
        <v>92</v>
      </c>
      <c r="E25" t="s">
        <v>93</v>
      </c>
      <c r="F25" t="s">
        <v>23</v>
      </c>
      <c r="G25" s="1">
        <v>45602</v>
      </c>
      <c r="H25" t="s">
        <v>66</v>
      </c>
      <c r="I25">
        <v>74180.289999999994</v>
      </c>
      <c r="J25">
        <v>48250.15</v>
      </c>
      <c r="K25" t="s">
        <v>25</v>
      </c>
      <c r="L25" t="s">
        <v>46</v>
      </c>
      <c r="M25" t="s">
        <v>27</v>
      </c>
      <c r="N25">
        <v>207</v>
      </c>
      <c r="O25" s="1">
        <v>45622</v>
      </c>
      <c r="P25">
        <v>20</v>
      </c>
      <c r="Q25" t="s">
        <v>43</v>
      </c>
      <c r="R25">
        <v>17713.939999999999</v>
      </c>
    </row>
    <row r="26" spans="1:18" x14ac:dyDescent="0.25">
      <c r="A26" t="s">
        <v>100</v>
      </c>
      <c r="B26" t="s">
        <v>101</v>
      </c>
      <c r="C26" t="s">
        <v>91</v>
      </c>
      <c r="D26" t="s">
        <v>92</v>
      </c>
      <c r="E26" t="s">
        <v>93</v>
      </c>
      <c r="F26" t="s">
        <v>23</v>
      </c>
      <c r="G26" s="1">
        <v>45681</v>
      </c>
      <c r="H26" t="s">
        <v>59</v>
      </c>
      <c r="I26">
        <v>88076.17</v>
      </c>
      <c r="J26">
        <v>9383.52</v>
      </c>
      <c r="K26" t="s">
        <v>86</v>
      </c>
      <c r="L26" t="s">
        <v>26</v>
      </c>
      <c r="M26" t="s">
        <v>53</v>
      </c>
      <c r="N26">
        <v>128</v>
      </c>
      <c r="Q26" t="s">
        <v>38</v>
      </c>
      <c r="R26">
        <v>0</v>
      </c>
    </row>
    <row r="27" spans="1:18" x14ac:dyDescent="0.25">
      <c r="A27" t="s">
        <v>102</v>
      </c>
      <c r="B27" t="s">
        <v>103</v>
      </c>
      <c r="C27" t="s">
        <v>91</v>
      </c>
      <c r="D27" t="s">
        <v>92</v>
      </c>
      <c r="E27" t="s">
        <v>93</v>
      </c>
      <c r="F27" t="s">
        <v>23</v>
      </c>
      <c r="G27" s="1">
        <v>45532</v>
      </c>
      <c r="H27" t="s">
        <v>66</v>
      </c>
      <c r="I27">
        <v>84422.62</v>
      </c>
      <c r="J27">
        <v>65575.03</v>
      </c>
      <c r="K27" t="s">
        <v>56</v>
      </c>
      <c r="L27" t="s">
        <v>36</v>
      </c>
      <c r="M27" t="s">
        <v>27</v>
      </c>
      <c r="N27">
        <v>277</v>
      </c>
      <c r="O27" s="1">
        <v>45596</v>
      </c>
      <c r="P27">
        <v>64</v>
      </c>
      <c r="Q27" t="s">
        <v>28</v>
      </c>
      <c r="R27">
        <v>65575.03</v>
      </c>
    </row>
    <row r="28" spans="1:18" x14ac:dyDescent="0.25">
      <c r="A28" t="s">
        <v>104</v>
      </c>
      <c r="B28" t="s">
        <v>105</v>
      </c>
      <c r="C28" t="s">
        <v>91</v>
      </c>
      <c r="D28" t="s">
        <v>92</v>
      </c>
      <c r="E28" t="s">
        <v>93</v>
      </c>
      <c r="F28" t="s">
        <v>23</v>
      </c>
      <c r="G28" s="1">
        <v>45603</v>
      </c>
      <c r="H28" t="s">
        <v>51</v>
      </c>
      <c r="I28">
        <v>90732.07</v>
      </c>
      <c r="J28">
        <v>15740</v>
      </c>
      <c r="K28" t="s">
        <v>25</v>
      </c>
      <c r="L28" t="s">
        <v>41</v>
      </c>
      <c r="M28" t="s">
        <v>42</v>
      </c>
      <c r="N28">
        <v>206</v>
      </c>
      <c r="O28" s="1">
        <v>45706</v>
      </c>
      <c r="P28">
        <v>103</v>
      </c>
      <c r="Q28" t="s">
        <v>43</v>
      </c>
      <c r="R28">
        <v>7142.88</v>
      </c>
    </row>
    <row r="29" spans="1:18" x14ac:dyDescent="0.25">
      <c r="A29" t="s">
        <v>106</v>
      </c>
      <c r="B29" t="s">
        <v>107</v>
      </c>
      <c r="C29" t="s">
        <v>91</v>
      </c>
      <c r="D29" t="s">
        <v>92</v>
      </c>
      <c r="E29" t="s">
        <v>93</v>
      </c>
      <c r="F29" t="s">
        <v>23</v>
      </c>
      <c r="G29" s="1">
        <v>45524</v>
      </c>
      <c r="H29" t="s">
        <v>66</v>
      </c>
      <c r="I29">
        <v>67877.77</v>
      </c>
      <c r="J29">
        <v>28169.52</v>
      </c>
      <c r="K29" t="s">
        <v>25</v>
      </c>
      <c r="L29" t="s">
        <v>72</v>
      </c>
      <c r="M29" t="s">
        <v>27</v>
      </c>
      <c r="N29">
        <v>285</v>
      </c>
      <c r="O29" s="1">
        <v>45596</v>
      </c>
      <c r="P29">
        <v>72</v>
      </c>
      <c r="Q29" t="s">
        <v>28</v>
      </c>
      <c r="R29">
        <v>28169.52</v>
      </c>
    </row>
    <row r="30" spans="1:18" x14ac:dyDescent="0.25">
      <c r="A30" t="s">
        <v>108</v>
      </c>
      <c r="B30" t="s">
        <v>109</v>
      </c>
      <c r="C30" t="s">
        <v>91</v>
      </c>
      <c r="D30" t="s">
        <v>92</v>
      </c>
      <c r="E30" t="s">
        <v>93</v>
      </c>
      <c r="F30" t="s">
        <v>23</v>
      </c>
      <c r="G30" s="1">
        <v>45648</v>
      </c>
      <c r="H30" t="s">
        <v>59</v>
      </c>
      <c r="I30">
        <v>10430.700000000001</v>
      </c>
      <c r="J30">
        <v>5091.57</v>
      </c>
      <c r="K30" t="s">
        <v>31</v>
      </c>
      <c r="L30" t="s">
        <v>36</v>
      </c>
      <c r="M30" t="s">
        <v>53</v>
      </c>
      <c r="N30">
        <v>161</v>
      </c>
      <c r="Q30" t="s">
        <v>38</v>
      </c>
      <c r="R30">
        <v>0</v>
      </c>
    </row>
    <row r="31" spans="1:18" x14ac:dyDescent="0.25">
      <c r="A31" t="s">
        <v>110</v>
      </c>
      <c r="B31" t="s">
        <v>111</v>
      </c>
      <c r="C31" t="s">
        <v>91</v>
      </c>
      <c r="D31" t="s">
        <v>92</v>
      </c>
      <c r="E31" t="s">
        <v>93</v>
      </c>
      <c r="F31" t="s">
        <v>23</v>
      </c>
      <c r="G31" s="1">
        <v>45548</v>
      </c>
      <c r="H31" t="s">
        <v>24</v>
      </c>
      <c r="I31">
        <v>12610.59</v>
      </c>
      <c r="J31">
        <v>2388.0500000000002</v>
      </c>
      <c r="K31" t="s">
        <v>31</v>
      </c>
      <c r="L31" t="s">
        <v>46</v>
      </c>
      <c r="M31" t="s">
        <v>27</v>
      </c>
      <c r="N31">
        <v>261</v>
      </c>
      <c r="O31" s="1">
        <v>45664</v>
      </c>
      <c r="P31">
        <v>116</v>
      </c>
      <c r="Q31" t="s">
        <v>43</v>
      </c>
      <c r="R31">
        <v>1307.0999999999999</v>
      </c>
    </row>
    <row r="32" spans="1:18" x14ac:dyDescent="0.25">
      <c r="A32" t="s">
        <v>112</v>
      </c>
      <c r="B32" t="s">
        <v>113</v>
      </c>
      <c r="C32" t="s">
        <v>91</v>
      </c>
      <c r="D32" t="s">
        <v>92</v>
      </c>
      <c r="E32" t="s">
        <v>93</v>
      </c>
      <c r="F32" t="s">
        <v>23</v>
      </c>
      <c r="G32" s="1">
        <v>45788</v>
      </c>
      <c r="H32" t="s">
        <v>59</v>
      </c>
      <c r="I32">
        <v>63841.24</v>
      </c>
      <c r="J32">
        <v>23264.94</v>
      </c>
      <c r="K32" t="s">
        <v>31</v>
      </c>
      <c r="L32" t="s">
        <v>52</v>
      </c>
      <c r="M32" t="s">
        <v>42</v>
      </c>
      <c r="N32">
        <v>21</v>
      </c>
      <c r="O32" s="1">
        <v>45797</v>
      </c>
      <c r="P32">
        <v>9</v>
      </c>
      <c r="Q32" t="s">
        <v>48</v>
      </c>
      <c r="R32">
        <v>5250.28</v>
      </c>
    </row>
    <row r="33" spans="1:18" x14ac:dyDescent="0.25">
      <c r="A33" t="s">
        <v>114</v>
      </c>
      <c r="B33" t="s">
        <v>115</v>
      </c>
      <c r="C33" t="s">
        <v>91</v>
      </c>
      <c r="D33" t="s">
        <v>92</v>
      </c>
      <c r="E33" t="s">
        <v>93</v>
      </c>
      <c r="F33" t="s">
        <v>23</v>
      </c>
      <c r="G33" s="1">
        <v>45673</v>
      </c>
      <c r="H33" t="s">
        <v>35</v>
      </c>
      <c r="I33">
        <v>42599.66</v>
      </c>
      <c r="J33">
        <v>23590.31</v>
      </c>
      <c r="K33" t="s">
        <v>31</v>
      </c>
      <c r="L33" t="s">
        <v>26</v>
      </c>
      <c r="M33" t="s">
        <v>37</v>
      </c>
      <c r="N33">
        <v>136</v>
      </c>
      <c r="Q33" t="s">
        <v>38</v>
      </c>
      <c r="R33">
        <v>0</v>
      </c>
    </row>
    <row r="34" spans="1:18" x14ac:dyDescent="0.25">
      <c r="A34" t="s">
        <v>116</v>
      </c>
      <c r="B34" t="s">
        <v>117</v>
      </c>
      <c r="C34" t="s">
        <v>91</v>
      </c>
      <c r="D34" t="s">
        <v>92</v>
      </c>
      <c r="E34" t="s">
        <v>93</v>
      </c>
      <c r="F34" t="s">
        <v>23</v>
      </c>
      <c r="G34" s="1">
        <v>45490</v>
      </c>
      <c r="H34" t="s">
        <v>66</v>
      </c>
      <c r="I34">
        <v>99853.17</v>
      </c>
      <c r="J34">
        <v>79590.2</v>
      </c>
      <c r="K34" t="s">
        <v>25</v>
      </c>
      <c r="L34" t="s">
        <v>41</v>
      </c>
      <c r="M34" t="s">
        <v>27</v>
      </c>
      <c r="N34">
        <v>319</v>
      </c>
      <c r="O34" s="1">
        <v>45537</v>
      </c>
      <c r="P34">
        <v>47</v>
      </c>
      <c r="Q34" t="s">
        <v>118</v>
      </c>
      <c r="R34">
        <v>0</v>
      </c>
    </row>
    <row r="35" spans="1:18" x14ac:dyDescent="0.25">
      <c r="A35" t="s">
        <v>119</v>
      </c>
      <c r="B35" t="s">
        <v>120</v>
      </c>
      <c r="C35" t="s">
        <v>91</v>
      </c>
      <c r="D35" t="s">
        <v>92</v>
      </c>
      <c r="E35" t="s">
        <v>93</v>
      </c>
      <c r="F35" t="s">
        <v>23</v>
      </c>
      <c r="G35" s="1">
        <v>45683</v>
      </c>
      <c r="H35" t="s">
        <v>24</v>
      </c>
      <c r="I35">
        <v>40105.07</v>
      </c>
      <c r="J35">
        <v>6750.09</v>
      </c>
      <c r="K35" t="s">
        <v>86</v>
      </c>
      <c r="L35" t="s">
        <v>41</v>
      </c>
      <c r="M35" t="s">
        <v>27</v>
      </c>
      <c r="N35">
        <v>126</v>
      </c>
      <c r="O35" s="1">
        <v>45789</v>
      </c>
      <c r="P35">
        <v>106</v>
      </c>
      <c r="Q35" t="s">
        <v>48</v>
      </c>
      <c r="R35">
        <v>696.13</v>
      </c>
    </row>
    <row r="36" spans="1:18" x14ac:dyDescent="0.25">
      <c r="A36" t="s">
        <v>121</v>
      </c>
      <c r="B36" t="s">
        <v>122</v>
      </c>
      <c r="C36" t="s">
        <v>91</v>
      </c>
      <c r="D36" t="s">
        <v>92</v>
      </c>
      <c r="E36" t="s">
        <v>93</v>
      </c>
      <c r="F36" t="s">
        <v>23</v>
      </c>
      <c r="G36" s="1">
        <v>45525</v>
      </c>
      <c r="H36" t="s">
        <v>66</v>
      </c>
      <c r="I36">
        <v>33440.980000000003</v>
      </c>
      <c r="J36">
        <v>18310.330000000002</v>
      </c>
      <c r="K36" t="s">
        <v>56</v>
      </c>
      <c r="L36" t="s">
        <v>41</v>
      </c>
      <c r="M36" t="s">
        <v>27</v>
      </c>
      <c r="N36">
        <v>284</v>
      </c>
      <c r="O36" s="1">
        <v>45541</v>
      </c>
      <c r="P36">
        <v>16</v>
      </c>
      <c r="Q36" t="s">
        <v>48</v>
      </c>
      <c r="R36">
        <v>2969.55</v>
      </c>
    </row>
    <row r="37" spans="1:18" x14ac:dyDescent="0.25">
      <c r="A37" t="s">
        <v>123</v>
      </c>
      <c r="B37" t="s">
        <v>124</v>
      </c>
      <c r="C37" t="s">
        <v>91</v>
      </c>
      <c r="D37" t="s">
        <v>92</v>
      </c>
      <c r="E37" t="s">
        <v>93</v>
      </c>
      <c r="F37" t="s">
        <v>23</v>
      </c>
      <c r="G37" s="1">
        <v>45664</v>
      </c>
      <c r="H37" t="s">
        <v>24</v>
      </c>
      <c r="I37">
        <v>62458.83</v>
      </c>
      <c r="J37">
        <v>36738.85</v>
      </c>
      <c r="K37" t="s">
        <v>25</v>
      </c>
      <c r="L37" t="s">
        <v>41</v>
      </c>
      <c r="M37" t="s">
        <v>27</v>
      </c>
      <c r="N37">
        <v>145</v>
      </c>
      <c r="O37" s="1">
        <v>45699</v>
      </c>
      <c r="P37">
        <v>35</v>
      </c>
      <c r="Q37" t="s">
        <v>118</v>
      </c>
      <c r="R37">
        <v>0</v>
      </c>
    </row>
    <row r="38" spans="1:18" x14ac:dyDescent="0.25">
      <c r="A38" t="s">
        <v>125</v>
      </c>
      <c r="B38" t="s">
        <v>126</v>
      </c>
      <c r="C38" t="s">
        <v>91</v>
      </c>
      <c r="D38" t="s">
        <v>92</v>
      </c>
      <c r="E38" t="s">
        <v>93</v>
      </c>
      <c r="F38" t="s">
        <v>23</v>
      </c>
      <c r="G38" s="1">
        <v>45782</v>
      </c>
      <c r="H38" t="s">
        <v>77</v>
      </c>
      <c r="I38">
        <v>13768.35</v>
      </c>
      <c r="J38">
        <v>5062.37</v>
      </c>
      <c r="K38" t="s">
        <v>31</v>
      </c>
      <c r="L38" t="s">
        <v>52</v>
      </c>
      <c r="M38" t="s">
        <v>27</v>
      </c>
      <c r="N38">
        <v>27</v>
      </c>
      <c r="O38" s="1">
        <v>45805</v>
      </c>
      <c r="P38">
        <v>23</v>
      </c>
      <c r="Q38" t="s">
        <v>38</v>
      </c>
      <c r="R38">
        <v>0</v>
      </c>
    </row>
    <row r="39" spans="1:18" x14ac:dyDescent="0.25">
      <c r="A39" t="s">
        <v>127</v>
      </c>
      <c r="B39" t="s">
        <v>128</v>
      </c>
      <c r="C39" t="s">
        <v>91</v>
      </c>
      <c r="D39" t="s">
        <v>92</v>
      </c>
      <c r="E39" t="s">
        <v>93</v>
      </c>
      <c r="F39" t="s">
        <v>23</v>
      </c>
      <c r="G39" s="1">
        <v>45726</v>
      </c>
      <c r="H39" t="s">
        <v>77</v>
      </c>
      <c r="I39">
        <v>75416.94</v>
      </c>
      <c r="J39">
        <v>34975.379999999997</v>
      </c>
      <c r="K39" t="s">
        <v>31</v>
      </c>
      <c r="L39" t="s">
        <v>26</v>
      </c>
      <c r="M39" t="s">
        <v>37</v>
      </c>
      <c r="N39">
        <v>83</v>
      </c>
      <c r="Q39" t="s">
        <v>38</v>
      </c>
      <c r="R39">
        <v>0</v>
      </c>
    </row>
    <row r="40" spans="1:18" x14ac:dyDescent="0.25">
      <c r="A40" t="s">
        <v>129</v>
      </c>
      <c r="B40" t="s">
        <v>130</v>
      </c>
      <c r="C40" t="s">
        <v>91</v>
      </c>
      <c r="D40" t="s">
        <v>92</v>
      </c>
      <c r="E40" t="s">
        <v>93</v>
      </c>
      <c r="F40" t="s">
        <v>23</v>
      </c>
      <c r="G40" s="1">
        <v>45455</v>
      </c>
      <c r="H40" t="s">
        <v>59</v>
      </c>
      <c r="I40">
        <v>90873.21</v>
      </c>
      <c r="J40">
        <v>41728.32</v>
      </c>
      <c r="K40" t="s">
        <v>86</v>
      </c>
      <c r="L40" t="s">
        <v>36</v>
      </c>
      <c r="M40" t="s">
        <v>27</v>
      </c>
      <c r="N40">
        <v>354</v>
      </c>
      <c r="O40" s="1">
        <v>45463</v>
      </c>
      <c r="P40">
        <v>8</v>
      </c>
      <c r="Q40" t="s">
        <v>28</v>
      </c>
      <c r="R40">
        <v>41728.32</v>
      </c>
    </row>
    <row r="41" spans="1:18" x14ac:dyDescent="0.25">
      <c r="A41" t="s">
        <v>131</v>
      </c>
      <c r="B41" t="s">
        <v>132</v>
      </c>
      <c r="C41" t="s">
        <v>91</v>
      </c>
      <c r="D41" t="s">
        <v>92</v>
      </c>
      <c r="E41" t="s">
        <v>93</v>
      </c>
      <c r="F41" t="s">
        <v>23</v>
      </c>
      <c r="G41" s="1">
        <v>45788</v>
      </c>
      <c r="H41" t="s">
        <v>77</v>
      </c>
      <c r="I41">
        <v>90397.84</v>
      </c>
      <c r="J41">
        <v>18762.740000000002</v>
      </c>
      <c r="K41" t="s">
        <v>25</v>
      </c>
      <c r="L41" t="s">
        <v>52</v>
      </c>
      <c r="M41" t="s">
        <v>27</v>
      </c>
      <c r="N41">
        <v>21</v>
      </c>
      <c r="O41" s="1">
        <v>45804</v>
      </c>
      <c r="P41">
        <v>16</v>
      </c>
      <c r="Q41" t="s">
        <v>38</v>
      </c>
      <c r="R41">
        <v>0</v>
      </c>
    </row>
    <row r="42" spans="1:18" x14ac:dyDescent="0.25">
      <c r="A42" t="s">
        <v>133</v>
      </c>
      <c r="B42" t="s">
        <v>134</v>
      </c>
      <c r="C42" t="s">
        <v>91</v>
      </c>
      <c r="D42" t="s">
        <v>92</v>
      </c>
      <c r="E42" t="s">
        <v>93</v>
      </c>
      <c r="F42" t="s">
        <v>23</v>
      </c>
      <c r="G42" s="1">
        <v>45729</v>
      </c>
      <c r="H42" t="s">
        <v>66</v>
      </c>
      <c r="I42">
        <v>92947.56</v>
      </c>
      <c r="J42">
        <v>21150.5</v>
      </c>
      <c r="K42" t="s">
        <v>25</v>
      </c>
      <c r="L42" t="s">
        <v>32</v>
      </c>
      <c r="M42" t="s">
        <v>37</v>
      </c>
      <c r="N42">
        <v>80</v>
      </c>
      <c r="Q42" t="s">
        <v>38</v>
      </c>
      <c r="R42">
        <v>0</v>
      </c>
    </row>
    <row r="43" spans="1:18" x14ac:dyDescent="0.25">
      <c r="A43" t="s">
        <v>135</v>
      </c>
      <c r="B43" t="s">
        <v>136</v>
      </c>
      <c r="C43" t="s">
        <v>91</v>
      </c>
      <c r="D43" t="s">
        <v>92</v>
      </c>
      <c r="E43" t="s">
        <v>93</v>
      </c>
      <c r="F43" t="s">
        <v>23</v>
      </c>
      <c r="G43" s="1">
        <v>45638</v>
      </c>
      <c r="H43" t="s">
        <v>24</v>
      </c>
      <c r="I43">
        <v>79326.720000000001</v>
      </c>
      <c r="J43">
        <v>28461.23</v>
      </c>
      <c r="K43" t="s">
        <v>86</v>
      </c>
      <c r="L43" t="s">
        <v>46</v>
      </c>
      <c r="M43" t="s">
        <v>27</v>
      </c>
      <c r="N43">
        <v>171</v>
      </c>
      <c r="O43" s="1">
        <v>45741</v>
      </c>
      <c r="P43">
        <v>103</v>
      </c>
      <c r="Q43" t="s">
        <v>48</v>
      </c>
      <c r="R43">
        <v>7201.17</v>
      </c>
    </row>
    <row r="44" spans="1:18" x14ac:dyDescent="0.25">
      <c r="A44" t="s">
        <v>137</v>
      </c>
      <c r="B44" t="s">
        <v>138</v>
      </c>
      <c r="C44" t="s">
        <v>91</v>
      </c>
      <c r="D44" t="s">
        <v>92</v>
      </c>
      <c r="E44" t="s">
        <v>93</v>
      </c>
      <c r="F44" t="s">
        <v>23</v>
      </c>
      <c r="G44" s="1">
        <v>45789</v>
      </c>
      <c r="H44" t="s">
        <v>51</v>
      </c>
      <c r="I44">
        <v>86566.36</v>
      </c>
      <c r="J44">
        <v>18769.78</v>
      </c>
      <c r="K44" t="s">
        <v>86</v>
      </c>
      <c r="L44" t="s">
        <v>52</v>
      </c>
      <c r="M44" t="s">
        <v>37</v>
      </c>
      <c r="N44">
        <v>20</v>
      </c>
      <c r="Q44" t="s">
        <v>38</v>
      </c>
      <c r="R44">
        <v>0</v>
      </c>
    </row>
    <row r="45" spans="1:18" x14ac:dyDescent="0.25">
      <c r="A45" t="s">
        <v>139</v>
      </c>
      <c r="B45" t="s">
        <v>140</v>
      </c>
      <c r="C45" t="s">
        <v>91</v>
      </c>
      <c r="D45" t="s">
        <v>92</v>
      </c>
      <c r="E45" t="s">
        <v>93</v>
      </c>
      <c r="F45" t="s">
        <v>23</v>
      </c>
      <c r="G45" s="1">
        <v>45692</v>
      </c>
      <c r="H45" t="s">
        <v>35</v>
      </c>
      <c r="I45">
        <v>26177.74</v>
      </c>
      <c r="J45">
        <v>14267.52</v>
      </c>
      <c r="K45" t="s">
        <v>31</v>
      </c>
      <c r="L45" t="s">
        <v>26</v>
      </c>
      <c r="M45" t="s">
        <v>42</v>
      </c>
      <c r="N45">
        <v>117</v>
      </c>
      <c r="O45" s="1">
        <v>45730</v>
      </c>
      <c r="P45">
        <v>38</v>
      </c>
      <c r="Q45" t="s">
        <v>28</v>
      </c>
      <c r="R45">
        <v>14267.52</v>
      </c>
    </row>
    <row r="46" spans="1:18" x14ac:dyDescent="0.25">
      <c r="A46" t="s">
        <v>141</v>
      </c>
      <c r="B46" t="s">
        <v>142</v>
      </c>
      <c r="C46" t="s">
        <v>91</v>
      </c>
      <c r="D46" t="s">
        <v>92</v>
      </c>
      <c r="E46" t="s">
        <v>93</v>
      </c>
      <c r="F46" t="s">
        <v>23</v>
      </c>
      <c r="G46" s="1">
        <v>45548</v>
      </c>
      <c r="H46" t="s">
        <v>77</v>
      </c>
      <c r="I46">
        <v>42969.45</v>
      </c>
      <c r="J46">
        <v>33768.07</v>
      </c>
      <c r="K46" t="s">
        <v>31</v>
      </c>
      <c r="L46" t="s">
        <v>26</v>
      </c>
      <c r="M46" t="s">
        <v>42</v>
      </c>
      <c r="N46">
        <v>261</v>
      </c>
      <c r="O46" s="1">
        <v>45584</v>
      </c>
      <c r="P46">
        <v>36</v>
      </c>
      <c r="Q46" t="s">
        <v>28</v>
      </c>
      <c r="R46">
        <v>33768.07</v>
      </c>
    </row>
    <row r="47" spans="1:18" x14ac:dyDescent="0.25">
      <c r="A47" t="s">
        <v>143</v>
      </c>
      <c r="B47" t="s">
        <v>144</v>
      </c>
      <c r="C47" t="s">
        <v>91</v>
      </c>
      <c r="D47" t="s">
        <v>92</v>
      </c>
      <c r="E47" t="s">
        <v>93</v>
      </c>
      <c r="F47" t="s">
        <v>23</v>
      </c>
      <c r="G47" s="1">
        <v>45673</v>
      </c>
      <c r="H47" t="s">
        <v>35</v>
      </c>
      <c r="I47">
        <v>8634.43</v>
      </c>
      <c r="J47">
        <v>4295.01</v>
      </c>
      <c r="K47" t="s">
        <v>31</v>
      </c>
      <c r="L47" t="s">
        <v>32</v>
      </c>
      <c r="M47" t="s">
        <v>27</v>
      </c>
      <c r="N47">
        <v>136</v>
      </c>
      <c r="O47" s="1">
        <v>45741</v>
      </c>
      <c r="P47">
        <v>68</v>
      </c>
      <c r="Q47" t="s">
        <v>28</v>
      </c>
      <c r="R47">
        <v>4295.01</v>
      </c>
    </row>
    <row r="48" spans="1:18" x14ac:dyDescent="0.25">
      <c r="A48" t="s">
        <v>145</v>
      </c>
      <c r="B48" t="s">
        <v>146</v>
      </c>
      <c r="C48" t="s">
        <v>91</v>
      </c>
      <c r="D48" t="s">
        <v>92</v>
      </c>
      <c r="E48" t="s">
        <v>93</v>
      </c>
      <c r="F48" t="s">
        <v>23</v>
      </c>
      <c r="G48" s="1">
        <v>45513</v>
      </c>
      <c r="H48" t="s">
        <v>59</v>
      </c>
      <c r="I48">
        <v>23057.48</v>
      </c>
      <c r="J48">
        <v>1920.46</v>
      </c>
      <c r="K48" t="s">
        <v>31</v>
      </c>
      <c r="L48" t="s">
        <v>46</v>
      </c>
      <c r="M48" t="s">
        <v>27</v>
      </c>
      <c r="N48">
        <v>296</v>
      </c>
      <c r="O48" s="1">
        <v>45524</v>
      </c>
      <c r="P48">
        <v>11</v>
      </c>
      <c r="Q48" t="s">
        <v>38</v>
      </c>
      <c r="R48">
        <v>0</v>
      </c>
    </row>
    <row r="49" spans="1:18" x14ac:dyDescent="0.25">
      <c r="A49" t="s">
        <v>147</v>
      </c>
      <c r="B49" t="s">
        <v>148</v>
      </c>
      <c r="C49" t="s">
        <v>149</v>
      </c>
      <c r="D49" t="s">
        <v>150</v>
      </c>
      <c r="E49" t="s">
        <v>151</v>
      </c>
      <c r="F49" t="s">
        <v>152</v>
      </c>
      <c r="G49" s="1">
        <v>45469</v>
      </c>
      <c r="H49" t="s">
        <v>35</v>
      </c>
      <c r="I49">
        <v>85561.45</v>
      </c>
      <c r="J49">
        <v>50465.49</v>
      </c>
      <c r="K49" t="s">
        <v>31</v>
      </c>
      <c r="L49" t="s">
        <v>32</v>
      </c>
      <c r="M49" t="s">
        <v>27</v>
      </c>
      <c r="N49">
        <v>340</v>
      </c>
      <c r="O49" s="1">
        <v>45561</v>
      </c>
      <c r="P49">
        <v>92</v>
      </c>
      <c r="Q49" t="s">
        <v>28</v>
      </c>
      <c r="R49">
        <v>50465.49</v>
      </c>
    </row>
    <row r="50" spans="1:18" x14ac:dyDescent="0.25">
      <c r="A50" t="s">
        <v>153</v>
      </c>
      <c r="B50" t="s">
        <v>154</v>
      </c>
      <c r="C50" t="s">
        <v>149</v>
      </c>
      <c r="D50" t="s">
        <v>150</v>
      </c>
      <c r="E50" t="s">
        <v>151</v>
      </c>
      <c r="F50" t="s">
        <v>152</v>
      </c>
      <c r="G50" s="1">
        <v>45743</v>
      </c>
      <c r="H50" t="s">
        <v>24</v>
      </c>
      <c r="I50">
        <v>23224.81</v>
      </c>
      <c r="J50">
        <v>12743.39</v>
      </c>
      <c r="K50" t="s">
        <v>31</v>
      </c>
      <c r="L50" t="s">
        <v>36</v>
      </c>
      <c r="M50" t="s">
        <v>27</v>
      </c>
      <c r="N50">
        <v>66</v>
      </c>
      <c r="O50" s="1">
        <v>45784</v>
      </c>
      <c r="P50">
        <v>41</v>
      </c>
      <c r="Q50" t="s">
        <v>43</v>
      </c>
      <c r="R50">
        <v>8923.3700000000008</v>
      </c>
    </row>
    <row r="51" spans="1:18" x14ac:dyDescent="0.25">
      <c r="A51" t="s">
        <v>155</v>
      </c>
      <c r="B51" t="s">
        <v>156</v>
      </c>
      <c r="C51" t="s">
        <v>149</v>
      </c>
      <c r="D51" t="s">
        <v>150</v>
      </c>
      <c r="E51" t="s">
        <v>151</v>
      </c>
      <c r="F51" t="s">
        <v>152</v>
      </c>
      <c r="G51" s="1">
        <v>45653</v>
      </c>
      <c r="H51" t="s">
        <v>24</v>
      </c>
      <c r="I51">
        <v>32256.799999999999</v>
      </c>
      <c r="J51">
        <v>12012.95</v>
      </c>
      <c r="K51" t="s">
        <v>31</v>
      </c>
      <c r="L51" t="s">
        <v>52</v>
      </c>
      <c r="M51" t="s">
        <v>27</v>
      </c>
      <c r="N51">
        <v>156</v>
      </c>
      <c r="O51" s="1">
        <v>45712</v>
      </c>
      <c r="P51">
        <v>59</v>
      </c>
      <c r="Q51" t="s">
        <v>48</v>
      </c>
      <c r="R51">
        <v>3657.58</v>
      </c>
    </row>
    <row r="52" spans="1:18" x14ac:dyDescent="0.25">
      <c r="A52" t="s">
        <v>157</v>
      </c>
      <c r="B52" t="s">
        <v>158</v>
      </c>
      <c r="C52" t="s">
        <v>149</v>
      </c>
      <c r="D52" t="s">
        <v>150</v>
      </c>
      <c r="E52" t="s">
        <v>151</v>
      </c>
      <c r="F52" t="s">
        <v>152</v>
      </c>
      <c r="G52" s="1">
        <v>45722</v>
      </c>
      <c r="H52" t="s">
        <v>59</v>
      </c>
      <c r="I52">
        <v>67590.820000000007</v>
      </c>
      <c r="J52">
        <v>17765.560000000001</v>
      </c>
      <c r="K52" t="s">
        <v>86</v>
      </c>
      <c r="L52" t="s">
        <v>52</v>
      </c>
      <c r="M52" t="s">
        <v>37</v>
      </c>
      <c r="N52">
        <v>87</v>
      </c>
      <c r="Q52" t="s">
        <v>38</v>
      </c>
      <c r="R52">
        <v>0</v>
      </c>
    </row>
    <row r="53" spans="1:18" x14ac:dyDescent="0.25">
      <c r="A53" t="s">
        <v>159</v>
      </c>
      <c r="B53" t="s">
        <v>160</v>
      </c>
      <c r="C53" t="s">
        <v>149</v>
      </c>
      <c r="D53" t="s">
        <v>150</v>
      </c>
      <c r="E53" t="s">
        <v>151</v>
      </c>
      <c r="F53" t="s">
        <v>152</v>
      </c>
      <c r="G53" s="1">
        <v>45688</v>
      </c>
      <c r="H53" t="s">
        <v>77</v>
      </c>
      <c r="I53">
        <v>68915.59</v>
      </c>
      <c r="J53">
        <v>15056.71</v>
      </c>
      <c r="K53" t="s">
        <v>25</v>
      </c>
      <c r="L53" t="s">
        <v>72</v>
      </c>
      <c r="M53" t="s">
        <v>27</v>
      </c>
      <c r="N53">
        <v>121</v>
      </c>
      <c r="O53" s="1">
        <v>45751</v>
      </c>
      <c r="P53">
        <v>63</v>
      </c>
      <c r="Q53" t="s">
        <v>43</v>
      </c>
      <c r="R53">
        <v>9953.89</v>
      </c>
    </row>
    <row r="54" spans="1:18" x14ac:dyDescent="0.25">
      <c r="A54" t="s">
        <v>161</v>
      </c>
      <c r="B54" t="s">
        <v>162</v>
      </c>
      <c r="C54" t="s">
        <v>149</v>
      </c>
      <c r="D54" t="s">
        <v>150</v>
      </c>
      <c r="E54" t="s">
        <v>151</v>
      </c>
      <c r="F54" t="s">
        <v>152</v>
      </c>
      <c r="G54" s="1">
        <v>45575</v>
      </c>
      <c r="H54" t="s">
        <v>24</v>
      </c>
      <c r="I54">
        <v>44371.9</v>
      </c>
      <c r="J54">
        <v>23176.51</v>
      </c>
      <c r="K54" t="s">
        <v>25</v>
      </c>
      <c r="L54" t="s">
        <v>32</v>
      </c>
      <c r="M54" t="s">
        <v>27</v>
      </c>
      <c r="N54">
        <v>234</v>
      </c>
      <c r="O54" s="1">
        <v>45609</v>
      </c>
      <c r="P54">
        <v>34</v>
      </c>
      <c r="Q54" t="s">
        <v>28</v>
      </c>
      <c r="R54">
        <v>23176.51</v>
      </c>
    </row>
    <row r="55" spans="1:18" x14ac:dyDescent="0.25">
      <c r="A55" t="s">
        <v>163</v>
      </c>
      <c r="B55" t="s">
        <v>164</v>
      </c>
      <c r="C55" t="s">
        <v>149</v>
      </c>
      <c r="D55" t="s">
        <v>150</v>
      </c>
      <c r="E55" t="s">
        <v>151</v>
      </c>
      <c r="F55" t="s">
        <v>152</v>
      </c>
      <c r="G55" s="1">
        <v>45456</v>
      </c>
      <c r="H55" t="s">
        <v>77</v>
      </c>
      <c r="I55">
        <v>5526.76</v>
      </c>
      <c r="J55">
        <v>3389.14</v>
      </c>
      <c r="K55" t="s">
        <v>86</v>
      </c>
      <c r="L55" t="s">
        <v>32</v>
      </c>
      <c r="M55" t="s">
        <v>27</v>
      </c>
      <c r="N55">
        <v>353</v>
      </c>
      <c r="O55" s="1">
        <v>45561</v>
      </c>
      <c r="P55">
        <v>105</v>
      </c>
      <c r="Q55" t="s">
        <v>38</v>
      </c>
      <c r="R55">
        <v>0</v>
      </c>
    </row>
    <row r="56" spans="1:18" x14ac:dyDescent="0.25">
      <c r="A56" t="s">
        <v>165</v>
      </c>
      <c r="B56" t="s">
        <v>166</v>
      </c>
      <c r="C56" t="s">
        <v>149</v>
      </c>
      <c r="D56" t="s">
        <v>150</v>
      </c>
      <c r="E56" t="s">
        <v>151</v>
      </c>
      <c r="F56" t="s">
        <v>152</v>
      </c>
      <c r="G56" s="1">
        <v>45543</v>
      </c>
      <c r="H56" t="s">
        <v>77</v>
      </c>
      <c r="I56">
        <v>49132.24</v>
      </c>
      <c r="J56">
        <v>22996.560000000001</v>
      </c>
      <c r="K56" t="s">
        <v>56</v>
      </c>
      <c r="L56" t="s">
        <v>67</v>
      </c>
      <c r="M56" t="s">
        <v>27</v>
      </c>
      <c r="N56">
        <v>266</v>
      </c>
      <c r="O56" s="1">
        <v>45605</v>
      </c>
      <c r="P56">
        <v>62</v>
      </c>
      <c r="Q56" t="s">
        <v>48</v>
      </c>
      <c r="R56">
        <v>11386.91</v>
      </c>
    </row>
    <row r="57" spans="1:18" x14ac:dyDescent="0.25">
      <c r="A57" t="s">
        <v>167</v>
      </c>
      <c r="B57" t="s">
        <v>168</v>
      </c>
      <c r="C57" t="s">
        <v>149</v>
      </c>
      <c r="D57" t="s">
        <v>150</v>
      </c>
      <c r="E57" t="s">
        <v>151</v>
      </c>
      <c r="F57" t="s">
        <v>152</v>
      </c>
      <c r="G57" s="1">
        <v>45504</v>
      </c>
      <c r="H57" t="s">
        <v>24</v>
      </c>
      <c r="I57">
        <v>35143.31</v>
      </c>
      <c r="J57">
        <v>21663.65</v>
      </c>
      <c r="K57" t="s">
        <v>31</v>
      </c>
      <c r="L57" t="s">
        <v>32</v>
      </c>
      <c r="M57" t="s">
        <v>42</v>
      </c>
      <c r="N57">
        <v>305</v>
      </c>
      <c r="O57" s="1">
        <v>45577</v>
      </c>
      <c r="P57">
        <v>73</v>
      </c>
      <c r="Q57" t="s">
        <v>43</v>
      </c>
      <c r="R57">
        <v>6401.49</v>
      </c>
    </row>
    <row r="58" spans="1:18" x14ac:dyDescent="0.25">
      <c r="A58" t="s">
        <v>169</v>
      </c>
      <c r="B58" t="s">
        <v>170</v>
      </c>
      <c r="C58" t="s">
        <v>149</v>
      </c>
      <c r="D58" t="s">
        <v>150</v>
      </c>
      <c r="E58" t="s">
        <v>151</v>
      </c>
      <c r="F58" t="s">
        <v>152</v>
      </c>
      <c r="G58" s="1">
        <v>45565</v>
      </c>
      <c r="H58" t="s">
        <v>35</v>
      </c>
      <c r="I58">
        <v>47756.63</v>
      </c>
      <c r="J58">
        <v>29314.58</v>
      </c>
      <c r="K58" t="s">
        <v>86</v>
      </c>
      <c r="L58" t="s">
        <v>67</v>
      </c>
      <c r="M58" t="s">
        <v>27</v>
      </c>
      <c r="N58">
        <v>244</v>
      </c>
      <c r="O58" s="1">
        <v>45603</v>
      </c>
      <c r="P58">
        <v>38</v>
      </c>
      <c r="Q58" t="s">
        <v>43</v>
      </c>
      <c r="R58">
        <v>18413.28</v>
      </c>
    </row>
    <row r="59" spans="1:18" x14ac:dyDescent="0.25">
      <c r="A59" t="s">
        <v>171</v>
      </c>
      <c r="B59" t="s">
        <v>172</v>
      </c>
      <c r="C59" t="s">
        <v>149</v>
      </c>
      <c r="D59" t="s">
        <v>150</v>
      </c>
      <c r="E59" t="s">
        <v>151</v>
      </c>
      <c r="F59" t="s">
        <v>152</v>
      </c>
      <c r="G59" s="1">
        <v>45688</v>
      </c>
      <c r="H59" t="s">
        <v>66</v>
      </c>
      <c r="I59">
        <v>30812.94</v>
      </c>
      <c r="J59">
        <v>8929.0400000000009</v>
      </c>
      <c r="K59" t="s">
        <v>31</v>
      </c>
      <c r="L59" t="s">
        <v>36</v>
      </c>
      <c r="M59" t="s">
        <v>27</v>
      </c>
      <c r="N59">
        <v>121</v>
      </c>
      <c r="O59" s="1">
        <v>45779</v>
      </c>
      <c r="P59">
        <v>91</v>
      </c>
      <c r="Q59" t="s">
        <v>28</v>
      </c>
      <c r="R59">
        <v>8929.0400000000009</v>
      </c>
    </row>
    <row r="60" spans="1:18" x14ac:dyDescent="0.25">
      <c r="A60" t="s">
        <v>173</v>
      </c>
      <c r="B60" t="s">
        <v>174</v>
      </c>
      <c r="C60" t="s">
        <v>149</v>
      </c>
      <c r="D60" t="s">
        <v>150</v>
      </c>
      <c r="E60" t="s">
        <v>151</v>
      </c>
      <c r="F60" t="s">
        <v>152</v>
      </c>
      <c r="G60" s="1">
        <v>45699</v>
      </c>
      <c r="H60" t="s">
        <v>51</v>
      </c>
      <c r="I60">
        <v>11101.74</v>
      </c>
      <c r="J60">
        <v>3948.88</v>
      </c>
      <c r="K60" t="s">
        <v>31</v>
      </c>
      <c r="L60" t="s">
        <v>72</v>
      </c>
      <c r="M60" t="s">
        <v>27</v>
      </c>
      <c r="N60">
        <v>110</v>
      </c>
      <c r="O60" s="1">
        <v>45755</v>
      </c>
      <c r="P60">
        <v>56</v>
      </c>
      <c r="Q60" t="s">
        <v>28</v>
      </c>
      <c r="R60">
        <v>3948.88</v>
      </c>
    </row>
    <row r="61" spans="1:18" x14ac:dyDescent="0.25">
      <c r="A61" t="s">
        <v>175</v>
      </c>
      <c r="B61" t="s">
        <v>176</v>
      </c>
      <c r="C61" t="s">
        <v>149</v>
      </c>
      <c r="D61" t="s">
        <v>150</v>
      </c>
      <c r="E61" t="s">
        <v>151</v>
      </c>
      <c r="F61" t="s">
        <v>152</v>
      </c>
      <c r="G61" s="1">
        <v>45509</v>
      </c>
      <c r="H61" t="s">
        <v>59</v>
      </c>
      <c r="I61">
        <v>94875.89</v>
      </c>
      <c r="J61">
        <v>6133.63</v>
      </c>
      <c r="K61" t="s">
        <v>86</v>
      </c>
      <c r="L61" t="s">
        <v>32</v>
      </c>
      <c r="M61" t="s">
        <v>27</v>
      </c>
      <c r="N61">
        <v>300</v>
      </c>
      <c r="O61" s="1">
        <v>45557</v>
      </c>
      <c r="P61">
        <v>48</v>
      </c>
      <c r="Q61" t="s">
        <v>28</v>
      </c>
      <c r="R61">
        <v>6133.63</v>
      </c>
    </row>
    <row r="62" spans="1:18" x14ac:dyDescent="0.25">
      <c r="A62" t="s">
        <v>177</v>
      </c>
      <c r="B62" t="s">
        <v>178</v>
      </c>
      <c r="C62" t="s">
        <v>149</v>
      </c>
      <c r="D62" t="s">
        <v>150</v>
      </c>
      <c r="E62" t="s">
        <v>151</v>
      </c>
      <c r="F62" t="s">
        <v>152</v>
      </c>
      <c r="G62" s="1">
        <v>45609</v>
      </c>
      <c r="H62" t="s">
        <v>24</v>
      </c>
      <c r="I62">
        <v>86077.56</v>
      </c>
      <c r="J62">
        <v>65855.600000000006</v>
      </c>
      <c r="K62" t="s">
        <v>31</v>
      </c>
      <c r="L62" t="s">
        <v>46</v>
      </c>
      <c r="M62" t="s">
        <v>27</v>
      </c>
      <c r="N62">
        <v>200</v>
      </c>
      <c r="O62" s="1">
        <v>45646</v>
      </c>
      <c r="P62">
        <v>37</v>
      </c>
      <c r="Q62" t="s">
        <v>43</v>
      </c>
      <c r="R62">
        <v>14317.99</v>
      </c>
    </row>
    <row r="63" spans="1:18" x14ac:dyDescent="0.25">
      <c r="A63" t="s">
        <v>179</v>
      </c>
      <c r="B63" t="s">
        <v>180</v>
      </c>
      <c r="C63" t="s">
        <v>149</v>
      </c>
      <c r="D63" t="s">
        <v>150</v>
      </c>
      <c r="E63" t="s">
        <v>151</v>
      </c>
      <c r="F63" t="s">
        <v>152</v>
      </c>
      <c r="G63" s="1">
        <v>45636</v>
      </c>
      <c r="H63" t="s">
        <v>51</v>
      </c>
      <c r="I63">
        <v>68542.990000000005</v>
      </c>
      <c r="J63">
        <v>44457.45</v>
      </c>
      <c r="K63" t="s">
        <v>86</v>
      </c>
      <c r="L63" t="s">
        <v>36</v>
      </c>
      <c r="M63" t="s">
        <v>42</v>
      </c>
      <c r="N63">
        <v>173</v>
      </c>
      <c r="O63" s="1">
        <v>45707</v>
      </c>
      <c r="P63">
        <v>71</v>
      </c>
      <c r="Q63" t="s">
        <v>28</v>
      </c>
      <c r="R63">
        <v>44457.45</v>
      </c>
    </row>
    <row r="64" spans="1:18" x14ac:dyDescent="0.25">
      <c r="A64" t="s">
        <v>181</v>
      </c>
      <c r="B64" t="s">
        <v>182</v>
      </c>
      <c r="C64" t="s">
        <v>149</v>
      </c>
      <c r="D64" t="s">
        <v>150</v>
      </c>
      <c r="E64" t="s">
        <v>151</v>
      </c>
      <c r="F64" t="s">
        <v>152</v>
      </c>
      <c r="G64" s="1">
        <v>45607</v>
      </c>
      <c r="H64" t="s">
        <v>51</v>
      </c>
      <c r="I64">
        <v>61229.81</v>
      </c>
      <c r="J64">
        <v>33508</v>
      </c>
      <c r="K64" t="s">
        <v>25</v>
      </c>
      <c r="L64" t="s">
        <v>36</v>
      </c>
      <c r="M64" t="s">
        <v>42</v>
      </c>
      <c r="N64">
        <v>202</v>
      </c>
      <c r="O64" s="1">
        <v>45633</v>
      </c>
      <c r="P64">
        <v>26</v>
      </c>
      <c r="Q64" t="s">
        <v>28</v>
      </c>
      <c r="R64">
        <v>33508</v>
      </c>
    </row>
    <row r="65" spans="1:18" x14ac:dyDescent="0.25">
      <c r="A65" t="s">
        <v>183</v>
      </c>
      <c r="B65" t="s">
        <v>184</v>
      </c>
      <c r="C65" t="s">
        <v>149</v>
      </c>
      <c r="D65" t="s">
        <v>150</v>
      </c>
      <c r="E65" t="s">
        <v>151</v>
      </c>
      <c r="F65" t="s">
        <v>152</v>
      </c>
      <c r="G65" s="1">
        <v>45614</v>
      </c>
      <c r="H65" t="s">
        <v>51</v>
      </c>
      <c r="I65">
        <v>36098.5</v>
      </c>
      <c r="J65">
        <v>14115.4</v>
      </c>
      <c r="K65" t="s">
        <v>31</v>
      </c>
      <c r="L65" t="s">
        <v>41</v>
      </c>
      <c r="M65" t="s">
        <v>47</v>
      </c>
      <c r="N65">
        <v>195</v>
      </c>
      <c r="O65" s="1">
        <v>45723</v>
      </c>
      <c r="P65">
        <v>109</v>
      </c>
      <c r="Q65" t="s">
        <v>43</v>
      </c>
      <c r="R65">
        <v>9894.14</v>
      </c>
    </row>
    <row r="66" spans="1:18" x14ac:dyDescent="0.25">
      <c r="A66" t="s">
        <v>185</v>
      </c>
      <c r="B66" t="s">
        <v>186</v>
      </c>
      <c r="C66" t="s">
        <v>149</v>
      </c>
      <c r="D66" t="s">
        <v>150</v>
      </c>
      <c r="E66" t="s">
        <v>151</v>
      </c>
      <c r="F66" t="s">
        <v>152</v>
      </c>
      <c r="G66" s="1">
        <v>45568</v>
      </c>
      <c r="H66" t="s">
        <v>35</v>
      </c>
      <c r="I66">
        <v>6841.41</v>
      </c>
      <c r="J66">
        <v>3109.86</v>
      </c>
      <c r="K66" t="s">
        <v>56</v>
      </c>
      <c r="L66" t="s">
        <v>46</v>
      </c>
      <c r="M66" t="s">
        <v>47</v>
      </c>
      <c r="N66">
        <v>241</v>
      </c>
      <c r="O66" s="1">
        <v>45670</v>
      </c>
      <c r="P66">
        <v>102</v>
      </c>
      <c r="Q66" t="s">
        <v>38</v>
      </c>
      <c r="R66">
        <v>0</v>
      </c>
    </row>
    <row r="67" spans="1:18" x14ac:dyDescent="0.25">
      <c r="A67" t="s">
        <v>187</v>
      </c>
      <c r="B67" t="s">
        <v>188</v>
      </c>
      <c r="C67" t="s">
        <v>149</v>
      </c>
      <c r="D67" t="s">
        <v>150</v>
      </c>
      <c r="E67" t="s">
        <v>151</v>
      </c>
      <c r="F67" t="s">
        <v>152</v>
      </c>
      <c r="G67" s="1">
        <v>45788</v>
      </c>
      <c r="H67" t="s">
        <v>77</v>
      </c>
      <c r="I67">
        <v>76652.149999999994</v>
      </c>
      <c r="J67">
        <v>58424.94</v>
      </c>
      <c r="K67" t="s">
        <v>25</v>
      </c>
      <c r="L67" t="s">
        <v>36</v>
      </c>
      <c r="M67" t="s">
        <v>37</v>
      </c>
      <c r="N67">
        <v>21</v>
      </c>
      <c r="Q67" t="s">
        <v>38</v>
      </c>
      <c r="R67">
        <v>0</v>
      </c>
    </row>
    <row r="68" spans="1:18" x14ac:dyDescent="0.25">
      <c r="A68" t="s">
        <v>189</v>
      </c>
      <c r="B68" t="s">
        <v>190</v>
      </c>
      <c r="C68" t="s">
        <v>149</v>
      </c>
      <c r="D68" t="s">
        <v>150</v>
      </c>
      <c r="E68" t="s">
        <v>151</v>
      </c>
      <c r="F68" t="s">
        <v>152</v>
      </c>
      <c r="G68" s="1">
        <v>45566</v>
      </c>
      <c r="H68" t="s">
        <v>24</v>
      </c>
      <c r="I68">
        <v>68598.59</v>
      </c>
      <c r="J68">
        <v>32445.57</v>
      </c>
      <c r="K68" t="s">
        <v>25</v>
      </c>
      <c r="L68" t="s">
        <v>41</v>
      </c>
      <c r="M68" t="s">
        <v>47</v>
      </c>
      <c r="N68">
        <v>243</v>
      </c>
      <c r="O68" s="1">
        <v>45590</v>
      </c>
      <c r="P68">
        <v>24</v>
      </c>
      <c r="Q68" t="s">
        <v>43</v>
      </c>
      <c r="R68">
        <v>25250.47</v>
      </c>
    </row>
    <row r="69" spans="1:18" x14ac:dyDescent="0.25">
      <c r="A69" t="s">
        <v>191</v>
      </c>
      <c r="B69" t="s">
        <v>192</v>
      </c>
      <c r="C69" t="s">
        <v>149</v>
      </c>
      <c r="D69" t="s">
        <v>150</v>
      </c>
      <c r="E69" t="s">
        <v>151</v>
      </c>
      <c r="F69" t="s">
        <v>152</v>
      </c>
      <c r="G69" s="1">
        <v>45750</v>
      </c>
      <c r="H69" t="s">
        <v>59</v>
      </c>
      <c r="I69">
        <v>78890.23</v>
      </c>
      <c r="J69">
        <v>13634.15</v>
      </c>
      <c r="K69" t="s">
        <v>31</v>
      </c>
      <c r="L69" t="s">
        <v>72</v>
      </c>
      <c r="M69" t="s">
        <v>42</v>
      </c>
      <c r="N69">
        <v>59</v>
      </c>
      <c r="O69" s="1">
        <v>45789</v>
      </c>
      <c r="P69">
        <v>39</v>
      </c>
      <c r="Q69" t="s">
        <v>48</v>
      </c>
      <c r="R69">
        <v>6588.96</v>
      </c>
    </row>
    <row r="70" spans="1:18" x14ac:dyDescent="0.25">
      <c r="A70" t="s">
        <v>193</v>
      </c>
      <c r="B70" t="s">
        <v>194</v>
      </c>
      <c r="C70" t="s">
        <v>149</v>
      </c>
      <c r="D70" t="s">
        <v>150</v>
      </c>
      <c r="E70" t="s">
        <v>151</v>
      </c>
      <c r="F70" t="s">
        <v>152</v>
      </c>
      <c r="G70" s="1">
        <v>45605</v>
      </c>
      <c r="H70" t="s">
        <v>24</v>
      </c>
      <c r="I70">
        <v>94439.71</v>
      </c>
      <c r="J70">
        <v>18769.64</v>
      </c>
      <c r="K70" t="s">
        <v>31</v>
      </c>
      <c r="L70" t="s">
        <v>46</v>
      </c>
      <c r="M70" t="s">
        <v>27</v>
      </c>
      <c r="N70">
        <v>204</v>
      </c>
      <c r="O70" s="1">
        <v>45706</v>
      </c>
      <c r="P70">
        <v>101</v>
      </c>
      <c r="Q70" t="s">
        <v>28</v>
      </c>
      <c r="R70">
        <v>18769.64</v>
      </c>
    </row>
    <row r="71" spans="1:18" x14ac:dyDescent="0.25">
      <c r="A71" t="s">
        <v>195</v>
      </c>
      <c r="B71" t="s">
        <v>196</v>
      </c>
      <c r="C71" t="s">
        <v>149</v>
      </c>
      <c r="D71" t="s">
        <v>150</v>
      </c>
      <c r="E71" t="s">
        <v>151</v>
      </c>
      <c r="F71" t="s">
        <v>152</v>
      </c>
      <c r="G71" s="1">
        <v>45458</v>
      </c>
      <c r="H71" t="s">
        <v>77</v>
      </c>
      <c r="I71">
        <v>62039.1</v>
      </c>
      <c r="J71">
        <v>8734.57</v>
      </c>
      <c r="K71" t="s">
        <v>56</v>
      </c>
      <c r="L71" t="s">
        <v>52</v>
      </c>
      <c r="M71" t="s">
        <v>27</v>
      </c>
      <c r="N71">
        <v>351</v>
      </c>
      <c r="O71" s="1">
        <v>45545</v>
      </c>
      <c r="P71">
        <v>87</v>
      </c>
      <c r="Q71" t="s">
        <v>28</v>
      </c>
      <c r="R71">
        <v>8734.57</v>
      </c>
    </row>
    <row r="72" spans="1:18" x14ac:dyDescent="0.25">
      <c r="A72" t="s">
        <v>197</v>
      </c>
      <c r="B72" t="s">
        <v>198</v>
      </c>
      <c r="C72" t="s">
        <v>149</v>
      </c>
      <c r="D72" t="s">
        <v>150</v>
      </c>
      <c r="E72" t="s">
        <v>151</v>
      </c>
      <c r="F72" t="s">
        <v>152</v>
      </c>
      <c r="G72" s="1">
        <v>45549</v>
      </c>
      <c r="H72" t="s">
        <v>51</v>
      </c>
      <c r="I72">
        <v>66516.61</v>
      </c>
      <c r="J72">
        <v>3957.01</v>
      </c>
      <c r="K72" t="s">
        <v>31</v>
      </c>
      <c r="L72" t="s">
        <v>26</v>
      </c>
      <c r="M72" t="s">
        <v>27</v>
      </c>
      <c r="N72">
        <v>260</v>
      </c>
      <c r="O72" s="1">
        <v>45598</v>
      </c>
      <c r="P72">
        <v>49</v>
      </c>
      <c r="Q72" t="s">
        <v>43</v>
      </c>
      <c r="R72">
        <v>2758.92</v>
      </c>
    </row>
    <row r="73" spans="1:18" x14ac:dyDescent="0.25">
      <c r="A73" t="s">
        <v>199</v>
      </c>
      <c r="B73" t="s">
        <v>200</v>
      </c>
      <c r="C73" t="s">
        <v>149</v>
      </c>
      <c r="D73" t="s">
        <v>150</v>
      </c>
      <c r="E73" t="s">
        <v>151</v>
      </c>
      <c r="F73" t="s">
        <v>152</v>
      </c>
      <c r="G73" s="1">
        <v>45446</v>
      </c>
      <c r="H73" t="s">
        <v>24</v>
      </c>
      <c r="I73">
        <v>19534.16</v>
      </c>
      <c r="J73">
        <v>3557.22</v>
      </c>
      <c r="K73" t="s">
        <v>31</v>
      </c>
      <c r="L73" t="s">
        <v>41</v>
      </c>
      <c r="M73" t="s">
        <v>27</v>
      </c>
      <c r="N73">
        <v>363</v>
      </c>
      <c r="O73" s="1">
        <v>45566</v>
      </c>
      <c r="P73">
        <v>120</v>
      </c>
      <c r="Q73" t="s">
        <v>43</v>
      </c>
      <c r="R73">
        <v>1743.39</v>
      </c>
    </row>
    <row r="74" spans="1:18" x14ac:dyDescent="0.25">
      <c r="A74" t="s">
        <v>201</v>
      </c>
      <c r="B74" t="s">
        <v>202</v>
      </c>
      <c r="C74" t="s">
        <v>149</v>
      </c>
      <c r="D74" t="s">
        <v>150</v>
      </c>
      <c r="E74" t="s">
        <v>151</v>
      </c>
      <c r="F74" t="s">
        <v>152</v>
      </c>
      <c r="G74" s="1">
        <v>45585</v>
      </c>
      <c r="H74" t="s">
        <v>66</v>
      </c>
      <c r="I74">
        <v>83444.789999999994</v>
      </c>
      <c r="J74">
        <v>41251.43</v>
      </c>
      <c r="K74" t="s">
        <v>31</v>
      </c>
      <c r="L74" t="s">
        <v>26</v>
      </c>
      <c r="M74" t="s">
        <v>27</v>
      </c>
      <c r="N74">
        <v>224</v>
      </c>
      <c r="O74" s="1">
        <v>45645</v>
      </c>
      <c r="P74">
        <v>60</v>
      </c>
      <c r="Q74" t="s">
        <v>28</v>
      </c>
      <c r="R74">
        <v>41251.43</v>
      </c>
    </row>
    <row r="75" spans="1:18" x14ac:dyDescent="0.25">
      <c r="A75" t="s">
        <v>203</v>
      </c>
      <c r="B75" t="s">
        <v>204</v>
      </c>
      <c r="C75" t="s">
        <v>149</v>
      </c>
      <c r="D75" t="s">
        <v>150</v>
      </c>
      <c r="E75" t="s">
        <v>151</v>
      </c>
      <c r="F75" t="s">
        <v>152</v>
      </c>
      <c r="G75" s="1">
        <v>45571</v>
      </c>
      <c r="H75" t="s">
        <v>51</v>
      </c>
      <c r="I75">
        <v>59135.72</v>
      </c>
      <c r="J75">
        <v>32592.14</v>
      </c>
      <c r="K75" t="s">
        <v>31</v>
      </c>
      <c r="L75" t="s">
        <v>52</v>
      </c>
      <c r="M75" t="s">
        <v>27</v>
      </c>
      <c r="N75">
        <v>238</v>
      </c>
      <c r="O75" s="1">
        <v>45601</v>
      </c>
      <c r="P75">
        <v>30</v>
      </c>
      <c r="Q75" t="s">
        <v>28</v>
      </c>
      <c r="R75">
        <v>32592.14</v>
      </c>
    </row>
    <row r="76" spans="1:18" x14ac:dyDescent="0.25">
      <c r="A76" t="s">
        <v>205</v>
      </c>
      <c r="B76" t="s">
        <v>206</v>
      </c>
      <c r="C76" t="s">
        <v>149</v>
      </c>
      <c r="D76" t="s">
        <v>150</v>
      </c>
      <c r="E76" t="s">
        <v>151</v>
      </c>
      <c r="F76" t="s">
        <v>152</v>
      </c>
      <c r="G76" s="1">
        <v>45676</v>
      </c>
      <c r="H76" t="s">
        <v>35</v>
      </c>
      <c r="I76">
        <v>37332.19</v>
      </c>
      <c r="J76">
        <v>26514.81</v>
      </c>
      <c r="K76" t="s">
        <v>86</v>
      </c>
      <c r="L76" t="s">
        <v>72</v>
      </c>
      <c r="M76" t="s">
        <v>27</v>
      </c>
      <c r="N76">
        <v>133</v>
      </c>
      <c r="O76" s="1">
        <v>45703</v>
      </c>
      <c r="P76">
        <v>27</v>
      </c>
      <c r="Q76" t="s">
        <v>28</v>
      </c>
      <c r="R76">
        <v>26514.81</v>
      </c>
    </row>
    <row r="77" spans="1:18" x14ac:dyDescent="0.25">
      <c r="A77" t="s">
        <v>207</v>
      </c>
      <c r="B77" t="s">
        <v>208</v>
      </c>
      <c r="C77" t="s">
        <v>149</v>
      </c>
      <c r="D77" t="s">
        <v>150</v>
      </c>
      <c r="E77" t="s">
        <v>151</v>
      </c>
      <c r="F77" t="s">
        <v>152</v>
      </c>
      <c r="G77" s="1">
        <v>45600</v>
      </c>
      <c r="H77" t="s">
        <v>24</v>
      </c>
      <c r="I77">
        <v>51414.9</v>
      </c>
      <c r="J77">
        <v>31806.46</v>
      </c>
      <c r="K77" t="s">
        <v>86</v>
      </c>
      <c r="L77" t="s">
        <v>67</v>
      </c>
      <c r="M77" t="s">
        <v>27</v>
      </c>
      <c r="N77">
        <v>209</v>
      </c>
      <c r="O77" s="1">
        <v>45605</v>
      </c>
      <c r="P77">
        <v>5</v>
      </c>
      <c r="Q77" t="s">
        <v>28</v>
      </c>
      <c r="R77">
        <v>31806.46</v>
      </c>
    </row>
    <row r="78" spans="1:18" x14ac:dyDescent="0.25">
      <c r="A78" t="s">
        <v>209</v>
      </c>
      <c r="B78" t="s">
        <v>210</v>
      </c>
      <c r="C78" t="s">
        <v>149</v>
      </c>
      <c r="D78" t="s">
        <v>150</v>
      </c>
      <c r="E78" t="s">
        <v>151</v>
      </c>
      <c r="F78" t="s">
        <v>152</v>
      </c>
      <c r="G78" s="1">
        <v>45695</v>
      </c>
      <c r="H78" t="s">
        <v>35</v>
      </c>
      <c r="I78">
        <v>43418.11</v>
      </c>
      <c r="J78">
        <v>10093.790000000001</v>
      </c>
      <c r="K78" t="s">
        <v>86</v>
      </c>
      <c r="L78" t="s">
        <v>67</v>
      </c>
      <c r="M78" t="s">
        <v>27</v>
      </c>
      <c r="N78">
        <v>114</v>
      </c>
      <c r="O78" s="1">
        <v>45742</v>
      </c>
      <c r="P78">
        <v>47</v>
      </c>
      <c r="Q78" t="s">
        <v>43</v>
      </c>
      <c r="R78">
        <v>6536.35</v>
      </c>
    </row>
    <row r="79" spans="1:18" x14ac:dyDescent="0.25">
      <c r="A79" t="s">
        <v>211</v>
      </c>
      <c r="B79" t="s">
        <v>212</v>
      </c>
      <c r="C79" t="s">
        <v>213</v>
      </c>
      <c r="D79" t="s">
        <v>214</v>
      </c>
      <c r="E79" t="s">
        <v>215</v>
      </c>
      <c r="F79" t="s">
        <v>152</v>
      </c>
      <c r="G79" s="1">
        <v>45449</v>
      </c>
      <c r="H79" t="s">
        <v>24</v>
      </c>
      <c r="I79">
        <v>48105.8</v>
      </c>
      <c r="J79">
        <v>13468.05</v>
      </c>
      <c r="K79" t="s">
        <v>25</v>
      </c>
      <c r="L79" t="s">
        <v>46</v>
      </c>
      <c r="M79" t="s">
        <v>27</v>
      </c>
      <c r="N79">
        <v>360</v>
      </c>
      <c r="O79" s="1">
        <v>45547</v>
      </c>
      <c r="P79">
        <v>98</v>
      </c>
      <c r="Q79" t="s">
        <v>43</v>
      </c>
      <c r="R79">
        <v>8852.73</v>
      </c>
    </row>
    <row r="80" spans="1:18" x14ac:dyDescent="0.25">
      <c r="A80" t="s">
        <v>216</v>
      </c>
      <c r="B80" t="s">
        <v>217</v>
      </c>
      <c r="C80" t="s">
        <v>213</v>
      </c>
      <c r="D80" t="s">
        <v>214</v>
      </c>
      <c r="E80" t="s">
        <v>215</v>
      </c>
      <c r="F80" t="s">
        <v>152</v>
      </c>
      <c r="G80" s="1">
        <v>45714</v>
      </c>
      <c r="H80" t="s">
        <v>59</v>
      </c>
      <c r="I80">
        <v>23196.39</v>
      </c>
      <c r="J80">
        <v>14009.54</v>
      </c>
      <c r="K80" t="s">
        <v>31</v>
      </c>
      <c r="L80" t="s">
        <v>41</v>
      </c>
      <c r="M80" t="s">
        <v>42</v>
      </c>
      <c r="N80">
        <v>95</v>
      </c>
      <c r="O80" s="1">
        <v>45741</v>
      </c>
      <c r="P80">
        <v>27</v>
      </c>
      <c r="Q80" t="s">
        <v>28</v>
      </c>
      <c r="R80">
        <v>14009.54</v>
      </c>
    </row>
    <row r="81" spans="1:18" x14ac:dyDescent="0.25">
      <c r="A81" t="s">
        <v>218</v>
      </c>
      <c r="B81" t="s">
        <v>219</v>
      </c>
      <c r="C81" t="s">
        <v>213</v>
      </c>
      <c r="D81" t="s">
        <v>214</v>
      </c>
      <c r="E81" t="s">
        <v>215</v>
      </c>
      <c r="F81" t="s">
        <v>152</v>
      </c>
      <c r="G81" s="1">
        <v>45624</v>
      </c>
      <c r="H81" t="s">
        <v>35</v>
      </c>
      <c r="I81">
        <v>22046.95</v>
      </c>
      <c r="J81">
        <v>1336.29</v>
      </c>
      <c r="K81" t="s">
        <v>31</v>
      </c>
      <c r="L81" t="s">
        <v>72</v>
      </c>
      <c r="M81" t="s">
        <v>42</v>
      </c>
      <c r="N81">
        <v>185</v>
      </c>
      <c r="O81" s="1">
        <v>45697</v>
      </c>
      <c r="P81">
        <v>73</v>
      </c>
      <c r="Q81" t="s">
        <v>28</v>
      </c>
      <c r="R81">
        <v>1336.29</v>
      </c>
    </row>
    <row r="82" spans="1:18" x14ac:dyDescent="0.25">
      <c r="A82" t="s">
        <v>220</v>
      </c>
      <c r="B82" t="s">
        <v>221</v>
      </c>
      <c r="C82" t="s">
        <v>213</v>
      </c>
      <c r="D82" t="s">
        <v>214</v>
      </c>
      <c r="E82" t="s">
        <v>215</v>
      </c>
      <c r="F82" t="s">
        <v>152</v>
      </c>
      <c r="G82" s="1">
        <v>45744</v>
      </c>
      <c r="H82" t="s">
        <v>77</v>
      </c>
      <c r="I82">
        <v>65597.62</v>
      </c>
      <c r="J82">
        <v>40315.910000000003</v>
      </c>
      <c r="K82" t="s">
        <v>25</v>
      </c>
      <c r="L82" t="s">
        <v>41</v>
      </c>
      <c r="M82" t="s">
        <v>27</v>
      </c>
      <c r="N82">
        <v>65</v>
      </c>
      <c r="O82" s="1">
        <v>45775</v>
      </c>
      <c r="P82">
        <v>31</v>
      </c>
      <c r="Q82" t="s">
        <v>28</v>
      </c>
      <c r="R82">
        <v>40315.910000000003</v>
      </c>
    </row>
    <row r="83" spans="1:18" x14ac:dyDescent="0.25">
      <c r="A83" t="s">
        <v>222</v>
      </c>
      <c r="B83" t="s">
        <v>223</v>
      </c>
      <c r="C83" t="s">
        <v>213</v>
      </c>
      <c r="D83" t="s">
        <v>214</v>
      </c>
      <c r="E83" t="s">
        <v>215</v>
      </c>
      <c r="F83" t="s">
        <v>152</v>
      </c>
      <c r="G83" s="1">
        <v>45782</v>
      </c>
      <c r="H83" t="s">
        <v>77</v>
      </c>
      <c r="I83">
        <v>28985.45</v>
      </c>
      <c r="J83">
        <v>20182.34</v>
      </c>
      <c r="K83" t="s">
        <v>25</v>
      </c>
      <c r="L83" t="s">
        <v>32</v>
      </c>
      <c r="M83" t="s">
        <v>53</v>
      </c>
      <c r="N83">
        <v>27</v>
      </c>
      <c r="Q83" t="s">
        <v>38</v>
      </c>
      <c r="R83">
        <v>0</v>
      </c>
    </row>
    <row r="84" spans="1:18" x14ac:dyDescent="0.25">
      <c r="A84" t="s">
        <v>224</v>
      </c>
      <c r="B84" t="s">
        <v>225</v>
      </c>
      <c r="C84" t="s">
        <v>213</v>
      </c>
      <c r="D84" t="s">
        <v>214</v>
      </c>
      <c r="E84" t="s">
        <v>215</v>
      </c>
      <c r="F84" t="s">
        <v>152</v>
      </c>
      <c r="G84" s="1">
        <v>45513</v>
      </c>
      <c r="H84" t="s">
        <v>59</v>
      </c>
      <c r="I84">
        <v>64797.34</v>
      </c>
      <c r="J84">
        <v>5845.16</v>
      </c>
      <c r="K84" t="s">
        <v>25</v>
      </c>
      <c r="L84" t="s">
        <v>41</v>
      </c>
      <c r="M84" t="s">
        <v>53</v>
      </c>
      <c r="N84">
        <v>296</v>
      </c>
      <c r="Q84" t="s">
        <v>38</v>
      </c>
      <c r="R84">
        <v>0</v>
      </c>
    </row>
    <row r="85" spans="1:18" x14ac:dyDescent="0.25">
      <c r="A85" t="s">
        <v>226</v>
      </c>
      <c r="B85" t="s">
        <v>227</v>
      </c>
      <c r="C85" t="s">
        <v>213</v>
      </c>
      <c r="D85" t="s">
        <v>214</v>
      </c>
      <c r="E85" t="s">
        <v>215</v>
      </c>
      <c r="F85" t="s">
        <v>152</v>
      </c>
      <c r="G85" s="1">
        <v>45681</v>
      </c>
      <c r="H85" t="s">
        <v>59</v>
      </c>
      <c r="I85">
        <v>16252.9</v>
      </c>
      <c r="J85">
        <v>10130.959999999999</v>
      </c>
      <c r="K85" t="s">
        <v>31</v>
      </c>
      <c r="L85" t="s">
        <v>46</v>
      </c>
      <c r="M85" t="s">
        <v>47</v>
      </c>
      <c r="N85">
        <v>128</v>
      </c>
      <c r="O85" s="1">
        <v>45732</v>
      </c>
      <c r="P85">
        <v>51</v>
      </c>
      <c r="Q85" t="s">
        <v>43</v>
      </c>
      <c r="R85">
        <v>4717.3100000000004</v>
      </c>
    </row>
    <row r="86" spans="1:18" x14ac:dyDescent="0.25">
      <c r="A86" t="s">
        <v>228</v>
      </c>
      <c r="B86" t="s">
        <v>229</v>
      </c>
      <c r="C86" t="s">
        <v>213</v>
      </c>
      <c r="D86" t="s">
        <v>214</v>
      </c>
      <c r="E86" t="s">
        <v>215</v>
      </c>
      <c r="F86" t="s">
        <v>152</v>
      </c>
      <c r="G86" s="1">
        <v>45507</v>
      </c>
      <c r="H86" t="s">
        <v>59</v>
      </c>
      <c r="I86">
        <v>99052.97</v>
      </c>
      <c r="J86">
        <v>27639.26</v>
      </c>
      <c r="K86" t="s">
        <v>31</v>
      </c>
      <c r="L86" t="s">
        <v>26</v>
      </c>
      <c r="M86" t="s">
        <v>42</v>
      </c>
      <c r="N86">
        <v>302</v>
      </c>
      <c r="O86" s="1">
        <v>45536</v>
      </c>
      <c r="P86">
        <v>29</v>
      </c>
      <c r="Q86" t="s">
        <v>43</v>
      </c>
      <c r="R86">
        <v>9916.6299999999992</v>
      </c>
    </row>
    <row r="87" spans="1:18" x14ac:dyDescent="0.25">
      <c r="A87" t="s">
        <v>230</v>
      </c>
      <c r="B87" t="s">
        <v>231</v>
      </c>
      <c r="C87" t="s">
        <v>213</v>
      </c>
      <c r="D87" t="s">
        <v>214</v>
      </c>
      <c r="E87" t="s">
        <v>215</v>
      </c>
      <c r="F87" t="s">
        <v>152</v>
      </c>
      <c r="G87" s="1">
        <v>45767</v>
      </c>
      <c r="H87" t="s">
        <v>77</v>
      </c>
      <c r="I87">
        <v>19920.419999999998</v>
      </c>
      <c r="J87">
        <v>3592.85</v>
      </c>
      <c r="K87" t="s">
        <v>25</v>
      </c>
      <c r="L87" t="s">
        <v>32</v>
      </c>
      <c r="M87" t="s">
        <v>27</v>
      </c>
      <c r="N87">
        <v>42</v>
      </c>
      <c r="O87" s="1">
        <v>45808</v>
      </c>
      <c r="P87">
        <v>41</v>
      </c>
      <c r="Q87" t="s">
        <v>43</v>
      </c>
      <c r="R87">
        <v>788.93</v>
      </c>
    </row>
    <row r="88" spans="1:18" x14ac:dyDescent="0.25">
      <c r="A88" t="s">
        <v>232</v>
      </c>
      <c r="B88" t="s">
        <v>233</v>
      </c>
      <c r="C88" t="s">
        <v>213</v>
      </c>
      <c r="D88" t="s">
        <v>214</v>
      </c>
      <c r="E88" t="s">
        <v>215</v>
      </c>
      <c r="F88" t="s">
        <v>152</v>
      </c>
      <c r="G88" s="1">
        <v>45661</v>
      </c>
      <c r="H88" t="s">
        <v>24</v>
      </c>
      <c r="I88">
        <v>72160.800000000003</v>
      </c>
      <c r="J88">
        <v>41654.15</v>
      </c>
      <c r="K88" t="s">
        <v>31</v>
      </c>
      <c r="L88" t="s">
        <v>46</v>
      </c>
      <c r="M88" t="s">
        <v>42</v>
      </c>
      <c r="N88">
        <v>148</v>
      </c>
      <c r="O88" s="1">
        <v>45764</v>
      </c>
      <c r="P88">
        <v>103</v>
      </c>
      <c r="Q88" t="s">
        <v>48</v>
      </c>
      <c r="R88">
        <v>13992.29</v>
      </c>
    </row>
    <row r="89" spans="1:18" x14ac:dyDescent="0.25">
      <c r="A89" t="s">
        <v>234</v>
      </c>
      <c r="B89" t="s">
        <v>235</v>
      </c>
      <c r="C89" t="s">
        <v>213</v>
      </c>
      <c r="D89" t="s">
        <v>214</v>
      </c>
      <c r="E89" t="s">
        <v>215</v>
      </c>
      <c r="F89" t="s">
        <v>152</v>
      </c>
      <c r="G89" s="1">
        <v>45707</v>
      </c>
      <c r="H89" t="s">
        <v>35</v>
      </c>
      <c r="I89">
        <v>45388.2</v>
      </c>
      <c r="J89">
        <v>20806.939999999999</v>
      </c>
      <c r="K89" t="s">
        <v>31</v>
      </c>
      <c r="L89" t="s">
        <v>36</v>
      </c>
      <c r="M89" t="s">
        <v>53</v>
      </c>
      <c r="N89">
        <v>102</v>
      </c>
      <c r="Q89" t="s">
        <v>38</v>
      </c>
      <c r="R89">
        <v>0</v>
      </c>
    </row>
    <row r="90" spans="1:18" x14ac:dyDescent="0.25">
      <c r="A90" t="s">
        <v>236</v>
      </c>
      <c r="B90" t="s">
        <v>237</v>
      </c>
      <c r="C90" t="s">
        <v>213</v>
      </c>
      <c r="D90" t="s">
        <v>214</v>
      </c>
      <c r="E90" t="s">
        <v>215</v>
      </c>
      <c r="F90" t="s">
        <v>152</v>
      </c>
      <c r="G90" s="1">
        <v>45724</v>
      </c>
      <c r="H90" t="s">
        <v>35</v>
      </c>
      <c r="I90">
        <v>80299.710000000006</v>
      </c>
      <c r="J90">
        <v>39851.379999999997</v>
      </c>
      <c r="K90" t="s">
        <v>86</v>
      </c>
      <c r="L90" t="s">
        <v>67</v>
      </c>
      <c r="M90" t="s">
        <v>37</v>
      </c>
      <c r="N90">
        <v>85</v>
      </c>
      <c r="Q90" t="s">
        <v>38</v>
      </c>
      <c r="R90">
        <v>0</v>
      </c>
    </row>
    <row r="91" spans="1:18" x14ac:dyDescent="0.25">
      <c r="A91" t="s">
        <v>238</v>
      </c>
      <c r="B91" t="s">
        <v>239</v>
      </c>
      <c r="C91" t="s">
        <v>213</v>
      </c>
      <c r="D91" t="s">
        <v>214</v>
      </c>
      <c r="E91" t="s">
        <v>215</v>
      </c>
      <c r="F91" t="s">
        <v>152</v>
      </c>
      <c r="G91" s="1">
        <v>45456</v>
      </c>
      <c r="H91" t="s">
        <v>59</v>
      </c>
      <c r="I91">
        <v>33888.660000000003</v>
      </c>
      <c r="J91">
        <v>11924.79</v>
      </c>
      <c r="K91" t="s">
        <v>31</v>
      </c>
      <c r="L91" t="s">
        <v>67</v>
      </c>
      <c r="M91" t="s">
        <v>27</v>
      </c>
      <c r="N91">
        <v>353</v>
      </c>
      <c r="O91" s="1">
        <v>45535</v>
      </c>
      <c r="P91">
        <v>79</v>
      </c>
      <c r="Q91" t="s">
        <v>28</v>
      </c>
      <c r="R91">
        <v>11924.79</v>
      </c>
    </row>
    <row r="92" spans="1:18" x14ac:dyDescent="0.25">
      <c r="A92" t="s">
        <v>240</v>
      </c>
      <c r="B92" t="s">
        <v>241</v>
      </c>
      <c r="C92" t="s">
        <v>213</v>
      </c>
      <c r="D92" t="s">
        <v>214</v>
      </c>
      <c r="E92" t="s">
        <v>215</v>
      </c>
      <c r="F92" t="s">
        <v>152</v>
      </c>
      <c r="G92" s="1">
        <v>45587</v>
      </c>
      <c r="H92" t="s">
        <v>66</v>
      </c>
      <c r="I92">
        <v>74780.72</v>
      </c>
      <c r="J92">
        <v>37598.639999999999</v>
      </c>
      <c r="K92" t="s">
        <v>25</v>
      </c>
      <c r="L92" t="s">
        <v>72</v>
      </c>
      <c r="M92" t="s">
        <v>42</v>
      </c>
      <c r="N92">
        <v>222</v>
      </c>
      <c r="O92" s="1">
        <v>45676</v>
      </c>
      <c r="P92">
        <v>89</v>
      </c>
      <c r="Q92" t="s">
        <v>118</v>
      </c>
      <c r="R92">
        <v>0</v>
      </c>
    </row>
    <row r="93" spans="1:18" x14ac:dyDescent="0.25">
      <c r="A93" t="s">
        <v>242</v>
      </c>
      <c r="B93" t="s">
        <v>243</v>
      </c>
      <c r="C93" t="s">
        <v>213</v>
      </c>
      <c r="D93" t="s">
        <v>214</v>
      </c>
      <c r="E93" t="s">
        <v>215</v>
      </c>
      <c r="F93" t="s">
        <v>152</v>
      </c>
      <c r="G93" s="1">
        <v>45513</v>
      </c>
      <c r="H93" t="s">
        <v>24</v>
      </c>
      <c r="I93">
        <v>8822.01</v>
      </c>
      <c r="J93">
        <v>5444.96</v>
      </c>
      <c r="K93" t="s">
        <v>31</v>
      </c>
      <c r="L93" t="s">
        <v>67</v>
      </c>
      <c r="M93" t="s">
        <v>42</v>
      </c>
      <c r="N93">
        <v>296</v>
      </c>
      <c r="O93" s="1">
        <v>45539</v>
      </c>
      <c r="P93">
        <v>26</v>
      </c>
      <c r="Q93" t="s">
        <v>38</v>
      </c>
      <c r="R93">
        <v>0</v>
      </c>
    </row>
    <row r="94" spans="1:18" x14ac:dyDescent="0.25">
      <c r="A94" t="s">
        <v>244</v>
      </c>
      <c r="B94" t="s">
        <v>245</v>
      </c>
      <c r="C94" t="s">
        <v>213</v>
      </c>
      <c r="D94" t="s">
        <v>214</v>
      </c>
      <c r="E94" t="s">
        <v>215</v>
      </c>
      <c r="F94" t="s">
        <v>152</v>
      </c>
      <c r="G94" s="1">
        <v>45585</v>
      </c>
      <c r="H94" t="s">
        <v>35</v>
      </c>
      <c r="I94">
        <v>65304.55</v>
      </c>
      <c r="J94">
        <v>27349.18</v>
      </c>
      <c r="K94" t="s">
        <v>25</v>
      </c>
      <c r="L94" t="s">
        <v>32</v>
      </c>
      <c r="M94" t="s">
        <v>27</v>
      </c>
      <c r="N94">
        <v>224</v>
      </c>
      <c r="O94" s="1">
        <v>45673</v>
      </c>
      <c r="P94">
        <v>88</v>
      </c>
      <c r="Q94" t="s">
        <v>28</v>
      </c>
      <c r="R94">
        <v>27349.18</v>
      </c>
    </row>
    <row r="95" spans="1:18" x14ac:dyDescent="0.25">
      <c r="A95" t="s">
        <v>246</v>
      </c>
      <c r="B95" t="s">
        <v>247</v>
      </c>
      <c r="C95" t="s">
        <v>213</v>
      </c>
      <c r="D95" t="s">
        <v>214</v>
      </c>
      <c r="E95" t="s">
        <v>215</v>
      </c>
      <c r="F95" t="s">
        <v>152</v>
      </c>
      <c r="G95" s="1">
        <v>45726</v>
      </c>
      <c r="H95" t="s">
        <v>51</v>
      </c>
      <c r="I95">
        <v>36331.35</v>
      </c>
      <c r="J95">
        <v>20718.14</v>
      </c>
      <c r="K95" t="s">
        <v>31</v>
      </c>
      <c r="L95" t="s">
        <v>72</v>
      </c>
      <c r="M95" t="s">
        <v>27</v>
      </c>
      <c r="N95">
        <v>83</v>
      </c>
      <c r="O95" s="1">
        <v>45769</v>
      </c>
      <c r="P95">
        <v>43</v>
      </c>
      <c r="Q95" t="s">
        <v>28</v>
      </c>
      <c r="R95">
        <v>20718.14</v>
      </c>
    </row>
    <row r="96" spans="1:18" x14ac:dyDescent="0.25">
      <c r="A96" t="s">
        <v>248</v>
      </c>
      <c r="B96" t="s">
        <v>249</v>
      </c>
      <c r="C96" t="s">
        <v>213</v>
      </c>
      <c r="D96" t="s">
        <v>214</v>
      </c>
      <c r="E96" t="s">
        <v>215</v>
      </c>
      <c r="F96" t="s">
        <v>152</v>
      </c>
      <c r="G96" s="1">
        <v>45749</v>
      </c>
      <c r="H96" t="s">
        <v>77</v>
      </c>
      <c r="I96">
        <v>97167.55</v>
      </c>
      <c r="J96">
        <v>34312.9</v>
      </c>
      <c r="K96" t="s">
        <v>31</v>
      </c>
      <c r="L96" t="s">
        <v>67</v>
      </c>
      <c r="M96" t="s">
        <v>27</v>
      </c>
      <c r="N96">
        <v>60</v>
      </c>
      <c r="O96" s="1">
        <v>45764</v>
      </c>
      <c r="P96">
        <v>15</v>
      </c>
      <c r="Q96" t="s">
        <v>43</v>
      </c>
      <c r="R96">
        <v>19681.2</v>
      </c>
    </row>
    <row r="97" spans="1:18" x14ac:dyDescent="0.25">
      <c r="A97" t="s">
        <v>250</v>
      </c>
      <c r="B97" t="s">
        <v>251</v>
      </c>
      <c r="C97" t="s">
        <v>213</v>
      </c>
      <c r="D97" t="s">
        <v>214</v>
      </c>
      <c r="E97" t="s">
        <v>215</v>
      </c>
      <c r="F97" t="s">
        <v>152</v>
      </c>
      <c r="G97" s="1">
        <v>45553</v>
      </c>
      <c r="H97" t="s">
        <v>59</v>
      </c>
      <c r="I97">
        <v>64413.83</v>
      </c>
      <c r="J97">
        <v>39936.120000000003</v>
      </c>
      <c r="K97" t="s">
        <v>25</v>
      </c>
      <c r="L97" t="s">
        <v>36</v>
      </c>
      <c r="M97" t="s">
        <v>42</v>
      </c>
      <c r="N97">
        <v>256</v>
      </c>
      <c r="O97" s="1">
        <v>45612</v>
      </c>
      <c r="P97">
        <v>59</v>
      </c>
      <c r="Q97" t="s">
        <v>118</v>
      </c>
      <c r="R97">
        <v>0</v>
      </c>
    </row>
    <row r="98" spans="1:18" x14ac:dyDescent="0.25">
      <c r="A98" t="s">
        <v>252</v>
      </c>
      <c r="B98" t="s">
        <v>253</v>
      </c>
      <c r="C98" t="s">
        <v>213</v>
      </c>
      <c r="D98" t="s">
        <v>214</v>
      </c>
      <c r="E98" t="s">
        <v>215</v>
      </c>
      <c r="F98" t="s">
        <v>152</v>
      </c>
      <c r="G98" s="1">
        <v>45560</v>
      </c>
      <c r="H98" t="s">
        <v>66</v>
      </c>
      <c r="I98">
        <v>16535.48</v>
      </c>
      <c r="J98">
        <v>12895.36</v>
      </c>
      <c r="K98" t="s">
        <v>31</v>
      </c>
      <c r="L98" t="s">
        <v>36</v>
      </c>
      <c r="M98" t="s">
        <v>27</v>
      </c>
      <c r="N98">
        <v>249</v>
      </c>
      <c r="O98" s="1">
        <v>45564</v>
      </c>
      <c r="P98">
        <v>4</v>
      </c>
      <c r="Q98" t="s">
        <v>43</v>
      </c>
      <c r="R98">
        <v>3300.25</v>
      </c>
    </row>
    <row r="99" spans="1:18" x14ac:dyDescent="0.25">
      <c r="A99" t="s">
        <v>254</v>
      </c>
      <c r="B99" t="s">
        <v>255</v>
      </c>
      <c r="C99" t="s">
        <v>213</v>
      </c>
      <c r="D99" t="s">
        <v>214</v>
      </c>
      <c r="E99" t="s">
        <v>215</v>
      </c>
      <c r="F99" t="s">
        <v>152</v>
      </c>
      <c r="G99" s="1">
        <v>45750</v>
      </c>
      <c r="H99" t="s">
        <v>51</v>
      </c>
      <c r="I99">
        <v>48837.55</v>
      </c>
      <c r="J99">
        <v>6744.45</v>
      </c>
      <c r="K99" t="s">
        <v>86</v>
      </c>
      <c r="L99" t="s">
        <v>41</v>
      </c>
      <c r="M99" t="s">
        <v>27</v>
      </c>
      <c r="N99">
        <v>59</v>
      </c>
      <c r="O99" s="1">
        <v>45770</v>
      </c>
      <c r="P99">
        <v>20</v>
      </c>
      <c r="Q99" t="s">
        <v>43</v>
      </c>
      <c r="R99">
        <v>3301.41</v>
      </c>
    </row>
    <row r="100" spans="1:18" x14ac:dyDescent="0.25">
      <c r="A100" t="s">
        <v>256</v>
      </c>
      <c r="B100" t="s">
        <v>257</v>
      </c>
      <c r="C100" t="s">
        <v>213</v>
      </c>
      <c r="D100" t="s">
        <v>214</v>
      </c>
      <c r="E100" t="s">
        <v>215</v>
      </c>
      <c r="F100" t="s">
        <v>152</v>
      </c>
      <c r="G100" s="1">
        <v>45567</v>
      </c>
      <c r="H100" t="s">
        <v>59</v>
      </c>
      <c r="I100">
        <v>28154.44</v>
      </c>
      <c r="J100">
        <v>13048.14</v>
      </c>
      <c r="K100" t="s">
        <v>31</v>
      </c>
      <c r="L100" t="s">
        <v>36</v>
      </c>
      <c r="M100" t="s">
        <v>42</v>
      </c>
      <c r="N100">
        <v>242</v>
      </c>
      <c r="O100" s="1">
        <v>45605</v>
      </c>
      <c r="P100">
        <v>38</v>
      </c>
      <c r="Q100" t="s">
        <v>48</v>
      </c>
      <c r="R100">
        <v>5764.21</v>
      </c>
    </row>
    <row r="101" spans="1:18" x14ac:dyDescent="0.25">
      <c r="A101" t="s">
        <v>258</v>
      </c>
      <c r="B101" t="s">
        <v>259</v>
      </c>
      <c r="C101" t="s">
        <v>213</v>
      </c>
      <c r="D101" t="s">
        <v>214</v>
      </c>
      <c r="E101" t="s">
        <v>215</v>
      </c>
      <c r="F101" t="s">
        <v>152</v>
      </c>
      <c r="G101" s="1">
        <v>45634</v>
      </c>
      <c r="H101" t="s">
        <v>35</v>
      </c>
      <c r="I101">
        <v>93753.600000000006</v>
      </c>
      <c r="J101">
        <v>40389.360000000001</v>
      </c>
      <c r="K101" t="s">
        <v>86</v>
      </c>
      <c r="L101" t="s">
        <v>41</v>
      </c>
      <c r="M101" t="s">
        <v>42</v>
      </c>
      <c r="N101">
        <v>175</v>
      </c>
      <c r="O101" s="1">
        <v>45711</v>
      </c>
      <c r="P101">
        <v>77</v>
      </c>
      <c r="Q101" t="s">
        <v>38</v>
      </c>
      <c r="R101">
        <v>0</v>
      </c>
    </row>
    <row r="102" spans="1:18" x14ac:dyDescent="0.25">
      <c r="A102" t="s">
        <v>260</v>
      </c>
      <c r="B102" t="s">
        <v>261</v>
      </c>
      <c r="C102" t="s">
        <v>213</v>
      </c>
      <c r="D102" t="s">
        <v>214</v>
      </c>
      <c r="E102" t="s">
        <v>215</v>
      </c>
      <c r="F102" t="s">
        <v>152</v>
      </c>
      <c r="G102" s="1">
        <v>45558</v>
      </c>
      <c r="H102" t="s">
        <v>35</v>
      </c>
      <c r="I102">
        <v>87199.76</v>
      </c>
      <c r="J102">
        <v>33564.11</v>
      </c>
      <c r="K102" t="s">
        <v>31</v>
      </c>
      <c r="L102" t="s">
        <v>32</v>
      </c>
      <c r="M102" t="s">
        <v>27</v>
      </c>
      <c r="N102">
        <v>251</v>
      </c>
      <c r="O102" s="1">
        <v>45602</v>
      </c>
      <c r="P102">
        <v>44</v>
      </c>
      <c r="Q102" t="s">
        <v>118</v>
      </c>
      <c r="R102">
        <v>0</v>
      </c>
    </row>
    <row r="103" spans="1:18" x14ac:dyDescent="0.25">
      <c r="A103" t="s">
        <v>262</v>
      </c>
      <c r="B103" t="s">
        <v>263</v>
      </c>
      <c r="C103" t="s">
        <v>213</v>
      </c>
      <c r="D103" t="s">
        <v>214</v>
      </c>
      <c r="E103" t="s">
        <v>215</v>
      </c>
      <c r="F103" t="s">
        <v>152</v>
      </c>
      <c r="G103" s="1">
        <v>45451</v>
      </c>
      <c r="H103" t="s">
        <v>51</v>
      </c>
      <c r="I103">
        <v>27686.53</v>
      </c>
      <c r="J103">
        <v>9336.68</v>
      </c>
      <c r="K103" t="s">
        <v>86</v>
      </c>
      <c r="L103" t="s">
        <v>72</v>
      </c>
      <c r="M103" t="s">
        <v>27</v>
      </c>
      <c r="N103">
        <v>358</v>
      </c>
      <c r="O103" s="1">
        <v>45514</v>
      </c>
      <c r="P103">
        <v>63</v>
      </c>
      <c r="Q103" t="s">
        <v>48</v>
      </c>
      <c r="R103">
        <v>3964.01</v>
      </c>
    </row>
    <row r="104" spans="1:18" x14ac:dyDescent="0.25">
      <c r="A104" t="s">
        <v>264</v>
      </c>
      <c r="B104" t="s">
        <v>265</v>
      </c>
      <c r="C104" t="s">
        <v>213</v>
      </c>
      <c r="D104" t="s">
        <v>214</v>
      </c>
      <c r="E104" t="s">
        <v>215</v>
      </c>
      <c r="F104" t="s">
        <v>152</v>
      </c>
      <c r="G104" s="1">
        <v>45611</v>
      </c>
      <c r="H104" t="s">
        <v>66</v>
      </c>
      <c r="I104">
        <v>98899.33</v>
      </c>
      <c r="J104">
        <v>63720.37</v>
      </c>
      <c r="K104" t="s">
        <v>86</v>
      </c>
      <c r="L104" t="s">
        <v>67</v>
      </c>
      <c r="M104" t="s">
        <v>42</v>
      </c>
      <c r="N104">
        <v>198</v>
      </c>
      <c r="O104" s="1">
        <v>45630</v>
      </c>
      <c r="P104">
        <v>19</v>
      </c>
      <c r="Q104" t="s">
        <v>43</v>
      </c>
      <c r="R104">
        <v>35307.980000000003</v>
      </c>
    </row>
    <row r="105" spans="1:18" x14ac:dyDescent="0.25">
      <c r="A105" t="s">
        <v>266</v>
      </c>
      <c r="B105" t="s">
        <v>267</v>
      </c>
      <c r="C105" t="s">
        <v>213</v>
      </c>
      <c r="D105" t="s">
        <v>214</v>
      </c>
      <c r="E105" t="s">
        <v>215</v>
      </c>
      <c r="F105" t="s">
        <v>152</v>
      </c>
      <c r="G105" s="1">
        <v>45757</v>
      </c>
      <c r="H105" t="s">
        <v>51</v>
      </c>
      <c r="I105">
        <v>88048.09</v>
      </c>
      <c r="J105">
        <v>33478.5</v>
      </c>
      <c r="K105" t="s">
        <v>31</v>
      </c>
      <c r="L105" t="s">
        <v>72</v>
      </c>
      <c r="M105" t="s">
        <v>47</v>
      </c>
      <c r="N105">
        <v>52</v>
      </c>
      <c r="O105" s="1">
        <v>45786</v>
      </c>
      <c r="P105">
        <v>29</v>
      </c>
      <c r="Q105" t="s">
        <v>118</v>
      </c>
      <c r="R105">
        <v>0</v>
      </c>
    </row>
    <row r="106" spans="1:18" x14ac:dyDescent="0.25">
      <c r="A106" t="s">
        <v>268</v>
      </c>
      <c r="B106" t="s">
        <v>269</v>
      </c>
      <c r="C106" t="s">
        <v>213</v>
      </c>
      <c r="D106" t="s">
        <v>214</v>
      </c>
      <c r="E106" t="s">
        <v>215</v>
      </c>
      <c r="F106" t="s">
        <v>152</v>
      </c>
      <c r="G106" s="1">
        <v>45729</v>
      </c>
      <c r="H106" t="s">
        <v>59</v>
      </c>
      <c r="I106">
        <v>12108.68</v>
      </c>
      <c r="J106">
        <v>7702.86</v>
      </c>
      <c r="K106" t="s">
        <v>31</v>
      </c>
      <c r="L106" t="s">
        <v>32</v>
      </c>
      <c r="M106" t="s">
        <v>27</v>
      </c>
      <c r="N106">
        <v>80</v>
      </c>
      <c r="O106" s="1">
        <v>45774</v>
      </c>
      <c r="P106">
        <v>45</v>
      </c>
      <c r="Q106" t="s">
        <v>118</v>
      </c>
      <c r="R106">
        <v>0</v>
      </c>
    </row>
    <row r="107" spans="1:18" x14ac:dyDescent="0.25">
      <c r="A107" t="s">
        <v>270</v>
      </c>
      <c r="B107" t="s">
        <v>271</v>
      </c>
      <c r="C107" t="s">
        <v>213</v>
      </c>
      <c r="D107" t="s">
        <v>214</v>
      </c>
      <c r="E107" t="s">
        <v>215</v>
      </c>
      <c r="F107" t="s">
        <v>152</v>
      </c>
      <c r="G107" s="1">
        <v>45535</v>
      </c>
      <c r="H107" t="s">
        <v>51</v>
      </c>
      <c r="I107">
        <v>41100.89</v>
      </c>
      <c r="J107">
        <v>11816.34</v>
      </c>
      <c r="K107" t="s">
        <v>86</v>
      </c>
      <c r="L107" t="s">
        <v>72</v>
      </c>
      <c r="M107" t="s">
        <v>27</v>
      </c>
      <c r="N107">
        <v>274</v>
      </c>
      <c r="O107" s="1">
        <v>45568</v>
      </c>
      <c r="P107">
        <v>33</v>
      </c>
      <c r="Q107" t="s">
        <v>43</v>
      </c>
      <c r="R107">
        <v>8892.4699999999993</v>
      </c>
    </row>
    <row r="108" spans="1:18" x14ac:dyDescent="0.25">
      <c r="A108" t="s">
        <v>272</v>
      </c>
      <c r="B108" t="s">
        <v>273</v>
      </c>
      <c r="C108" t="s">
        <v>213</v>
      </c>
      <c r="D108" t="s">
        <v>214</v>
      </c>
      <c r="E108" t="s">
        <v>215</v>
      </c>
      <c r="F108" t="s">
        <v>152</v>
      </c>
      <c r="G108" s="1">
        <v>45692</v>
      </c>
      <c r="H108" t="s">
        <v>24</v>
      </c>
      <c r="I108">
        <v>75942.8</v>
      </c>
      <c r="J108">
        <v>28514.9</v>
      </c>
      <c r="K108" t="s">
        <v>25</v>
      </c>
      <c r="L108" t="s">
        <v>26</v>
      </c>
      <c r="M108" t="s">
        <v>27</v>
      </c>
      <c r="N108">
        <v>117</v>
      </c>
      <c r="O108" s="1">
        <v>45783</v>
      </c>
      <c r="P108">
        <v>91</v>
      </c>
      <c r="Q108" t="s">
        <v>28</v>
      </c>
      <c r="R108">
        <v>28514.9</v>
      </c>
    </row>
    <row r="109" spans="1:18" x14ac:dyDescent="0.25">
      <c r="A109" t="s">
        <v>274</v>
      </c>
      <c r="B109" t="s">
        <v>275</v>
      </c>
      <c r="C109" t="s">
        <v>213</v>
      </c>
      <c r="D109" t="s">
        <v>214</v>
      </c>
      <c r="E109" t="s">
        <v>215</v>
      </c>
      <c r="F109" t="s">
        <v>152</v>
      </c>
      <c r="G109" s="1">
        <v>45794</v>
      </c>
      <c r="H109" t="s">
        <v>35</v>
      </c>
      <c r="I109">
        <v>9369.14</v>
      </c>
      <c r="J109">
        <v>6062.84</v>
      </c>
      <c r="K109" t="s">
        <v>31</v>
      </c>
      <c r="L109" t="s">
        <v>32</v>
      </c>
      <c r="M109" t="s">
        <v>37</v>
      </c>
      <c r="N109">
        <v>15</v>
      </c>
      <c r="Q109" t="s">
        <v>38</v>
      </c>
      <c r="R109">
        <v>0</v>
      </c>
    </row>
    <row r="110" spans="1:18" x14ac:dyDescent="0.25">
      <c r="A110" t="s">
        <v>276</v>
      </c>
      <c r="B110" t="s">
        <v>277</v>
      </c>
      <c r="C110" t="s">
        <v>278</v>
      </c>
      <c r="D110" t="s">
        <v>279</v>
      </c>
      <c r="E110" t="s">
        <v>280</v>
      </c>
      <c r="F110" t="s">
        <v>281</v>
      </c>
      <c r="G110" s="1">
        <v>45519</v>
      </c>
      <c r="H110" t="s">
        <v>59</v>
      </c>
      <c r="I110">
        <v>69771.039999999994</v>
      </c>
      <c r="J110">
        <v>12910.62</v>
      </c>
      <c r="K110" t="s">
        <v>25</v>
      </c>
      <c r="L110" t="s">
        <v>32</v>
      </c>
      <c r="M110" t="s">
        <v>27</v>
      </c>
      <c r="N110">
        <v>290</v>
      </c>
      <c r="O110" s="1">
        <v>45552</v>
      </c>
      <c r="P110">
        <v>33</v>
      </c>
      <c r="Q110" t="s">
        <v>43</v>
      </c>
      <c r="R110">
        <v>7099.48</v>
      </c>
    </row>
    <row r="111" spans="1:18" x14ac:dyDescent="0.25">
      <c r="A111" t="s">
        <v>282</v>
      </c>
      <c r="B111" t="s">
        <v>283</v>
      </c>
      <c r="C111" t="s">
        <v>278</v>
      </c>
      <c r="D111" t="s">
        <v>279</v>
      </c>
      <c r="E111" t="s">
        <v>280</v>
      </c>
      <c r="F111" t="s">
        <v>281</v>
      </c>
      <c r="G111" s="1">
        <v>45690</v>
      </c>
      <c r="H111" t="s">
        <v>77</v>
      </c>
      <c r="I111">
        <v>48809.24</v>
      </c>
      <c r="J111">
        <v>11737.79</v>
      </c>
      <c r="K111" t="s">
        <v>31</v>
      </c>
      <c r="L111" t="s">
        <v>67</v>
      </c>
      <c r="M111" t="s">
        <v>42</v>
      </c>
      <c r="N111">
        <v>119</v>
      </c>
      <c r="O111" s="1">
        <v>45779</v>
      </c>
      <c r="P111">
        <v>89</v>
      </c>
      <c r="Q111" t="s">
        <v>43</v>
      </c>
      <c r="R111">
        <v>2867.74</v>
      </c>
    </row>
    <row r="112" spans="1:18" x14ac:dyDescent="0.25">
      <c r="A112" t="s">
        <v>284</v>
      </c>
      <c r="B112" t="s">
        <v>285</v>
      </c>
      <c r="C112" t="s">
        <v>278</v>
      </c>
      <c r="D112" t="s">
        <v>279</v>
      </c>
      <c r="E112" t="s">
        <v>280</v>
      </c>
      <c r="F112" t="s">
        <v>281</v>
      </c>
      <c r="G112" s="1">
        <v>45632</v>
      </c>
      <c r="H112" t="s">
        <v>24</v>
      </c>
      <c r="I112">
        <v>98826.91</v>
      </c>
      <c r="J112">
        <v>27114.71</v>
      </c>
      <c r="K112" t="s">
        <v>56</v>
      </c>
      <c r="L112" t="s">
        <v>41</v>
      </c>
      <c r="M112" t="s">
        <v>27</v>
      </c>
      <c r="N112">
        <v>177</v>
      </c>
      <c r="O112" s="1">
        <v>45673</v>
      </c>
      <c r="P112">
        <v>41</v>
      </c>
      <c r="Q112" t="s">
        <v>28</v>
      </c>
      <c r="R112">
        <v>27114.71</v>
      </c>
    </row>
    <row r="113" spans="1:18" x14ac:dyDescent="0.25">
      <c r="A113" t="s">
        <v>286</v>
      </c>
      <c r="B113" t="s">
        <v>287</v>
      </c>
      <c r="C113" t="s">
        <v>278</v>
      </c>
      <c r="D113" t="s">
        <v>279</v>
      </c>
      <c r="E113" t="s">
        <v>280</v>
      </c>
      <c r="F113" t="s">
        <v>281</v>
      </c>
      <c r="G113" s="1">
        <v>45612</v>
      </c>
      <c r="H113" t="s">
        <v>35</v>
      </c>
      <c r="I113">
        <v>86066.87</v>
      </c>
      <c r="J113">
        <v>11187.83</v>
      </c>
      <c r="K113" t="s">
        <v>31</v>
      </c>
      <c r="L113" t="s">
        <v>41</v>
      </c>
      <c r="M113" t="s">
        <v>42</v>
      </c>
      <c r="N113">
        <v>197</v>
      </c>
      <c r="O113" s="1">
        <v>45652</v>
      </c>
      <c r="P113">
        <v>40</v>
      </c>
      <c r="Q113" t="s">
        <v>28</v>
      </c>
      <c r="R113">
        <v>11187.83</v>
      </c>
    </row>
    <row r="114" spans="1:18" x14ac:dyDescent="0.25">
      <c r="A114" t="s">
        <v>288</v>
      </c>
      <c r="B114" t="s">
        <v>289</v>
      </c>
      <c r="C114" t="s">
        <v>278</v>
      </c>
      <c r="D114" t="s">
        <v>279</v>
      </c>
      <c r="E114" t="s">
        <v>280</v>
      </c>
      <c r="F114" t="s">
        <v>281</v>
      </c>
      <c r="G114" s="1">
        <v>45471</v>
      </c>
      <c r="H114" t="s">
        <v>24</v>
      </c>
      <c r="I114">
        <v>42601.55</v>
      </c>
      <c r="J114">
        <v>2388.8200000000002</v>
      </c>
      <c r="K114" t="s">
        <v>86</v>
      </c>
      <c r="L114" t="s">
        <v>72</v>
      </c>
      <c r="M114" t="s">
        <v>42</v>
      </c>
      <c r="N114">
        <v>338</v>
      </c>
      <c r="O114" s="1">
        <v>45569</v>
      </c>
      <c r="P114">
        <v>98</v>
      </c>
      <c r="Q114" t="s">
        <v>43</v>
      </c>
      <c r="R114">
        <v>1773.68</v>
      </c>
    </row>
    <row r="115" spans="1:18" x14ac:dyDescent="0.25">
      <c r="A115" t="s">
        <v>290</v>
      </c>
      <c r="B115" t="s">
        <v>291</v>
      </c>
      <c r="C115" t="s">
        <v>278</v>
      </c>
      <c r="D115" t="s">
        <v>279</v>
      </c>
      <c r="E115" t="s">
        <v>280</v>
      </c>
      <c r="F115" t="s">
        <v>281</v>
      </c>
      <c r="G115" s="1">
        <v>45662</v>
      </c>
      <c r="H115" t="s">
        <v>66</v>
      </c>
      <c r="I115">
        <v>78695.39</v>
      </c>
      <c r="J115">
        <v>17516.71</v>
      </c>
      <c r="K115" t="s">
        <v>86</v>
      </c>
      <c r="L115" t="s">
        <v>46</v>
      </c>
      <c r="M115" t="s">
        <v>27</v>
      </c>
      <c r="N115">
        <v>147</v>
      </c>
      <c r="O115" s="1">
        <v>45751</v>
      </c>
      <c r="P115">
        <v>89</v>
      </c>
      <c r="Q115" t="s">
        <v>48</v>
      </c>
      <c r="R115">
        <v>7129.1</v>
      </c>
    </row>
    <row r="116" spans="1:18" x14ac:dyDescent="0.25">
      <c r="A116" t="s">
        <v>292</v>
      </c>
      <c r="B116" t="s">
        <v>293</v>
      </c>
      <c r="C116" t="s">
        <v>278</v>
      </c>
      <c r="D116" t="s">
        <v>279</v>
      </c>
      <c r="E116" t="s">
        <v>280</v>
      </c>
      <c r="F116" t="s">
        <v>281</v>
      </c>
      <c r="G116" s="1">
        <v>45460</v>
      </c>
      <c r="H116" t="s">
        <v>24</v>
      </c>
      <c r="I116">
        <v>84642.03</v>
      </c>
      <c r="J116">
        <v>44114.25</v>
      </c>
      <c r="K116" t="s">
        <v>56</v>
      </c>
      <c r="L116" t="s">
        <v>72</v>
      </c>
      <c r="M116" t="s">
        <v>27</v>
      </c>
      <c r="N116">
        <v>349</v>
      </c>
      <c r="O116" s="1">
        <v>45519</v>
      </c>
      <c r="P116">
        <v>59</v>
      </c>
      <c r="Q116" t="s">
        <v>28</v>
      </c>
      <c r="R116">
        <v>44114.25</v>
      </c>
    </row>
    <row r="117" spans="1:18" x14ac:dyDescent="0.25">
      <c r="A117" t="s">
        <v>294</v>
      </c>
      <c r="B117" t="s">
        <v>295</v>
      </c>
      <c r="C117" t="s">
        <v>278</v>
      </c>
      <c r="D117" t="s">
        <v>279</v>
      </c>
      <c r="E117" t="s">
        <v>280</v>
      </c>
      <c r="F117" t="s">
        <v>281</v>
      </c>
      <c r="G117" s="1">
        <v>45622</v>
      </c>
      <c r="H117" t="s">
        <v>24</v>
      </c>
      <c r="I117">
        <v>74574.179999999993</v>
      </c>
      <c r="J117">
        <v>8769.93</v>
      </c>
      <c r="K117" t="s">
        <v>31</v>
      </c>
      <c r="L117" t="s">
        <v>32</v>
      </c>
      <c r="M117" t="s">
        <v>27</v>
      </c>
      <c r="N117">
        <v>187</v>
      </c>
      <c r="O117" s="1">
        <v>45641</v>
      </c>
      <c r="P117">
        <v>19</v>
      </c>
      <c r="Q117" t="s">
        <v>48</v>
      </c>
      <c r="R117">
        <v>3951.59</v>
      </c>
    </row>
    <row r="118" spans="1:18" x14ac:dyDescent="0.25">
      <c r="A118" t="s">
        <v>296</v>
      </c>
      <c r="B118" t="s">
        <v>297</v>
      </c>
      <c r="C118" t="s">
        <v>278</v>
      </c>
      <c r="D118" t="s">
        <v>279</v>
      </c>
      <c r="E118" t="s">
        <v>280</v>
      </c>
      <c r="F118" t="s">
        <v>281</v>
      </c>
      <c r="G118" s="1">
        <v>45621</v>
      </c>
      <c r="H118" t="s">
        <v>35</v>
      </c>
      <c r="I118">
        <v>55430.98</v>
      </c>
      <c r="J118">
        <v>40748.160000000003</v>
      </c>
      <c r="K118" t="s">
        <v>86</v>
      </c>
      <c r="L118" t="s">
        <v>67</v>
      </c>
      <c r="M118" t="s">
        <v>42</v>
      </c>
      <c r="N118">
        <v>188</v>
      </c>
      <c r="O118" s="1">
        <v>45661</v>
      </c>
      <c r="P118">
        <v>40</v>
      </c>
      <c r="Q118" t="s">
        <v>48</v>
      </c>
      <c r="R118">
        <v>9595.6299999999992</v>
      </c>
    </row>
    <row r="119" spans="1:18" x14ac:dyDescent="0.25">
      <c r="A119" t="s">
        <v>298</v>
      </c>
      <c r="B119" t="s">
        <v>299</v>
      </c>
      <c r="C119" t="s">
        <v>278</v>
      </c>
      <c r="D119" t="s">
        <v>279</v>
      </c>
      <c r="E119" t="s">
        <v>280</v>
      </c>
      <c r="F119" t="s">
        <v>281</v>
      </c>
      <c r="G119" s="1">
        <v>45750</v>
      </c>
      <c r="H119" t="s">
        <v>66</v>
      </c>
      <c r="I119">
        <v>49491.48</v>
      </c>
      <c r="J119">
        <v>5269.58</v>
      </c>
      <c r="K119" t="s">
        <v>86</v>
      </c>
      <c r="L119" t="s">
        <v>32</v>
      </c>
      <c r="M119" t="s">
        <v>42</v>
      </c>
      <c r="N119">
        <v>59</v>
      </c>
      <c r="O119" s="1">
        <v>45804</v>
      </c>
      <c r="P119">
        <v>54</v>
      </c>
      <c r="Q119" t="s">
        <v>43</v>
      </c>
      <c r="R119">
        <v>1339.43</v>
      </c>
    </row>
    <row r="120" spans="1:18" x14ac:dyDescent="0.25">
      <c r="A120" t="s">
        <v>300</v>
      </c>
      <c r="B120" t="s">
        <v>301</v>
      </c>
      <c r="C120" t="s">
        <v>278</v>
      </c>
      <c r="D120" t="s">
        <v>279</v>
      </c>
      <c r="E120" t="s">
        <v>280</v>
      </c>
      <c r="F120" t="s">
        <v>281</v>
      </c>
      <c r="G120" s="1">
        <v>45606</v>
      </c>
      <c r="H120" t="s">
        <v>24</v>
      </c>
      <c r="I120">
        <v>6322.27</v>
      </c>
      <c r="J120">
        <v>2860.38</v>
      </c>
      <c r="K120" t="s">
        <v>31</v>
      </c>
      <c r="L120" t="s">
        <v>41</v>
      </c>
      <c r="M120" t="s">
        <v>27</v>
      </c>
      <c r="N120">
        <v>203</v>
      </c>
      <c r="O120" s="1">
        <v>45714</v>
      </c>
      <c r="P120">
        <v>108</v>
      </c>
      <c r="Q120" t="s">
        <v>43</v>
      </c>
      <c r="R120">
        <v>1209.6099999999999</v>
      </c>
    </row>
    <row r="121" spans="1:18" x14ac:dyDescent="0.25">
      <c r="A121" t="s">
        <v>302</v>
      </c>
      <c r="B121" t="s">
        <v>303</v>
      </c>
      <c r="C121" t="s">
        <v>278</v>
      </c>
      <c r="D121" t="s">
        <v>279</v>
      </c>
      <c r="E121" t="s">
        <v>280</v>
      </c>
      <c r="F121" t="s">
        <v>281</v>
      </c>
      <c r="G121" s="1">
        <v>45463</v>
      </c>
      <c r="H121" t="s">
        <v>59</v>
      </c>
      <c r="I121">
        <v>27213.08</v>
      </c>
      <c r="J121">
        <v>1871.4</v>
      </c>
      <c r="K121" t="s">
        <v>86</v>
      </c>
      <c r="L121" t="s">
        <v>52</v>
      </c>
      <c r="M121" t="s">
        <v>42</v>
      </c>
      <c r="N121">
        <v>346</v>
      </c>
      <c r="O121" s="1">
        <v>45494</v>
      </c>
      <c r="P121">
        <v>31</v>
      </c>
      <c r="Q121" t="s">
        <v>43</v>
      </c>
      <c r="R121">
        <v>1087.74</v>
      </c>
    </row>
    <row r="122" spans="1:18" x14ac:dyDescent="0.25">
      <c r="A122" t="s">
        <v>304</v>
      </c>
      <c r="B122" t="s">
        <v>305</v>
      </c>
      <c r="C122" t="s">
        <v>278</v>
      </c>
      <c r="D122" t="s">
        <v>279</v>
      </c>
      <c r="E122" t="s">
        <v>280</v>
      </c>
      <c r="F122" t="s">
        <v>281</v>
      </c>
      <c r="G122" s="1">
        <v>45571</v>
      </c>
      <c r="H122" t="s">
        <v>66</v>
      </c>
      <c r="I122">
        <v>91391.83</v>
      </c>
      <c r="J122">
        <v>25282.880000000001</v>
      </c>
      <c r="K122" t="s">
        <v>31</v>
      </c>
      <c r="L122" t="s">
        <v>72</v>
      </c>
      <c r="M122" t="s">
        <v>42</v>
      </c>
      <c r="N122">
        <v>238</v>
      </c>
      <c r="O122" s="1">
        <v>45612</v>
      </c>
      <c r="P122">
        <v>41</v>
      </c>
      <c r="Q122" t="s">
        <v>38</v>
      </c>
      <c r="R122">
        <v>0</v>
      </c>
    </row>
    <row r="123" spans="1:18" x14ac:dyDescent="0.25">
      <c r="A123" t="s">
        <v>306</v>
      </c>
      <c r="B123" t="s">
        <v>307</v>
      </c>
      <c r="C123" t="s">
        <v>278</v>
      </c>
      <c r="D123" t="s">
        <v>279</v>
      </c>
      <c r="E123" t="s">
        <v>280</v>
      </c>
      <c r="F123" t="s">
        <v>281</v>
      </c>
      <c r="G123" s="1">
        <v>45749</v>
      </c>
      <c r="H123" t="s">
        <v>51</v>
      </c>
      <c r="I123">
        <v>14233.24</v>
      </c>
      <c r="J123">
        <v>10183.09</v>
      </c>
      <c r="K123" t="s">
        <v>25</v>
      </c>
      <c r="L123" t="s">
        <v>52</v>
      </c>
      <c r="M123" t="s">
        <v>27</v>
      </c>
      <c r="N123">
        <v>60</v>
      </c>
      <c r="O123" s="1">
        <v>45799</v>
      </c>
      <c r="P123">
        <v>50</v>
      </c>
      <c r="Q123" t="s">
        <v>48</v>
      </c>
      <c r="R123">
        <v>3218.64</v>
      </c>
    </row>
    <row r="124" spans="1:18" x14ac:dyDescent="0.25">
      <c r="A124" t="s">
        <v>308</v>
      </c>
      <c r="B124" t="s">
        <v>309</v>
      </c>
      <c r="C124" t="s">
        <v>278</v>
      </c>
      <c r="D124" t="s">
        <v>279</v>
      </c>
      <c r="E124" t="s">
        <v>280</v>
      </c>
      <c r="F124" t="s">
        <v>281</v>
      </c>
      <c r="G124" s="1">
        <v>45508</v>
      </c>
      <c r="H124" t="s">
        <v>77</v>
      </c>
      <c r="I124">
        <v>75515.56</v>
      </c>
      <c r="J124">
        <v>12527.44</v>
      </c>
      <c r="K124" t="s">
        <v>31</v>
      </c>
      <c r="L124" t="s">
        <v>67</v>
      </c>
      <c r="M124" t="s">
        <v>27</v>
      </c>
      <c r="N124">
        <v>301</v>
      </c>
      <c r="O124" s="1">
        <v>45546</v>
      </c>
      <c r="P124">
        <v>38</v>
      </c>
      <c r="Q124" t="s">
        <v>28</v>
      </c>
      <c r="R124">
        <v>12527.44</v>
      </c>
    </row>
    <row r="125" spans="1:18" x14ac:dyDescent="0.25">
      <c r="A125" t="s">
        <v>310</v>
      </c>
      <c r="B125" t="s">
        <v>311</v>
      </c>
      <c r="C125" t="s">
        <v>278</v>
      </c>
      <c r="D125" t="s">
        <v>279</v>
      </c>
      <c r="E125" t="s">
        <v>280</v>
      </c>
      <c r="F125" t="s">
        <v>281</v>
      </c>
      <c r="G125" s="1">
        <v>45619</v>
      </c>
      <c r="H125" t="s">
        <v>35</v>
      </c>
      <c r="I125">
        <v>25640.62</v>
      </c>
      <c r="J125">
        <v>9833.74</v>
      </c>
      <c r="K125" t="s">
        <v>25</v>
      </c>
      <c r="L125" t="s">
        <v>26</v>
      </c>
      <c r="M125" t="s">
        <v>42</v>
      </c>
      <c r="N125">
        <v>190</v>
      </c>
      <c r="O125" s="1">
        <v>45669</v>
      </c>
      <c r="P125">
        <v>50</v>
      </c>
      <c r="Q125" t="s">
        <v>43</v>
      </c>
      <c r="R125">
        <v>7736.26</v>
      </c>
    </row>
    <row r="126" spans="1:18" x14ac:dyDescent="0.25">
      <c r="A126" t="s">
        <v>312</v>
      </c>
      <c r="B126" t="s">
        <v>313</v>
      </c>
      <c r="C126" t="s">
        <v>278</v>
      </c>
      <c r="D126" t="s">
        <v>279</v>
      </c>
      <c r="E126" t="s">
        <v>280</v>
      </c>
      <c r="F126" t="s">
        <v>281</v>
      </c>
      <c r="G126" s="1">
        <v>45625</v>
      </c>
      <c r="H126" t="s">
        <v>51</v>
      </c>
      <c r="I126">
        <v>10752.26</v>
      </c>
      <c r="J126">
        <v>2762.37</v>
      </c>
      <c r="K126" t="s">
        <v>56</v>
      </c>
      <c r="L126" t="s">
        <v>26</v>
      </c>
      <c r="M126" t="s">
        <v>47</v>
      </c>
      <c r="N126">
        <v>184</v>
      </c>
      <c r="O126" s="1">
        <v>45710</v>
      </c>
      <c r="P126">
        <v>85</v>
      </c>
      <c r="Q126" t="s">
        <v>43</v>
      </c>
      <c r="R126">
        <v>2161.9899999999998</v>
      </c>
    </row>
    <row r="127" spans="1:18" x14ac:dyDescent="0.25">
      <c r="A127" t="s">
        <v>314</v>
      </c>
      <c r="B127" t="s">
        <v>315</v>
      </c>
      <c r="C127" t="s">
        <v>278</v>
      </c>
      <c r="D127" t="s">
        <v>279</v>
      </c>
      <c r="E127" t="s">
        <v>280</v>
      </c>
      <c r="F127" t="s">
        <v>281</v>
      </c>
      <c r="G127" s="1">
        <v>45783</v>
      </c>
      <c r="H127" t="s">
        <v>59</v>
      </c>
      <c r="I127">
        <v>79745.490000000005</v>
      </c>
      <c r="J127">
        <v>18554.919999999998</v>
      </c>
      <c r="K127" t="s">
        <v>25</v>
      </c>
      <c r="L127" t="s">
        <v>46</v>
      </c>
      <c r="M127" t="s">
        <v>37</v>
      </c>
      <c r="N127">
        <v>26</v>
      </c>
      <c r="Q127" t="s">
        <v>38</v>
      </c>
      <c r="R127">
        <v>0</v>
      </c>
    </row>
    <row r="128" spans="1:18" x14ac:dyDescent="0.25">
      <c r="A128" t="s">
        <v>316</v>
      </c>
      <c r="B128" t="s">
        <v>317</v>
      </c>
      <c r="C128" t="s">
        <v>278</v>
      </c>
      <c r="D128" t="s">
        <v>279</v>
      </c>
      <c r="E128" t="s">
        <v>280</v>
      </c>
      <c r="F128" t="s">
        <v>281</v>
      </c>
      <c r="G128" s="1">
        <v>45525</v>
      </c>
      <c r="H128" t="s">
        <v>35</v>
      </c>
      <c r="I128">
        <v>24679.95</v>
      </c>
      <c r="J128">
        <v>5231.25</v>
      </c>
      <c r="K128" t="s">
        <v>86</v>
      </c>
      <c r="L128" t="s">
        <v>36</v>
      </c>
      <c r="M128" t="s">
        <v>47</v>
      </c>
      <c r="N128">
        <v>284</v>
      </c>
      <c r="O128" s="1">
        <v>45604</v>
      </c>
      <c r="P128">
        <v>79</v>
      </c>
      <c r="Q128" t="s">
        <v>28</v>
      </c>
      <c r="R128">
        <v>5231.25</v>
      </c>
    </row>
    <row r="129" spans="1:18" x14ac:dyDescent="0.25">
      <c r="A129" t="s">
        <v>318</v>
      </c>
      <c r="B129" t="s">
        <v>319</v>
      </c>
      <c r="C129" t="s">
        <v>278</v>
      </c>
      <c r="D129" t="s">
        <v>279</v>
      </c>
      <c r="E129" t="s">
        <v>280</v>
      </c>
      <c r="F129" t="s">
        <v>281</v>
      </c>
      <c r="G129" s="1">
        <v>45734</v>
      </c>
      <c r="H129" t="s">
        <v>77</v>
      </c>
      <c r="I129">
        <v>98815.09</v>
      </c>
      <c r="J129">
        <v>44976.83</v>
      </c>
      <c r="K129" t="s">
        <v>86</v>
      </c>
      <c r="L129" t="s">
        <v>72</v>
      </c>
      <c r="M129" t="s">
        <v>37</v>
      </c>
      <c r="N129">
        <v>75</v>
      </c>
      <c r="Q129" t="s">
        <v>38</v>
      </c>
      <c r="R129">
        <v>0</v>
      </c>
    </row>
    <row r="130" spans="1:18" x14ac:dyDescent="0.25">
      <c r="A130" t="s">
        <v>320</v>
      </c>
      <c r="B130" t="s">
        <v>321</v>
      </c>
      <c r="C130" t="s">
        <v>278</v>
      </c>
      <c r="D130" t="s">
        <v>279</v>
      </c>
      <c r="E130" t="s">
        <v>280</v>
      </c>
      <c r="F130" t="s">
        <v>281</v>
      </c>
      <c r="G130" s="1">
        <v>45625</v>
      </c>
      <c r="H130" t="s">
        <v>66</v>
      </c>
      <c r="I130">
        <v>80048.539999999994</v>
      </c>
      <c r="J130">
        <v>18286.990000000002</v>
      </c>
      <c r="K130" t="s">
        <v>31</v>
      </c>
      <c r="L130" t="s">
        <v>41</v>
      </c>
      <c r="M130" t="s">
        <v>53</v>
      </c>
      <c r="N130">
        <v>184</v>
      </c>
      <c r="Q130" t="s">
        <v>38</v>
      </c>
      <c r="R130">
        <v>0</v>
      </c>
    </row>
    <row r="131" spans="1:18" x14ac:dyDescent="0.25">
      <c r="A131" t="s">
        <v>322</v>
      </c>
      <c r="B131" t="s">
        <v>323</v>
      </c>
      <c r="C131" t="s">
        <v>278</v>
      </c>
      <c r="D131" t="s">
        <v>279</v>
      </c>
      <c r="E131" t="s">
        <v>280</v>
      </c>
      <c r="F131" t="s">
        <v>281</v>
      </c>
      <c r="G131" s="1">
        <v>45593</v>
      </c>
      <c r="H131" t="s">
        <v>35</v>
      </c>
      <c r="I131">
        <v>54978.13</v>
      </c>
      <c r="J131">
        <v>33495.370000000003</v>
      </c>
      <c r="K131" t="s">
        <v>31</v>
      </c>
      <c r="L131" t="s">
        <v>26</v>
      </c>
      <c r="M131" t="s">
        <v>27</v>
      </c>
      <c r="N131">
        <v>216</v>
      </c>
      <c r="O131" s="1">
        <v>45624</v>
      </c>
      <c r="P131">
        <v>31</v>
      </c>
      <c r="Q131" t="s">
        <v>38</v>
      </c>
      <c r="R131">
        <v>0</v>
      </c>
    </row>
    <row r="132" spans="1:18" x14ac:dyDescent="0.25">
      <c r="A132" t="s">
        <v>324</v>
      </c>
      <c r="B132" t="s">
        <v>325</v>
      </c>
      <c r="C132" t="s">
        <v>278</v>
      </c>
      <c r="D132" t="s">
        <v>279</v>
      </c>
      <c r="E132" t="s">
        <v>280</v>
      </c>
      <c r="F132" t="s">
        <v>281</v>
      </c>
      <c r="G132" s="1">
        <v>45786</v>
      </c>
      <c r="H132" t="s">
        <v>35</v>
      </c>
      <c r="I132">
        <v>74088.08</v>
      </c>
      <c r="J132">
        <v>54200.15</v>
      </c>
      <c r="K132" t="s">
        <v>86</v>
      </c>
      <c r="L132" t="s">
        <v>67</v>
      </c>
      <c r="M132" t="s">
        <v>53</v>
      </c>
      <c r="N132">
        <v>23</v>
      </c>
      <c r="Q132" t="s">
        <v>38</v>
      </c>
      <c r="R132">
        <v>0</v>
      </c>
    </row>
    <row r="133" spans="1:18" x14ac:dyDescent="0.25">
      <c r="A133" t="s">
        <v>326</v>
      </c>
      <c r="B133" t="s">
        <v>327</v>
      </c>
      <c r="C133" t="s">
        <v>278</v>
      </c>
      <c r="D133" t="s">
        <v>279</v>
      </c>
      <c r="E133" t="s">
        <v>280</v>
      </c>
      <c r="F133" t="s">
        <v>281</v>
      </c>
      <c r="G133" s="1">
        <v>45793</v>
      </c>
      <c r="H133" t="s">
        <v>24</v>
      </c>
      <c r="I133">
        <v>10778.41</v>
      </c>
      <c r="J133">
        <v>4410.92</v>
      </c>
      <c r="K133" t="s">
        <v>31</v>
      </c>
      <c r="L133" t="s">
        <v>26</v>
      </c>
      <c r="M133" t="s">
        <v>53</v>
      </c>
      <c r="N133">
        <v>16</v>
      </c>
      <c r="Q133" t="s">
        <v>38</v>
      </c>
      <c r="R133">
        <v>0</v>
      </c>
    </row>
    <row r="134" spans="1:18" x14ac:dyDescent="0.25">
      <c r="A134" t="s">
        <v>328</v>
      </c>
      <c r="B134" t="s">
        <v>329</v>
      </c>
      <c r="C134" t="s">
        <v>278</v>
      </c>
      <c r="D134" t="s">
        <v>279</v>
      </c>
      <c r="E134" t="s">
        <v>280</v>
      </c>
      <c r="F134" t="s">
        <v>281</v>
      </c>
      <c r="G134" s="1">
        <v>45581</v>
      </c>
      <c r="H134" t="s">
        <v>77</v>
      </c>
      <c r="I134">
        <v>11981.62</v>
      </c>
      <c r="J134">
        <v>1325.08</v>
      </c>
      <c r="K134" t="s">
        <v>31</v>
      </c>
      <c r="L134" t="s">
        <v>36</v>
      </c>
      <c r="M134" t="s">
        <v>27</v>
      </c>
      <c r="N134">
        <v>228</v>
      </c>
      <c r="O134" s="1">
        <v>45665</v>
      </c>
      <c r="P134">
        <v>84</v>
      </c>
      <c r="Q134" t="s">
        <v>43</v>
      </c>
      <c r="R134">
        <v>831.21</v>
      </c>
    </row>
    <row r="135" spans="1:18" x14ac:dyDescent="0.25">
      <c r="A135" t="s">
        <v>330</v>
      </c>
      <c r="B135" t="s">
        <v>331</v>
      </c>
      <c r="C135" t="s">
        <v>278</v>
      </c>
      <c r="D135" t="s">
        <v>279</v>
      </c>
      <c r="E135" t="s">
        <v>280</v>
      </c>
      <c r="F135" t="s">
        <v>281</v>
      </c>
      <c r="G135" s="1">
        <v>45613</v>
      </c>
      <c r="H135" t="s">
        <v>59</v>
      </c>
      <c r="I135">
        <v>99489.64</v>
      </c>
      <c r="J135">
        <v>44563.16</v>
      </c>
      <c r="K135" t="s">
        <v>31</v>
      </c>
      <c r="L135" t="s">
        <v>32</v>
      </c>
      <c r="M135" t="s">
        <v>53</v>
      </c>
      <c r="N135">
        <v>196</v>
      </c>
      <c r="Q135" t="s">
        <v>38</v>
      </c>
      <c r="R135">
        <v>0</v>
      </c>
    </row>
    <row r="136" spans="1:18" x14ac:dyDescent="0.25">
      <c r="A136" t="s">
        <v>332</v>
      </c>
      <c r="B136" t="s">
        <v>333</v>
      </c>
      <c r="C136" t="s">
        <v>278</v>
      </c>
      <c r="D136" t="s">
        <v>279</v>
      </c>
      <c r="E136" t="s">
        <v>280</v>
      </c>
      <c r="F136" t="s">
        <v>281</v>
      </c>
      <c r="G136" s="1">
        <v>45449</v>
      </c>
      <c r="H136" t="s">
        <v>59</v>
      </c>
      <c r="I136">
        <v>15869.34</v>
      </c>
      <c r="J136">
        <v>8585.86</v>
      </c>
      <c r="K136" t="s">
        <v>86</v>
      </c>
      <c r="L136" t="s">
        <v>46</v>
      </c>
      <c r="M136" t="s">
        <v>27</v>
      </c>
      <c r="N136">
        <v>360</v>
      </c>
      <c r="O136" s="1">
        <v>45565</v>
      </c>
      <c r="P136">
        <v>116</v>
      </c>
      <c r="Q136" t="s">
        <v>28</v>
      </c>
      <c r="R136">
        <v>8585.86</v>
      </c>
    </row>
    <row r="137" spans="1:18" x14ac:dyDescent="0.25">
      <c r="A137" t="s">
        <v>334</v>
      </c>
      <c r="B137" t="s">
        <v>335</v>
      </c>
      <c r="C137" t="s">
        <v>278</v>
      </c>
      <c r="D137" t="s">
        <v>279</v>
      </c>
      <c r="E137" t="s">
        <v>280</v>
      </c>
      <c r="F137" t="s">
        <v>281</v>
      </c>
      <c r="G137" s="1">
        <v>45635</v>
      </c>
      <c r="H137" t="s">
        <v>35</v>
      </c>
      <c r="I137">
        <v>83604.83</v>
      </c>
      <c r="J137">
        <v>29182.07</v>
      </c>
      <c r="K137" t="s">
        <v>86</v>
      </c>
      <c r="L137" t="s">
        <v>32</v>
      </c>
      <c r="M137" t="s">
        <v>27</v>
      </c>
      <c r="N137">
        <v>174</v>
      </c>
      <c r="O137" s="1">
        <v>45670</v>
      </c>
      <c r="P137">
        <v>35</v>
      </c>
      <c r="Q137" t="s">
        <v>28</v>
      </c>
      <c r="R137">
        <v>29182.07</v>
      </c>
    </row>
    <row r="138" spans="1:18" x14ac:dyDescent="0.25">
      <c r="A138" t="s">
        <v>336</v>
      </c>
      <c r="B138" t="s">
        <v>337</v>
      </c>
      <c r="C138" t="s">
        <v>278</v>
      </c>
      <c r="D138" t="s">
        <v>279</v>
      </c>
      <c r="E138" t="s">
        <v>280</v>
      </c>
      <c r="F138" t="s">
        <v>281</v>
      </c>
      <c r="G138" s="1">
        <v>45730</v>
      </c>
      <c r="H138" t="s">
        <v>77</v>
      </c>
      <c r="I138">
        <v>70248</v>
      </c>
      <c r="J138">
        <v>28499.68</v>
      </c>
      <c r="K138" t="s">
        <v>25</v>
      </c>
      <c r="L138" t="s">
        <v>26</v>
      </c>
      <c r="M138" t="s">
        <v>27</v>
      </c>
      <c r="N138">
        <v>79</v>
      </c>
      <c r="O138" s="1">
        <v>45780</v>
      </c>
      <c r="P138">
        <v>50</v>
      </c>
      <c r="Q138" t="s">
        <v>118</v>
      </c>
      <c r="R138">
        <v>0</v>
      </c>
    </row>
    <row r="139" spans="1:18" x14ac:dyDescent="0.25">
      <c r="A139" t="s">
        <v>338</v>
      </c>
      <c r="B139" t="s">
        <v>339</v>
      </c>
      <c r="C139" t="s">
        <v>278</v>
      </c>
      <c r="D139" t="s">
        <v>279</v>
      </c>
      <c r="E139" t="s">
        <v>280</v>
      </c>
      <c r="F139" t="s">
        <v>281</v>
      </c>
      <c r="G139" s="1">
        <v>45524</v>
      </c>
      <c r="H139" t="s">
        <v>24</v>
      </c>
      <c r="I139">
        <v>10698.19</v>
      </c>
      <c r="J139">
        <v>8210.52</v>
      </c>
      <c r="K139" t="s">
        <v>31</v>
      </c>
      <c r="L139" t="s">
        <v>26</v>
      </c>
      <c r="M139" t="s">
        <v>27</v>
      </c>
      <c r="N139">
        <v>285</v>
      </c>
      <c r="O139" s="1">
        <v>45638</v>
      </c>
      <c r="P139">
        <v>114</v>
      </c>
      <c r="Q139" t="s">
        <v>48</v>
      </c>
      <c r="R139">
        <v>3285.14</v>
      </c>
    </row>
    <row r="140" spans="1:18" x14ac:dyDescent="0.25">
      <c r="A140" t="s">
        <v>340</v>
      </c>
      <c r="B140" t="s">
        <v>341</v>
      </c>
      <c r="C140" t="s">
        <v>278</v>
      </c>
      <c r="D140" t="s">
        <v>279</v>
      </c>
      <c r="E140" t="s">
        <v>280</v>
      </c>
      <c r="F140" t="s">
        <v>281</v>
      </c>
      <c r="G140" s="1">
        <v>45782</v>
      </c>
      <c r="H140" t="s">
        <v>59</v>
      </c>
      <c r="I140">
        <v>96997.87</v>
      </c>
      <c r="J140">
        <v>48528.77</v>
      </c>
      <c r="K140" t="s">
        <v>31</v>
      </c>
      <c r="L140" t="s">
        <v>46</v>
      </c>
      <c r="M140" t="s">
        <v>37</v>
      </c>
      <c r="N140">
        <v>27</v>
      </c>
      <c r="Q140" t="s">
        <v>38</v>
      </c>
      <c r="R140">
        <v>0</v>
      </c>
    </row>
    <row r="141" spans="1:18" x14ac:dyDescent="0.25">
      <c r="A141" t="s">
        <v>342</v>
      </c>
      <c r="B141" t="s">
        <v>343</v>
      </c>
      <c r="C141" t="s">
        <v>278</v>
      </c>
      <c r="D141" t="s">
        <v>279</v>
      </c>
      <c r="E141" t="s">
        <v>280</v>
      </c>
      <c r="F141" t="s">
        <v>281</v>
      </c>
      <c r="G141" s="1">
        <v>45562</v>
      </c>
      <c r="H141" t="s">
        <v>35</v>
      </c>
      <c r="I141">
        <v>26303.26</v>
      </c>
      <c r="J141">
        <v>3450.04</v>
      </c>
      <c r="K141" t="s">
        <v>86</v>
      </c>
      <c r="L141" t="s">
        <v>26</v>
      </c>
      <c r="M141" t="s">
        <v>47</v>
      </c>
      <c r="N141">
        <v>247</v>
      </c>
      <c r="O141" s="1">
        <v>45638</v>
      </c>
      <c r="P141">
        <v>76</v>
      </c>
      <c r="Q141" t="s">
        <v>28</v>
      </c>
      <c r="R141">
        <v>3450.04</v>
      </c>
    </row>
    <row r="142" spans="1:18" x14ac:dyDescent="0.25">
      <c r="A142" t="s">
        <v>344</v>
      </c>
      <c r="B142" t="s">
        <v>345</v>
      </c>
      <c r="C142" t="s">
        <v>278</v>
      </c>
      <c r="D142" t="s">
        <v>279</v>
      </c>
      <c r="E142" t="s">
        <v>280</v>
      </c>
      <c r="F142" t="s">
        <v>281</v>
      </c>
      <c r="G142" s="1">
        <v>45589</v>
      </c>
      <c r="H142" t="s">
        <v>59</v>
      </c>
      <c r="I142">
        <v>85289.74</v>
      </c>
      <c r="J142">
        <v>66603.61</v>
      </c>
      <c r="K142" t="s">
        <v>86</v>
      </c>
      <c r="L142" t="s">
        <v>72</v>
      </c>
      <c r="M142" t="s">
        <v>27</v>
      </c>
      <c r="N142">
        <v>220</v>
      </c>
      <c r="O142" s="1">
        <v>45676</v>
      </c>
      <c r="P142">
        <v>87</v>
      </c>
      <c r="Q142" t="s">
        <v>118</v>
      </c>
      <c r="R142">
        <v>0</v>
      </c>
    </row>
    <row r="143" spans="1:18" x14ac:dyDescent="0.25">
      <c r="A143" t="s">
        <v>346</v>
      </c>
      <c r="B143" t="s">
        <v>347</v>
      </c>
      <c r="C143" t="s">
        <v>348</v>
      </c>
      <c r="D143" t="s">
        <v>349</v>
      </c>
      <c r="E143" t="s">
        <v>22</v>
      </c>
      <c r="F143" t="s">
        <v>152</v>
      </c>
      <c r="G143" s="1">
        <v>45716</v>
      </c>
      <c r="H143" t="s">
        <v>35</v>
      </c>
      <c r="I143">
        <v>30960.69</v>
      </c>
      <c r="J143">
        <v>19251.580000000002</v>
      </c>
      <c r="K143" t="s">
        <v>56</v>
      </c>
      <c r="L143" t="s">
        <v>72</v>
      </c>
      <c r="M143" t="s">
        <v>27</v>
      </c>
      <c r="N143">
        <v>93</v>
      </c>
      <c r="O143" s="1">
        <v>45737</v>
      </c>
      <c r="P143">
        <v>21</v>
      </c>
      <c r="Q143" t="s">
        <v>43</v>
      </c>
      <c r="R143">
        <v>8479.76</v>
      </c>
    </row>
    <row r="144" spans="1:18" x14ac:dyDescent="0.25">
      <c r="A144" t="s">
        <v>350</v>
      </c>
      <c r="B144" t="s">
        <v>351</v>
      </c>
      <c r="C144" t="s">
        <v>348</v>
      </c>
      <c r="D144" t="s">
        <v>349</v>
      </c>
      <c r="E144" t="s">
        <v>22</v>
      </c>
      <c r="F144" t="s">
        <v>152</v>
      </c>
      <c r="G144" s="1">
        <v>45736</v>
      </c>
      <c r="H144" t="s">
        <v>59</v>
      </c>
      <c r="I144">
        <v>75392.06</v>
      </c>
      <c r="J144">
        <v>58719.69</v>
      </c>
      <c r="K144" t="s">
        <v>25</v>
      </c>
      <c r="L144" t="s">
        <v>46</v>
      </c>
      <c r="M144" t="s">
        <v>27</v>
      </c>
      <c r="N144">
        <v>73</v>
      </c>
      <c r="O144" s="1">
        <v>45797</v>
      </c>
      <c r="P144">
        <v>61</v>
      </c>
      <c r="Q144" t="s">
        <v>28</v>
      </c>
      <c r="R144">
        <v>58719.69</v>
      </c>
    </row>
    <row r="145" spans="1:18" x14ac:dyDescent="0.25">
      <c r="A145" t="s">
        <v>352</v>
      </c>
      <c r="B145" t="s">
        <v>353</v>
      </c>
      <c r="C145" t="s">
        <v>348</v>
      </c>
      <c r="D145" t="s">
        <v>349</v>
      </c>
      <c r="E145" t="s">
        <v>22</v>
      </c>
      <c r="F145" t="s">
        <v>152</v>
      </c>
      <c r="G145" s="1">
        <v>45619</v>
      </c>
      <c r="H145" t="s">
        <v>59</v>
      </c>
      <c r="I145">
        <v>34605.550000000003</v>
      </c>
      <c r="J145">
        <v>10149.36</v>
      </c>
      <c r="K145" t="s">
        <v>56</v>
      </c>
      <c r="L145" t="s">
        <v>26</v>
      </c>
      <c r="M145" t="s">
        <v>42</v>
      </c>
      <c r="N145">
        <v>190</v>
      </c>
      <c r="O145" s="1">
        <v>45641</v>
      </c>
      <c r="P145">
        <v>22</v>
      </c>
      <c r="Q145" t="s">
        <v>28</v>
      </c>
      <c r="R145">
        <v>10149.36</v>
      </c>
    </row>
    <row r="146" spans="1:18" x14ac:dyDescent="0.25">
      <c r="A146" t="s">
        <v>354</v>
      </c>
      <c r="B146" t="s">
        <v>355</v>
      </c>
      <c r="C146" t="s">
        <v>348</v>
      </c>
      <c r="D146" t="s">
        <v>349</v>
      </c>
      <c r="E146" t="s">
        <v>22</v>
      </c>
      <c r="F146" t="s">
        <v>152</v>
      </c>
      <c r="G146" s="1">
        <v>45492</v>
      </c>
      <c r="H146" t="s">
        <v>51</v>
      </c>
      <c r="I146">
        <v>9727.44</v>
      </c>
      <c r="J146">
        <v>1081.56</v>
      </c>
      <c r="K146" t="s">
        <v>31</v>
      </c>
      <c r="L146" t="s">
        <v>67</v>
      </c>
      <c r="M146" t="s">
        <v>27</v>
      </c>
      <c r="N146">
        <v>317</v>
      </c>
      <c r="O146" s="1">
        <v>45548</v>
      </c>
      <c r="P146">
        <v>56</v>
      </c>
      <c r="Q146" t="s">
        <v>28</v>
      </c>
      <c r="R146">
        <v>1081.56</v>
      </c>
    </row>
    <row r="147" spans="1:18" x14ac:dyDescent="0.25">
      <c r="A147" t="s">
        <v>356</v>
      </c>
      <c r="B147" t="s">
        <v>357</v>
      </c>
      <c r="C147" t="s">
        <v>348</v>
      </c>
      <c r="D147" t="s">
        <v>349</v>
      </c>
      <c r="E147" t="s">
        <v>22</v>
      </c>
      <c r="F147" t="s">
        <v>152</v>
      </c>
      <c r="G147" s="1">
        <v>45546</v>
      </c>
      <c r="H147" t="s">
        <v>24</v>
      </c>
      <c r="I147">
        <v>15812.66</v>
      </c>
      <c r="J147">
        <v>5889.19</v>
      </c>
      <c r="K147" t="s">
        <v>31</v>
      </c>
      <c r="L147" t="s">
        <v>67</v>
      </c>
      <c r="M147" t="s">
        <v>27</v>
      </c>
      <c r="N147">
        <v>263</v>
      </c>
      <c r="O147" s="1">
        <v>45588</v>
      </c>
      <c r="P147">
        <v>42</v>
      </c>
      <c r="Q147" t="s">
        <v>28</v>
      </c>
      <c r="R147">
        <v>5889.19</v>
      </c>
    </row>
    <row r="148" spans="1:18" x14ac:dyDescent="0.25">
      <c r="A148" t="s">
        <v>358</v>
      </c>
      <c r="B148" t="s">
        <v>359</v>
      </c>
      <c r="C148" t="s">
        <v>348</v>
      </c>
      <c r="D148" t="s">
        <v>349</v>
      </c>
      <c r="E148" t="s">
        <v>22</v>
      </c>
      <c r="F148" t="s">
        <v>152</v>
      </c>
      <c r="G148" s="1">
        <v>45606</v>
      </c>
      <c r="H148" t="s">
        <v>66</v>
      </c>
      <c r="I148">
        <v>98522.34</v>
      </c>
      <c r="J148">
        <v>8974.0499999999993</v>
      </c>
      <c r="K148" t="s">
        <v>25</v>
      </c>
      <c r="L148" t="s">
        <v>36</v>
      </c>
      <c r="M148" t="s">
        <v>47</v>
      </c>
      <c r="N148">
        <v>203</v>
      </c>
      <c r="O148" s="1">
        <v>45646</v>
      </c>
      <c r="P148">
        <v>40</v>
      </c>
      <c r="Q148" t="s">
        <v>28</v>
      </c>
      <c r="R148">
        <v>8974.0499999999993</v>
      </c>
    </row>
    <row r="149" spans="1:18" x14ac:dyDescent="0.25">
      <c r="A149" t="s">
        <v>360</v>
      </c>
      <c r="B149" t="s">
        <v>361</v>
      </c>
      <c r="C149" t="s">
        <v>348</v>
      </c>
      <c r="D149" t="s">
        <v>349</v>
      </c>
      <c r="E149" t="s">
        <v>22</v>
      </c>
      <c r="F149" t="s">
        <v>152</v>
      </c>
      <c r="G149" s="1">
        <v>45805</v>
      </c>
      <c r="H149" t="s">
        <v>59</v>
      </c>
      <c r="I149">
        <v>52251.61</v>
      </c>
      <c r="J149">
        <v>19489.39</v>
      </c>
      <c r="K149" t="s">
        <v>25</v>
      </c>
      <c r="L149" t="s">
        <v>46</v>
      </c>
      <c r="M149" t="s">
        <v>37</v>
      </c>
      <c r="N149">
        <v>4</v>
      </c>
      <c r="Q149" t="s">
        <v>38</v>
      </c>
      <c r="R149">
        <v>0</v>
      </c>
    </row>
    <row r="150" spans="1:18" x14ac:dyDescent="0.25">
      <c r="A150" t="s">
        <v>362</v>
      </c>
      <c r="B150" t="s">
        <v>363</v>
      </c>
      <c r="C150" t="s">
        <v>348</v>
      </c>
      <c r="D150" t="s">
        <v>349</v>
      </c>
      <c r="E150" t="s">
        <v>22</v>
      </c>
      <c r="F150" t="s">
        <v>152</v>
      </c>
      <c r="G150" s="1">
        <v>45466</v>
      </c>
      <c r="H150" t="s">
        <v>77</v>
      </c>
      <c r="I150">
        <v>81589.02</v>
      </c>
      <c r="J150">
        <v>8489.8799999999992</v>
      </c>
      <c r="K150" t="s">
        <v>86</v>
      </c>
      <c r="L150" t="s">
        <v>32</v>
      </c>
      <c r="M150" t="s">
        <v>37</v>
      </c>
      <c r="N150">
        <v>343</v>
      </c>
      <c r="Q150" t="s">
        <v>38</v>
      </c>
      <c r="R150">
        <v>0</v>
      </c>
    </row>
    <row r="151" spans="1:18" x14ac:dyDescent="0.25">
      <c r="A151" t="s">
        <v>364</v>
      </c>
      <c r="B151" t="s">
        <v>365</v>
      </c>
      <c r="C151" t="s">
        <v>348</v>
      </c>
      <c r="D151" t="s">
        <v>349</v>
      </c>
      <c r="E151" t="s">
        <v>22</v>
      </c>
      <c r="F151" t="s">
        <v>152</v>
      </c>
      <c r="G151" s="1">
        <v>45769</v>
      </c>
      <c r="H151" t="s">
        <v>24</v>
      </c>
      <c r="I151">
        <v>86900.45</v>
      </c>
      <c r="J151">
        <v>41870.32</v>
      </c>
      <c r="K151" t="s">
        <v>31</v>
      </c>
      <c r="L151" t="s">
        <v>32</v>
      </c>
      <c r="M151" t="s">
        <v>53</v>
      </c>
      <c r="N151">
        <v>40</v>
      </c>
      <c r="Q151" t="s">
        <v>38</v>
      </c>
      <c r="R151">
        <v>0</v>
      </c>
    </row>
    <row r="152" spans="1:18" x14ac:dyDescent="0.25">
      <c r="A152" t="s">
        <v>366</v>
      </c>
      <c r="B152" t="s">
        <v>367</v>
      </c>
      <c r="C152" t="s">
        <v>348</v>
      </c>
      <c r="D152" t="s">
        <v>349</v>
      </c>
      <c r="E152" t="s">
        <v>22</v>
      </c>
      <c r="F152" t="s">
        <v>152</v>
      </c>
      <c r="G152" s="1">
        <v>45601</v>
      </c>
      <c r="H152" t="s">
        <v>59</v>
      </c>
      <c r="I152">
        <v>6981.37</v>
      </c>
      <c r="J152">
        <v>2049.56</v>
      </c>
      <c r="K152" t="s">
        <v>86</v>
      </c>
      <c r="L152" t="s">
        <v>67</v>
      </c>
      <c r="M152" t="s">
        <v>42</v>
      </c>
      <c r="N152">
        <v>208</v>
      </c>
      <c r="O152" s="1">
        <v>45721</v>
      </c>
      <c r="P152">
        <v>120</v>
      </c>
      <c r="Q152" t="s">
        <v>28</v>
      </c>
      <c r="R152">
        <v>2049.56</v>
      </c>
    </row>
    <row r="153" spans="1:18" x14ac:dyDescent="0.25">
      <c r="A153" t="s">
        <v>368</v>
      </c>
      <c r="B153" t="s">
        <v>369</v>
      </c>
      <c r="C153" t="s">
        <v>348</v>
      </c>
      <c r="D153" t="s">
        <v>349</v>
      </c>
      <c r="E153" t="s">
        <v>22</v>
      </c>
      <c r="F153" t="s">
        <v>152</v>
      </c>
      <c r="G153" s="1">
        <v>45585</v>
      </c>
      <c r="H153" t="s">
        <v>59</v>
      </c>
      <c r="I153">
        <v>85226.01</v>
      </c>
      <c r="J153">
        <v>19813.97</v>
      </c>
      <c r="K153" t="s">
        <v>31</v>
      </c>
      <c r="L153" t="s">
        <v>26</v>
      </c>
      <c r="M153" t="s">
        <v>27</v>
      </c>
      <c r="N153">
        <v>224</v>
      </c>
      <c r="O153" s="1">
        <v>45627</v>
      </c>
      <c r="P153">
        <v>42</v>
      </c>
      <c r="Q153" t="s">
        <v>48</v>
      </c>
      <c r="R153">
        <v>3737.49</v>
      </c>
    </row>
    <row r="154" spans="1:18" x14ac:dyDescent="0.25">
      <c r="A154" t="s">
        <v>370</v>
      </c>
      <c r="B154" t="s">
        <v>371</v>
      </c>
      <c r="C154" t="s">
        <v>348</v>
      </c>
      <c r="D154" t="s">
        <v>349</v>
      </c>
      <c r="E154" t="s">
        <v>22</v>
      </c>
      <c r="F154" t="s">
        <v>152</v>
      </c>
      <c r="G154" s="1">
        <v>45722</v>
      </c>
      <c r="H154" t="s">
        <v>66</v>
      </c>
      <c r="I154">
        <v>12256.04</v>
      </c>
      <c r="J154">
        <v>6433.42</v>
      </c>
      <c r="K154" t="s">
        <v>31</v>
      </c>
      <c r="L154" t="s">
        <v>52</v>
      </c>
      <c r="M154" t="s">
        <v>27</v>
      </c>
      <c r="N154">
        <v>87</v>
      </c>
      <c r="O154" s="1">
        <v>45807</v>
      </c>
      <c r="P154">
        <v>85</v>
      </c>
      <c r="Q154" t="s">
        <v>118</v>
      </c>
      <c r="R154">
        <v>0</v>
      </c>
    </row>
    <row r="155" spans="1:18" x14ac:dyDescent="0.25">
      <c r="A155" t="s">
        <v>372</v>
      </c>
      <c r="B155" t="s">
        <v>373</v>
      </c>
      <c r="C155" t="s">
        <v>348</v>
      </c>
      <c r="D155" t="s">
        <v>349</v>
      </c>
      <c r="E155" t="s">
        <v>22</v>
      </c>
      <c r="F155" t="s">
        <v>152</v>
      </c>
      <c r="G155" s="1">
        <v>45688</v>
      </c>
      <c r="H155" t="s">
        <v>66</v>
      </c>
      <c r="I155">
        <v>14766.43</v>
      </c>
      <c r="J155">
        <v>3573.12</v>
      </c>
      <c r="K155" t="s">
        <v>25</v>
      </c>
      <c r="L155" t="s">
        <v>26</v>
      </c>
      <c r="M155" t="s">
        <v>27</v>
      </c>
      <c r="N155">
        <v>121</v>
      </c>
      <c r="O155" s="1">
        <v>45789</v>
      </c>
      <c r="P155">
        <v>101</v>
      </c>
      <c r="Q155" t="s">
        <v>43</v>
      </c>
      <c r="R155">
        <v>1709.28</v>
      </c>
    </row>
    <row r="156" spans="1:18" x14ac:dyDescent="0.25">
      <c r="A156" t="s">
        <v>374</v>
      </c>
      <c r="B156" t="s">
        <v>375</v>
      </c>
      <c r="C156" t="s">
        <v>348</v>
      </c>
      <c r="D156" t="s">
        <v>349</v>
      </c>
      <c r="E156" t="s">
        <v>22</v>
      </c>
      <c r="F156" t="s">
        <v>152</v>
      </c>
      <c r="G156" s="1">
        <v>45520</v>
      </c>
      <c r="H156" t="s">
        <v>59</v>
      </c>
      <c r="I156">
        <v>77188.33</v>
      </c>
      <c r="J156">
        <v>29847.1</v>
      </c>
      <c r="K156" t="s">
        <v>56</v>
      </c>
      <c r="L156" t="s">
        <v>52</v>
      </c>
      <c r="M156" t="s">
        <v>42</v>
      </c>
      <c r="N156">
        <v>289</v>
      </c>
      <c r="O156" s="1">
        <v>45603</v>
      </c>
      <c r="P156">
        <v>83</v>
      </c>
      <c r="Q156" t="s">
        <v>28</v>
      </c>
      <c r="R156">
        <v>29847.1</v>
      </c>
    </row>
    <row r="157" spans="1:18" x14ac:dyDescent="0.25">
      <c r="A157" t="s">
        <v>376</v>
      </c>
      <c r="B157" t="s">
        <v>377</v>
      </c>
      <c r="C157" t="s">
        <v>348</v>
      </c>
      <c r="D157" t="s">
        <v>349</v>
      </c>
      <c r="E157" t="s">
        <v>22</v>
      </c>
      <c r="F157" t="s">
        <v>152</v>
      </c>
      <c r="G157" s="1">
        <v>45583</v>
      </c>
      <c r="H157" t="s">
        <v>35</v>
      </c>
      <c r="I157">
        <v>11487.19</v>
      </c>
      <c r="J157">
        <v>4384.16</v>
      </c>
      <c r="K157" t="s">
        <v>31</v>
      </c>
      <c r="L157" t="s">
        <v>72</v>
      </c>
      <c r="M157" t="s">
        <v>27</v>
      </c>
      <c r="N157">
        <v>226</v>
      </c>
      <c r="O157" s="1">
        <v>45595</v>
      </c>
      <c r="P157">
        <v>12</v>
      </c>
      <c r="Q157" t="s">
        <v>28</v>
      </c>
      <c r="R157">
        <v>4384.16</v>
      </c>
    </row>
    <row r="158" spans="1:18" x14ac:dyDescent="0.25">
      <c r="A158" t="s">
        <v>378</v>
      </c>
      <c r="B158" t="s">
        <v>379</v>
      </c>
      <c r="C158" t="s">
        <v>348</v>
      </c>
      <c r="D158" t="s">
        <v>349</v>
      </c>
      <c r="E158" t="s">
        <v>22</v>
      </c>
      <c r="F158" t="s">
        <v>152</v>
      </c>
      <c r="G158" s="1">
        <v>45577</v>
      </c>
      <c r="H158" t="s">
        <v>24</v>
      </c>
      <c r="I158">
        <v>8572.69</v>
      </c>
      <c r="J158">
        <v>2799.44</v>
      </c>
      <c r="K158" t="s">
        <v>31</v>
      </c>
      <c r="L158" t="s">
        <v>26</v>
      </c>
      <c r="M158" t="s">
        <v>27</v>
      </c>
      <c r="N158">
        <v>232</v>
      </c>
      <c r="O158" s="1">
        <v>45644</v>
      </c>
      <c r="P158">
        <v>67</v>
      </c>
      <c r="Q158" t="s">
        <v>28</v>
      </c>
      <c r="R158">
        <v>2799.44</v>
      </c>
    </row>
    <row r="159" spans="1:18" x14ac:dyDescent="0.25">
      <c r="A159" t="s">
        <v>380</v>
      </c>
      <c r="B159" t="s">
        <v>381</v>
      </c>
      <c r="C159" t="s">
        <v>348</v>
      </c>
      <c r="D159" t="s">
        <v>349</v>
      </c>
      <c r="E159" t="s">
        <v>22</v>
      </c>
      <c r="F159" t="s">
        <v>152</v>
      </c>
      <c r="G159" s="1">
        <v>45511</v>
      </c>
      <c r="H159" t="s">
        <v>51</v>
      </c>
      <c r="I159">
        <v>57660.06</v>
      </c>
      <c r="J159">
        <v>37125.199999999997</v>
      </c>
      <c r="K159" t="s">
        <v>86</v>
      </c>
      <c r="L159" t="s">
        <v>46</v>
      </c>
      <c r="M159" t="s">
        <v>27</v>
      </c>
      <c r="N159">
        <v>298</v>
      </c>
      <c r="O159" s="1">
        <v>45574</v>
      </c>
      <c r="P159">
        <v>63</v>
      </c>
      <c r="Q159" t="s">
        <v>43</v>
      </c>
      <c r="R159">
        <v>28758.42</v>
      </c>
    </row>
    <row r="160" spans="1:18" x14ac:dyDescent="0.25">
      <c r="A160" t="s">
        <v>382</v>
      </c>
      <c r="B160" t="s">
        <v>383</v>
      </c>
      <c r="C160" t="s">
        <v>348</v>
      </c>
      <c r="D160" t="s">
        <v>349</v>
      </c>
      <c r="E160" t="s">
        <v>22</v>
      </c>
      <c r="F160" t="s">
        <v>152</v>
      </c>
      <c r="G160" s="1">
        <v>45578</v>
      </c>
      <c r="H160" t="s">
        <v>24</v>
      </c>
      <c r="I160">
        <v>14832.68</v>
      </c>
      <c r="J160">
        <v>10743.98</v>
      </c>
      <c r="K160" t="s">
        <v>31</v>
      </c>
      <c r="L160" t="s">
        <v>26</v>
      </c>
      <c r="M160" t="s">
        <v>27</v>
      </c>
      <c r="N160">
        <v>231</v>
      </c>
      <c r="O160" s="1">
        <v>45603</v>
      </c>
      <c r="P160">
        <v>25</v>
      </c>
      <c r="Q160" t="s">
        <v>28</v>
      </c>
      <c r="R160">
        <v>10743.98</v>
      </c>
    </row>
    <row r="161" spans="1:18" x14ac:dyDescent="0.25">
      <c r="A161" t="s">
        <v>384</v>
      </c>
      <c r="B161" t="s">
        <v>385</v>
      </c>
      <c r="C161" t="s">
        <v>348</v>
      </c>
      <c r="D161" t="s">
        <v>349</v>
      </c>
      <c r="E161" t="s">
        <v>22</v>
      </c>
      <c r="F161" t="s">
        <v>152</v>
      </c>
      <c r="G161" s="1">
        <v>45446</v>
      </c>
      <c r="H161" t="s">
        <v>66</v>
      </c>
      <c r="I161">
        <v>46587.040000000001</v>
      </c>
      <c r="J161">
        <v>17682.87</v>
      </c>
      <c r="K161" t="s">
        <v>31</v>
      </c>
      <c r="L161" t="s">
        <v>52</v>
      </c>
      <c r="M161" t="s">
        <v>27</v>
      </c>
      <c r="N161">
        <v>363</v>
      </c>
      <c r="O161" s="1">
        <v>45485</v>
      </c>
      <c r="P161">
        <v>39</v>
      </c>
      <c r="Q161" t="s">
        <v>28</v>
      </c>
      <c r="R161">
        <v>17682.87</v>
      </c>
    </row>
    <row r="162" spans="1:18" x14ac:dyDescent="0.25">
      <c r="A162" t="s">
        <v>386</v>
      </c>
      <c r="B162" t="s">
        <v>387</v>
      </c>
      <c r="C162" t="s">
        <v>348</v>
      </c>
      <c r="D162" t="s">
        <v>349</v>
      </c>
      <c r="E162" t="s">
        <v>22</v>
      </c>
      <c r="F162" t="s">
        <v>152</v>
      </c>
      <c r="G162" s="1">
        <v>45635</v>
      </c>
      <c r="H162" t="s">
        <v>35</v>
      </c>
      <c r="I162">
        <v>69495.28</v>
      </c>
      <c r="J162">
        <v>6204.13</v>
      </c>
      <c r="K162" t="s">
        <v>31</v>
      </c>
      <c r="L162" t="s">
        <v>26</v>
      </c>
      <c r="M162" t="s">
        <v>27</v>
      </c>
      <c r="N162">
        <v>174</v>
      </c>
      <c r="O162" s="1">
        <v>45709</v>
      </c>
      <c r="P162">
        <v>74</v>
      </c>
      <c r="Q162" t="s">
        <v>48</v>
      </c>
      <c r="R162">
        <v>1325.57</v>
      </c>
    </row>
    <row r="163" spans="1:18" x14ac:dyDescent="0.25">
      <c r="A163" t="s">
        <v>388</v>
      </c>
      <c r="B163" t="s">
        <v>389</v>
      </c>
      <c r="C163" t="s">
        <v>390</v>
      </c>
      <c r="D163" t="s">
        <v>391</v>
      </c>
      <c r="E163" t="s">
        <v>93</v>
      </c>
      <c r="F163" t="s">
        <v>281</v>
      </c>
      <c r="G163" s="1">
        <v>45638</v>
      </c>
      <c r="H163" t="s">
        <v>35</v>
      </c>
      <c r="I163">
        <v>12742.69</v>
      </c>
      <c r="J163">
        <v>6979.29</v>
      </c>
      <c r="K163" t="s">
        <v>56</v>
      </c>
      <c r="L163" t="s">
        <v>32</v>
      </c>
      <c r="M163" t="s">
        <v>27</v>
      </c>
      <c r="N163">
        <v>171</v>
      </c>
      <c r="O163" s="1">
        <v>45731</v>
      </c>
      <c r="P163">
        <v>93</v>
      </c>
      <c r="Q163" t="s">
        <v>38</v>
      </c>
      <c r="R163">
        <v>0</v>
      </c>
    </row>
    <row r="164" spans="1:18" x14ac:dyDescent="0.25">
      <c r="A164" t="s">
        <v>392</v>
      </c>
      <c r="B164" t="s">
        <v>393</v>
      </c>
      <c r="C164" t="s">
        <v>390</v>
      </c>
      <c r="D164" t="s">
        <v>391</v>
      </c>
      <c r="E164" t="s">
        <v>93</v>
      </c>
      <c r="F164" t="s">
        <v>281</v>
      </c>
      <c r="G164" s="1">
        <v>45650</v>
      </c>
      <c r="H164" t="s">
        <v>66</v>
      </c>
      <c r="I164">
        <v>58097.599999999999</v>
      </c>
      <c r="J164">
        <v>30943.94</v>
      </c>
      <c r="K164" t="s">
        <v>31</v>
      </c>
      <c r="L164" t="s">
        <v>26</v>
      </c>
      <c r="M164" t="s">
        <v>27</v>
      </c>
      <c r="N164">
        <v>159</v>
      </c>
      <c r="O164" s="1">
        <v>45707</v>
      </c>
      <c r="P164">
        <v>57</v>
      </c>
      <c r="Q164" t="s">
        <v>43</v>
      </c>
      <c r="R164">
        <v>6527.26</v>
      </c>
    </row>
    <row r="165" spans="1:18" x14ac:dyDescent="0.25">
      <c r="A165" t="s">
        <v>394</v>
      </c>
      <c r="B165" t="s">
        <v>395</v>
      </c>
      <c r="C165" t="s">
        <v>390</v>
      </c>
      <c r="D165" t="s">
        <v>391</v>
      </c>
      <c r="E165" t="s">
        <v>93</v>
      </c>
      <c r="F165" t="s">
        <v>281</v>
      </c>
      <c r="G165" s="1">
        <v>45650</v>
      </c>
      <c r="H165" t="s">
        <v>51</v>
      </c>
      <c r="I165">
        <v>22124.98</v>
      </c>
      <c r="J165">
        <v>4660.51</v>
      </c>
      <c r="K165" t="s">
        <v>56</v>
      </c>
      <c r="L165" t="s">
        <v>46</v>
      </c>
      <c r="M165" t="s">
        <v>27</v>
      </c>
      <c r="N165">
        <v>159</v>
      </c>
      <c r="O165" s="1">
        <v>45670</v>
      </c>
      <c r="P165">
        <v>20</v>
      </c>
      <c r="Q165" t="s">
        <v>28</v>
      </c>
      <c r="R165">
        <v>4660.51</v>
      </c>
    </row>
    <row r="166" spans="1:18" x14ac:dyDescent="0.25">
      <c r="A166" t="s">
        <v>396</v>
      </c>
      <c r="B166" t="s">
        <v>397</v>
      </c>
      <c r="C166" t="s">
        <v>390</v>
      </c>
      <c r="D166" t="s">
        <v>391</v>
      </c>
      <c r="E166" t="s">
        <v>93</v>
      </c>
      <c r="F166" t="s">
        <v>281</v>
      </c>
      <c r="G166" s="1">
        <v>45657</v>
      </c>
      <c r="H166" t="s">
        <v>24</v>
      </c>
      <c r="I166">
        <v>85220.7</v>
      </c>
      <c r="J166">
        <v>10725.5</v>
      </c>
      <c r="K166" t="s">
        <v>86</v>
      </c>
      <c r="L166" t="s">
        <v>72</v>
      </c>
      <c r="M166" t="s">
        <v>47</v>
      </c>
      <c r="N166">
        <v>152</v>
      </c>
      <c r="O166" s="1">
        <v>45772</v>
      </c>
      <c r="P166">
        <v>115</v>
      </c>
      <c r="Q166" t="s">
        <v>48</v>
      </c>
      <c r="R166">
        <v>1634.78</v>
      </c>
    </row>
    <row r="167" spans="1:18" x14ac:dyDescent="0.25">
      <c r="A167" t="s">
        <v>398</v>
      </c>
      <c r="B167" t="s">
        <v>399</v>
      </c>
      <c r="C167" t="s">
        <v>390</v>
      </c>
      <c r="D167" t="s">
        <v>391</v>
      </c>
      <c r="E167" t="s">
        <v>93</v>
      </c>
      <c r="F167" t="s">
        <v>281</v>
      </c>
      <c r="G167" s="1">
        <v>45616</v>
      </c>
      <c r="H167" t="s">
        <v>59</v>
      </c>
      <c r="I167">
        <v>19654.009999999998</v>
      </c>
      <c r="J167">
        <v>3648.46</v>
      </c>
      <c r="K167" t="s">
        <v>86</v>
      </c>
      <c r="L167" t="s">
        <v>36</v>
      </c>
      <c r="M167" t="s">
        <v>47</v>
      </c>
      <c r="N167">
        <v>193</v>
      </c>
      <c r="O167" s="1">
        <v>45624</v>
      </c>
      <c r="P167">
        <v>8</v>
      </c>
      <c r="Q167" t="s">
        <v>43</v>
      </c>
      <c r="R167">
        <v>2210.3000000000002</v>
      </c>
    </row>
    <row r="168" spans="1:18" x14ac:dyDescent="0.25">
      <c r="A168" t="s">
        <v>400</v>
      </c>
      <c r="B168" t="s">
        <v>401</v>
      </c>
      <c r="C168" t="s">
        <v>390</v>
      </c>
      <c r="D168" t="s">
        <v>391</v>
      </c>
      <c r="E168" t="s">
        <v>93</v>
      </c>
      <c r="F168" t="s">
        <v>281</v>
      </c>
      <c r="G168" s="1">
        <v>45687</v>
      </c>
      <c r="H168" t="s">
        <v>51</v>
      </c>
      <c r="I168">
        <v>97110.92</v>
      </c>
      <c r="J168">
        <v>49327.16</v>
      </c>
      <c r="K168" t="s">
        <v>86</v>
      </c>
      <c r="L168" t="s">
        <v>46</v>
      </c>
      <c r="M168" t="s">
        <v>27</v>
      </c>
      <c r="N168">
        <v>122</v>
      </c>
      <c r="O168" s="1">
        <v>45729</v>
      </c>
      <c r="P168">
        <v>42</v>
      </c>
      <c r="Q168" t="s">
        <v>38</v>
      </c>
      <c r="R168">
        <v>0</v>
      </c>
    </row>
    <row r="169" spans="1:18" x14ac:dyDescent="0.25">
      <c r="A169" t="s">
        <v>402</v>
      </c>
      <c r="B169" t="s">
        <v>403</v>
      </c>
      <c r="C169" t="s">
        <v>390</v>
      </c>
      <c r="D169" t="s">
        <v>391</v>
      </c>
      <c r="E169" t="s">
        <v>93</v>
      </c>
      <c r="F169" t="s">
        <v>281</v>
      </c>
      <c r="G169" s="1">
        <v>45568</v>
      </c>
      <c r="H169" t="s">
        <v>59</v>
      </c>
      <c r="I169">
        <v>90877.56</v>
      </c>
      <c r="J169">
        <v>17767.669999999998</v>
      </c>
      <c r="K169" t="s">
        <v>86</v>
      </c>
      <c r="L169" t="s">
        <v>67</v>
      </c>
      <c r="M169" t="s">
        <v>27</v>
      </c>
      <c r="N169">
        <v>241</v>
      </c>
      <c r="O169" s="1">
        <v>45607</v>
      </c>
      <c r="P169">
        <v>39</v>
      </c>
      <c r="Q169" t="s">
        <v>48</v>
      </c>
      <c r="R169">
        <v>5350.96</v>
      </c>
    </row>
    <row r="170" spans="1:18" x14ac:dyDescent="0.25">
      <c r="A170" t="s">
        <v>404</v>
      </c>
      <c r="B170" t="s">
        <v>405</v>
      </c>
      <c r="C170" t="s">
        <v>390</v>
      </c>
      <c r="D170" t="s">
        <v>391</v>
      </c>
      <c r="E170" t="s">
        <v>93</v>
      </c>
      <c r="F170" t="s">
        <v>281</v>
      </c>
      <c r="G170" s="1">
        <v>45594</v>
      </c>
      <c r="H170" t="s">
        <v>66</v>
      </c>
      <c r="I170">
        <v>96795.47</v>
      </c>
      <c r="J170">
        <v>64143.3</v>
      </c>
      <c r="K170" t="s">
        <v>86</v>
      </c>
      <c r="L170" t="s">
        <v>41</v>
      </c>
      <c r="M170" t="s">
        <v>53</v>
      </c>
      <c r="N170">
        <v>215</v>
      </c>
      <c r="Q170" t="s">
        <v>38</v>
      </c>
      <c r="R170">
        <v>0</v>
      </c>
    </row>
    <row r="171" spans="1:18" x14ac:dyDescent="0.25">
      <c r="A171" t="s">
        <v>406</v>
      </c>
      <c r="B171" t="s">
        <v>407</v>
      </c>
      <c r="C171" t="s">
        <v>390</v>
      </c>
      <c r="D171" t="s">
        <v>391</v>
      </c>
      <c r="E171" t="s">
        <v>93</v>
      </c>
      <c r="F171" t="s">
        <v>281</v>
      </c>
      <c r="G171" s="1">
        <v>45562</v>
      </c>
      <c r="H171" t="s">
        <v>59</v>
      </c>
      <c r="I171">
        <v>88041.11</v>
      </c>
      <c r="J171">
        <v>41018.839999999997</v>
      </c>
      <c r="K171" t="s">
        <v>25</v>
      </c>
      <c r="L171" t="s">
        <v>26</v>
      </c>
      <c r="M171" t="s">
        <v>27</v>
      </c>
      <c r="N171">
        <v>247</v>
      </c>
      <c r="O171" s="1">
        <v>45662</v>
      </c>
      <c r="P171">
        <v>100</v>
      </c>
      <c r="Q171" t="s">
        <v>28</v>
      </c>
      <c r="R171">
        <v>41018.839999999997</v>
      </c>
    </row>
    <row r="172" spans="1:18" x14ac:dyDescent="0.25">
      <c r="A172" t="s">
        <v>408</v>
      </c>
      <c r="B172" t="s">
        <v>409</v>
      </c>
      <c r="C172" t="s">
        <v>390</v>
      </c>
      <c r="D172" t="s">
        <v>391</v>
      </c>
      <c r="E172" t="s">
        <v>93</v>
      </c>
      <c r="F172" t="s">
        <v>281</v>
      </c>
      <c r="G172" s="1">
        <v>45578</v>
      </c>
      <c r="H172" t="s">
        <v>66</v>
      </c>
      <c r="I172">
        <v>91004.09</v>
      </c>
      <c r="J172">
        <v>14607.2</v>
      </c>
      <c r="K172" t="s">
        <v>31</v>
      </c>
      <c r="L172" t="s">
        <v>67</v>
      </c>
      <c r="M172" t="s">
        <v>42</v>
      </c>
      <c r="N172">
        <v>231</v>
      </c>
      <c r="O172" s="1">
        <v>45584</v>
      </c>
      <c r="P172">
        <v>6</v>
      </c>
      <c r="Q172" t="s">
        <v>43</v>
      </c>
      <c r="R172">
        <v>6396.09</v>
      </c>
    </row>
    <row r="173" spans="1:18" x14ac:dyDescent="0.25">
      <c r="A173" t="s">
        <v>410</v>
      </c>
      <c r="B173" t="s">
        <v>411</v>
      </c>
      <c r="C173" t="s">
        <v>390</v>
      </c>
      <c r="D173" t="s">
        <v>391</v>
      </c>
      <c r="E173" t="s">
        <v>93</v>
      </c>
      <c r="F173" t="s">
        <v>281</v>
      </c>
      <c r="G173" s="1">
        <v>45617</v>
      </c>
      <c r="H173" t="s">
        <v>77</v>
      </c>
      <c r="I173">
        <v>27398.92</v>
      </c>
      <c r="J173">
        <v>21806.639999999999</v>
      </c>
      <c r="K173" t="s">
        <v>31</v>
      </c>
      <c r="L173" t="s">
        <v>52</v>
      </c>
      <c r="M173" t="s">
        <v>42</v>
      </c>
      <c r="N173">
        <v>192</v>
      </c>
      <c r="O173" s="1">
        <v>45727</v>
      </c>
      <c r="P173">
        <v>110</v>
      </c>
      <c r="Q173" t="s">
        <v>48</v>
      </c>
      <c r="R173">
        <v>5105.29</v>
      </c>
    </row>
    <row r="174" spans="1:18" x14ac:dyDescent="0.25">
      <c r="A174" t="s">
        <v>412</v>
      </c>
      <c r="B174" t="s">
        <v>413</v>
      </c>
      <c r="C174" t="s">
        <v>390</v>
      </c>
      <c r="D174" t="s">
        <v>391</v>
      </c>
      <c r="E174" t="s">
        <v>93</v>
      </c>
      <c r="F174" t="s">
        <v>281</v>
      </c>
      <c r="G174" s="1">
        <v>45734</v>
      </c>
      <c r="H174" t="s">
        <v>24</v>
      </c>
      <c r="I174">
        <v>18071.96</v>
      </c>
      <c r="J174">
        <v>4791.95</v>
      </c>
      <c r="K174" t="s">
        <v>86</v>
      </c>
      <c r="L174" t="s">
        <v>36</v>
      </c>
      <c r="M174" t="s">
        <v>47</v>
      </c>
      <c r="N174">
        <v>75</v>
      </c>
      <c r="O174" s="1">
        <v>45797</v>
      </c>
      <c r="P174">
        <v>63</v>
      </c>
      <c r="Q174" t="s">
        <v>43</v>
      </c>
      <c r="R174">
        <v>973.49</v>
      </c>
    </row>
    <row r="175" spans="1:18" x14ac:dyDescent="0.25">
      <c r="A175" t="s">
        <v>414</v>
      </c>
      <c r="B175" t="s">
        <v>415</v>
      </c>
      <c r="C175" t="s">
        <v>390</v>
      </c>
      <c r="D175" t="s">
        <v>391</v>
      </c>
      <c r="E175" t="s">
        <v>93</v>
      </c>
      <c r="F175" t="s">
        <v>281</v>
      </c>
      <c r="G175" s="1">
        <v>45768</v>
      </c>
      <c r="H175" t="s">
        <v>24</v>
      </c>
      <c r="I175">
        <v>6805.37</v>
      </c>
      <c r="J175">
        <v>1440.98</v>
      </c>
      <c r="K175" t="s">
        <v>25</v>
      </c>
      <c r="L175" t="s">
        <v>32</v>
      </c>
      <c r="M175" t="s">
        <v>37</v>
      </c>
      <c r="N175">
        <v>41</v>
      </c>
      <c r="Q175" t="s">
        <v>38</v>
      </c>
      <c r="R175">
        <v>0</v>
      </c>
    </row>
    <row r="176" spans="1:18" x14ac:dyDescent="0.25">
      <c r="A176" t="s">
        <v>416</v>
      </c>
      <c r="B176" t="s">
        <v>417</v>
      </c>
      <c r="C176" t="s">
        <v>390</v>
      </c>
      <c r="D176" t="s">
        <v>391</v>
      </c>
      <c r="E176" t="s">
        <v>93</v>
      </c>
      <c r="F176" t="s">
        <v>281</v>
      </c>
      <c r="G176" s="1">
        <v>45661</v>
      </c>
      <c r="H176" t="s">
        <v>24</v>
      </c>
      <c r="I176">
        <v>27575.82</v>
      </c>
      <c r="J176">
        <v>3898.84</v>
      </c>
      <c r="K176" t="s">
        <v>25</v>
      </c>
      <c r="L176" t="s">
        <v>67</v>
      </c>
      <c r="M176" t="s">
        <v>53</v>
      </c>
      <c r="N176">
        <v>148</v>
      </c>
      <c r="Q176" t="s">
        <v>38</v>
      </c>
      <c r="R176">
        <v>0</v>
      </c>
    </row>
    <row r="177" spans="1:18" x14ac:dyDescent="0.25">
      <c r="A177" t="s">
        <v>418</v>
      </c>
      <c r="B177" t="s">
        <v>419</v>
      </c>
      <c r="C177" t="s">
        <v>390</v>
      </c>
      <c r="D177" t="s">
        <v>391</v>
      </c>
      <c r="E177" t="s">
        <v>93</v>
      </c>
      <c r="F177" t="s">
        <v>281</v>
      </c>
      <c r="G177" s="1">
        <v>45553</v>
      </c>
      <c r="H177" t="s">
        <v>66</v>
      </c>
      <c r="I177">
        <v>61690.21</v>
      </c>
      <c r="J177">
        <v>3844.94</v>
      </c>
      <c r="K177" t="s">
        <v>31</v>
      </c>
      <c r="L177" t="s">
        <v>36</v>
      </c>
      <c r="M177" t="s">
        <v>27</v>
      </c>
      <c r="N177">
        <v>256</v>
      </c>
      <c r="O177" s="1">
        <v>45556</v>
      </c>
      <c r="P177">
        <v>3</v>
      </c>
      <c r="Q177" t="s">
        <v>43</v>
      </c>
      <c r="R177">
        <v>1323.96</v>
      </c>
    </row>
    <row r="178" spans="1:18" x14ac:dyDescent="0.25">
      <c r="A178" t="s">
        <v>420</v>
      </c>
      <c r="B178" t="s">
        <v>421</v>
      </c>
      <c r="C178" t="s">
        <v>390</v>
      </c>
      <c r="D178" t="s">
        <v>391</v>
      </c>
      <c r="E178" t="s">
        <v>93</v>
      </c>
      <c r="F178" t="s">
        <v>281</v>
      </c>
      <c r="G178" s="1">
        <v>45595</v>
      </c>
      <c r="H178" t="s">
        <v>35</v>
      </c>
      <c r="I178">
        <v>22794.82</v>
      </c>
      <c r="J178">
        <v>12563.62</v>
      </c>
      <c r="K178" t="s">
        <v>31</v>
      </c>
      <c r="L178" t="s">
        <v>26</v>
      </c>
      <c r="M178" t="s">
        <v>42</v>
      </c>
      <c r="N178">
        <v>214</v>
      </c>
      <c r="O178" s="1">
        <v>45667</v>
      </c>
      <c r="P178">
        <v>72</v>
      </c>
      <c r="Q178" t="s">
        <v>43</v>
      </c>
      <c r="R178">
        <v>9962.94</v>
      </c>
    </row>
    <row r="179" spans="1:18" x14ac:dyDescent="0.25">
      <c r="A179" t="s">
        <v>422</v>
      </c>
      <c r="B179" t="s">
        <v>423</v>
      </c>
      <c r="C179" t="s">
        <v>390</v>
      </c>
      <c r="D179" t="s">
        <v>391</v>
      </c>
      <c r="E179" t="s">
        <v>93</v>
      </c>
      <c r="F179" t="s">
        <v>281</v>
      </c>
      <c r="G179" s="1">
        <v>45525</v>
      </c>
      <c r="H179" t="s">
        <v>51</v>
      </c>
      <c r="I179">
        <v>6931.76</v>
      </c>
      <c r="J179">
        <v>4886.88</v>
      </c>
      <c r="K179" t="s">
        <v>25</v>
      </c>
      <c r="L179" t="s">
        <v>52</v>
      </c>
      <c r="M179" t="s">
        <v>27</v>
      </c>
      <c r="N179">
        <v>284</v>
      </c>
      <c r="O179" s="1">
        <v>45530</v>
      </c>
      <c r="P179">
        <v>5</v>
      </c>
      <c r="Q179" t="s">
        <v>28</v>
      </c>
      <c r="R179">
        <v>4886.88</v>
      </c>
    </row>
    <row r="180" spans="1:18" x14ac:dyDescent="0.25">
      <c r="A180" t="s">
        <v>424</v>
      </c>
      <c r="B180" t="s">
        <v>425</v>
      </c>
      <c r="C180" t="s">
        <v>390</v>
      </c>
      <c r="D180" t="s">
        <v>391</v>
      </c>
      <c r="E180" t="s">
        <v>93</v>
      </c>
      <c r="F180" t="s">
        <v>281</v>
      </c>
      <c r="G180" s="1">
        <v>45774</v>
      </c>
      <c r="H180" t="s">
        <v>59</v>
      </c>
      <c r="I180">
        <v>37756.239999999998</v>
      </c>
      <c r="J180">
        <v>22642.63</v>
      </c>
      <c r="K180" t="s">
        <v>31</v>
      </c>
      <c r="L180" t="s">
        <v>52</v>
      </c>
      <c r="M180" t="s">
        <v>37</v>
      </c>
      <c r="N180">
        <v>35</v>
      </c>
      <c r="Q180" t="s">
        <v>38</v>
      </c>
      <c r="R180">
        <v>0</v>
      </c>
    </row>
    <row r="181" spans="1:18" x14ac:dyDescent="0.25">
      <c r="A181" t="s">
        <v>426</v>
      </c>
      <c r="B181" t="s">
        <v>427</v>
      </c>
      <c r="C181" t="s">
        <v>390</v>
      </c>
      <c r="D181" t="s">
        <v>391</v>
      </c>
      <c r="E181" t="s">
        <v>93</v>
      </c>
      <c r="F181" t="s">
        <v>281</v>
      </c>
      <c r="G181" s="1">
        <v>45628</v>
      </c>
      <c r="H181" t="s">
        <v>24</v>
      </c>
      <c r="I181">
        <v>56871.31</v>
      </c>
      <c r="J181">
        <v>37542.550000000003</v>
      </c>
      <c r="K181" t="s">
        <v>25</v>
      </c>
      <c r="L181" t="s">
        <v>67</v>
      </c>
      <c r="M181" t="s">
        <v>42</v>
      </c>
      <c r="N181">
        <v>181</v>
      </c>
      <c r="O181" s="1">
        <v>45692</v>
      </c>
      <c r="P181">
        <v>64</v>
      </c>
      <c r="Q181" t="s">
        <v>43</v>
      </c>
      <c r="R181">
        <v>25787.93</v>
      </c>
    </row>
    <row r="182" spans="1:18" x14ac:dyDescent="0.25">
      <c r="A182" t="s">
        <v>428</v>
      </c>
      <c r="B182" t="s">
        <v>429</v>
      </c>
      <c r="C182" t="s">
        <v>390</v>
      </c>
      <c r="D182" t="s">
        <v>391</v>
      </c>
      <c r="E182" t="s">
        <v>93</v>
      </c>
      <c r="F182" t="s">
        <v>281</v>
      </c>
      <c r="G182" s="1">
        <v>45776</v>
      </c>
      <c r="H182" t="s">
        <v>66</v>
      </c>
      <c r="I182">
        <v>73024.28</v>
      </c>
      <c r="J182">
        <v>55330.78</v>
      </c>
      <c r="K182" t="s">
        <v>25</v>
      </c>
      <c r="L182" t="s">
        <v>72</v>
      </c>
      <c r="M182" t="s">
        <v>47</v>
      </c>
      <c r="N182">
        <v>33</v>
      </c>
      <c r="O182" s="1">
        <v>45807</v>
      </c>
      <c r="P182">
        <v>31</v>
      </c>
      <c r="Q182" t="s">
        <v>28</v>
      </c>
      <c r="R182">
        <v>55330.78</v>
      </c>
    </row>
    <row r="183" spans="1:18" x14ac:dyDescent="0.25">
      <c r="A183" t="s">
        <v>430</v>
      </c>
      <c r="B183" t="s">
        <v>431</v>
      </c>
      <c r="C183" t="s">
        <v>390</v>
      </c>
      <c r="D183" t="s">
        <v>391</v>
      </c>
      <c r="E183" t="s">
        <v>93</v>
      </c>
      <c r="F183" t="s">
        <v>281</v>
      </c>
      <c r="G183" s="1">
        <v>45650</v>
      </c>
      <c r="H183" t="s">
        <v>35</v>
      </c>
      <c r="I183">
        <v>53961.440000000002</v>
      </c>
      <c r="J183">
        <v>42728.94</v>
      </c>
      <c r="K183" t="s">
        <v>31</v>
      </c>
      <c r="L183" t="s">
        <v>72</v>
      </c>
      <c r="M183" t="s">
        <v>47</v>
      </c>
      <c r="N183">
        <v>159</v>
      </c>
      <c r="O183" s="1">
        <v>45677</v>
      </c>
      <c r="P183">
        <v>27</v>
      </c>
      <c r="Q183" t="s">
        <v>28</v>
      </c>
      <c r="R183">
        <v>42728.94</v>
      </c>
    </row>
    <row r="184" spans="1:18" x14ac:dyDescent="0.25">
      <c r="A184" t="s">
        <v>432</v>
      </c>
      <c r="B184" t="s">
        <v>433</v>
      </c>
      <c r="C184" t="s">
        <v>390</v>
      </c>
      <c r="D184" t="s">
        <v>391</v>
      </c>
      <c r="E184" t="s">
        <v>93</v>
      </c>
      <c r="F184" t="s">
        <v>281</v>
      </c>
      <c r="G184" s="1">
        <v>45784</v>
      </c>
      <c r="H184" t="s">
        <v>35</v>
      </c>
      <c r="I184">
        <v>87250.84</v>
      </c>
      <c r="J184">
        <v>26083.07</v>
      </c>
      <c r="K184" t="s">
        <v>25</v>
      </c>
      <c r="L184" t="s">
        <v>32</v>
      </c>
      <c r="M184" t="s">
        <v>47</v>
      </c>
      <c r="N184">
        <v>25</v>
      </c>
      <c r="O184" s="1">
        <v>45801</v>
      </c>
      <c r="P184">
        <v>17</v>
      </c>
      <c r="Q184" t="s">
        <v>118</v>
      </c>
      <c r="R184">
        <v>0</v>
      </c>
    </row>
    <row r="185" spans="1:18" x14ac:dyDescent="0.25">
      <c r="A185" t="s">
        <v>434</v>
      </c>
      <c r="B185" t="s">
        <v>435</v>
      </c>
      <c r="C185" t="s">
        <v>390</v>
      </c>
      <c r="D185" t="s">
        <v>391</v>
      </c>
      <c r="E185" t="s">
        <v>93</v>
      </c>
      <c r="F185" t="s">
        <v>281</v>
      </c>
      <c r="G185" s="1">
        <v>45611</v>
      </c>
      <c r="H185" t="s">
        <v>35</v>
      </c>
      <c r="I185">
        <v>37208.480000000003</v>
      </c>
      <c r="J185">
        <v>7073.81</v>
      </c>
      <c r="K185" t="s">
        <v>86</v>
      </c>
      <c r="L185" t="s">
        <v>41</v>
      </c>
      <c r="M185" t="s">
        <v>42</v>
      </c>
      <c r="N185">
        <v>198</v>
      </c>
      <c r="O185" s="1">
        <v>45707</v>
      </c>
      <c r="P185">
        <v>96</v>
      </c>
      <c r="Q185" t="s">
        <v>43</v>
      </c>
      <c r="R185">
        <v>3242.38</v>
      </c>
    </row>
    <row r="186" spans="1:18" x14ac:dyDescent="0.25">
      <c r="A186" t="s">
        <v>436</v>
      </c>
      <c r="B186" t="s">
        <v>437</v>
      </c>
      <c r="C186" t="s">
        <v>390</v>
      </c>
      <c r="D186" t="s">
        <v>391</v>
      </c>
      <c r="E186" t="s">
        <v>93</v>
      </c>
      <c r="F186" t="s">
        <v>281</v>
      </c>
      <c r="G186" s="1">
        <v>45716</v>
      </c>
      <c r="H186" t="s">
        <v>24</v>
      </c>
      <c r="I186">
        <v>56820.07</v>
      </c>
      <c r="J186">
        <v>16529.45</v>
      </c>
      <c r="K186" t="s">
        <v>25</v>
      </c>
      <c r="L186" t="s">
        <v>41</v>
      </c>
      <c r="M186" t="s">
        <v>27</v>
      </c>
      <c r="N186">
        <v>93</v>
      </c>
      <c r="O186" s="1">
        <v>45796</v>
      </c>
      <c r="P186">
        <v>80</v>
      </c>
      <c r="Q186" t="s">
        <v>48</v>
      </c>
      <c r="R186">
        <v>2754.76</v>
      </c>
    </row>
    <row r="187" spans="1:18" x14ac:dyDescent="0.25">
      <c r="A187" t="s">
        <v>438</v>
      </c>
      <c r="B187" t="s">
        <v>439</v>
      </c>
      <c r="C187" t="s">
        <v>440</v>
      </c>
      <c r="D187" t="s">
        <v>441</v>
      </c>
      <c r="E187" t="s">
        <v>151</v>
      </c>
      <c r="F187" t="s">
        <v>442</v>
      </c>
      <c r="G187" s="1">
        <v>45580</v>
      </c>
      <c r="H187" t="s">
        <v>51</v>
      </c>
      <c r="I187">
        <v>9023.74</v>
      </c>
      <c r="J187">
        <v>6339.43</v>
      </c>
      <c r="K187" t="s">
        <v>31</v>
      </c>
      <c r="L187" t="s">
        <v>41</v>
      </c>
      <c r="M187" t="s">
        <v>27</v>
      </c>
      <c r="N187">
        <v>229</v>
      </c>
      <c r="O187" s="1">
        <v>45684</v>
      </c>
      <c r="P187">
        <v>104</v>
      </c>
      <c r="Q187" t="s">
        <v>38</v>
      </c>
      <c r="R187">
        <v>0</v>
      </c>
    </row>
    <row r="188" spans="1:18" x14ac:dyDescent="0.25">
      <c r="A188" t="s">
        <v>443</v>
      </c>
      <c r="B188" t="s">
        <v>444</v>
      </c>
      <c r="C188" t="s">
        <v>440</v>
      </c>
      <c r="D188" t="s">
        <v>441</v>
      </c>
      <c r="E188" t="s">
        <v>151</v>
      </c>
      <c r="F188" t="s">
        <v>442</v>
      </c>
      <c r="G188" s="1">
        <v>45770</v>
      </c>
      <c r="H188" t="s">
        <v>24</v>
      </c>
      <c r="I188">
        <v>68762.47</v>
      </c>
      <c r="J188">
        <v>24387.14</v>
      </c>
      <c r="K188" t="s">
        <v>31</v>
      </c>
      <c r="L188" t="s">
        <v>36</v>
      </c>
      <c r="M188" t="s">
        <v>42</v>
      </c>
      <c r="N188">
        <v>39</v>
      </c>
      <c r="O188" s="1">
        <v>45782</v>
      </c>
      <c r="P188">
        <v>12</v>
      </c>
      <c r="Q188" t="s">
        <v>118</v>
      </c>
      <c r="R188">
        <v>0</v>
      </c>
    </row>
    <row r="189" spans="1:18" x14ac:dyDescent="0.25">
      <c r="A189" t="s">
        <v>445</v>
      </c>
      <c r="B189" t="s">
        <v>446</v>
      </c>
      <c r="C189" t="s">
        <v>440</v>
      </c>
      <c r="D189" t="s">
        <v>441</v>
      </c>
      <c r="E189" t="s">
        <v>151</v>
      </c>
      <c r="F189" t="s">
        <v>442</v>
      </c>
      <c r="G189" s="1">
        <v>45461</v>
      </c>
      <c r="H189" t="s">
        <v>24</v>
      </c>
      <c r="I189">
        <v>79224.639999999999</v>
      </c>
      <c r="J189">
        <v>6028.93</v>
      </c>
      <c r="K189" t="s">
        <v>25</v>
      </c>
      <c r="L189" t="s">
        <v>52</v>
      </c>
      <c r="M189" t="s">
        <v>27</v>
      </c>
      <c r="N189">
        <v>348</v>
      </c>
      <c r="O189" s="1">
        <v>45536</v>
      </c>
      <c r="P189">
        <v>75</v>
      </c>
      <c r="Q189" t="s">
        <v>28</v>
      </c>
      <c r="R189">
        <v>6028.93</v>
      </c>
    </row>
    <row r="190" spans="1:18" x14ac:dyDescent="0.25">
      <c r="A190" t="s">
        <v>447</v>
      </c>
      <c r="B190" t="s">
        <v>448</v>
      </c>
      <c r="C190" t="s">
        <v>440</v>
      </c>
      <c r="D190" t="s">
        <v>441</v>
      </c>
      <c r="E190" t="s">
        <v>151</v>
      </c>
      <c r="F190" t="s">
        <v>442</v>
      </c>
      <c r="G190" s="1">
        <v>45730</v>
      </c>
      <c r="H190" t="s">
        <v>77</v>
      </c>
      <c r="I190">
        <v>69510.899999999994</v>
      </c>
      <c r="J190">
        <v>52940.73</v>
      </c>
      <c r="K190" t="s">
        <v>31</v>
      </c>
      <c r="L190" t="s">
        <v>36</v>
      </c>
      <c r="M190" t="s">
        <v>27</v>
      </c>
      <c r="N190">
        <v>79</v>
      </c>
      <c r="O190" s="1">
        <v>45783</v>
      </c>
      <c r="P190">
        <v>53</v>
      </c>
      <c r="Q190" t="s">
        <v>28</v>
      </c>
      <c r="R190">
        <v>52940.73</v>
      </c>
    </row>
    <row r="191" spans="1:18" x14ac:dyDescent="0.25">
      <c r="A191" t="s">
        <v>449</v>
      </c>
      <c r="B191" t="s">
        <v>450</v>
      </c>
      <c r="C191" t="s">
        <v>440</v>
      </c>
      <c r="D191" t="s">
        <v>441</v>
      </c>
      <c r="E191" t="s">
        <v>151</v>
      </c>
      <c r="F191" t="s">
        <v>442</v>
      </c>
      <c r="G191" s="1">
        <v>45666</v>
      </c>
      <c r="H191" t="s">
        <v>51</v>
      </c>
      <c r="I191">
        <v>28713.11</v>
      </c>
      <c r="J191">
        <v>3878.75</v>
      </c>
      <c r="K191" t="s">
        <v>86</v>
      </c>
      <c r="L191" t="s">
        <v>32</v>
      </c>
      <c r="M191" t="s">
        <v>42</v>
      </c>
      <c r="N191">
        <v>143</v>
      </c>
      <c r="O191" s="1">
        <v>45684</v>
      </c>
      <c r="P191">
        <v>18</v>
      </c>
      <c r="Q191" t="s">
        <v>28</v>
      </c>
      <c r="R191">
        <v>3878.75</v>
      </c>
    </row>
    <row r="192" spans="1:18" x14ac:dyDescent="0.25">
      <c r="A192" t="s">
        <v>451</v>
      </c>
      <c r="B192" t="s">
        <v>452</v>
      </c>
      <c r="C192" t="s">
        <v>440</v>
      </c>
      <c r="D192" t="s">
        <v>441</v>
      </c>
      <c r="E192" t="s">
        <v>151</v>
      </c>
      <c r="F192" t="s">
        <v>442</v>
      </c>
      <c r="G192" s="1">
        <v>45675</v>
      </c>
      <c r="H192" t="s">
        <v>24</v>
      </c>
      <c r="I192">
        <v>71883.59</v>
      </c>
      <c r="J192">
        <v>15162.25</v>
      </c>
      <c r="K192" t="s">
        <v>31</v>
      </c>
      <c r="L192" t="s">
        <v>67</v>
      </c>
      <c r="M192" t="s">
        <v>27</v>
      </c>
      <c r="N192">
        <v>134</v>
      </c>
      <c r="O192" s="1">
        <v>45695</v>
      </c>
      <c r="P192">
        <v>20</v>
      </c>
      <c r="Q192" t="s">
        <v>118</v>
      </c>
      <c r="R192">
        <v>0</v>
      </c>
    </row>
    <row r="193" spans="1:18" x14ac:dyDescent="0.25">
      <c r="A193" t="s">
        <v>453</v>
      </c>
      <c r="B193" t="s">
        <v>454</v>
      </c>
      <c r="C193" t="s">
        <v>440</v>
      </c>
      <c r="D193" t="s">
        <v>441</v>
      </c>
      <c r="E193" t="s">
        <v>151</v>
      </c>
      <c r="F193" t="s">
        <v>442</v>
      </c>
      <c r="G193" s="1">
        <v>45577</v>
      </c>
      <c r="H193" t="s">
        <v>24</v>
      </c>
      <c r="I193">
        <v>21402.35</v>
      </c>
      <c r="J193">
        <v>12520.96</v>
      </c>
      <c r="K193" t="s">
        <v>56</v>
      </c>
      <c r="L193" t="s">
        <v>52</v>
      </c>
      <c r="M193" t="s">
        <v>47</v>
      </c>
      <c r="N193">
        <v>232</v>
      </c>
      <c r="O193" s="1">
        <v>45670</v>
      </c>
      <c r="P193">
        <v>93</v>
      </c>
      <c r="Q193" t="s">
        <v>28</v>
      </c>
      <c r="R193">
        <v>12520.96</v>
      </c>
    </row>
    <row r="194" spans="1:18" x14ac:dyDescent="0.25">
      <c r="A194" t="s">
        <v>455</v>
      </c>
      <c r="B194" t="s">
        <v>456</v>
      </c>
      <c r="C194" t="s">
        <v>440</v>
      </c>
      <c r="D194" t="s">
        <v>441</v>
      </c>
      <c r="E194" t="s">
        <v>151</v>
      </c>
      <c r="F194" t="s">
        <v>442</v>
      </c>
      <c r="G194" s="1">
        <v>45531</v>
      </c>
      <c r="H194" t="s">
        <v>24</v>
      </c>
      <c r="I194">
        <v>32584.42</v>
      </c>
      <c r="J194">
        <v>8959.66</v>
      </c>
      <c r="K194" t="s">
        <v>25</v>
      </c>
      <c r="L194" t="s">
        <v>36</v>
      </c>
      <c r="M194" t="s">
        <v>47</v>
      </c>
      <c r="N194">
        <v>278</v>
      </c>
      <c r="O194" s="1">
        <v>45599</v>
      </c>
      <c r="P194">
        <v>68</v>
      </c>
      <c r="Q194" t="s">
        <v>28</v>
      </c>
      <c r="R194">
        <v>8959.66</v>
      </c>
    </row>
    <row r="195" spans="1:18" x14ac:dyDescent="0.25">
      <c r="A195" t="s">
        <v>457</v>
      </c>
      <c r="B195" t="s">
        <v>458</v>
      </c>
      <c r="C195" t="s">
        <v>440</v>
      </c>
      <c r="D195" t="s">
        <v>441</v>
      </c>
      <c r="E195" t="s">
        <v>151</v>
      </c>
      <c r="F195" t="s">
        <v>442</v>
      </c>
      <c r="G195" s="1">
        <v>45706</v>
      </c>
      <c r="H195" t="s">
        <v>35</v>
      </c>
      <c r="I195">
        <v>80246.240000000005</v>
      </c>
      <c r="J195">
        <v>18260.2</v>
      </c>
      <c r="K195" t="s">
        <v>31</v>
      </c>
      <c r="L195" t="s">
        <v>52</v>
      </c>
      <c r="M195" t="s">
        <v>27</v>
      </c>
      <c r="N195">
        <v>103</v>
      </c>
      <c r="O195" s="1">
        <v>45779</v>
      </c>
      <c r="P195">
        <v>73</v>
      </c>
      <c r="Q195" t="s">
        <v>28</v>
      </c>
      <c r="R195">
        <v>18260.2</v>
      </c>
    </row>
    <row r="196" spans="1:18" x14ac:dyDescent="0.25">
      <c r="A196" t="s">
        <v>459</v>
      </c>
      <c r="B196" t="s">
        <v>460</v>
      </c>
      <c r="C196" t="s">
        <v>440</v>
      </c>
      <c r="D196" t="s">
        <v>441</v>
      </c>
      <c r="E196" t="s">
        <v>151</v>
      </c>
      <c r="F196" t="s">
        <v>442</v>
      </c>
      <c r="G196" s="1">
        <v>45764</v>
      </c>
      <c r="H196" t="s">
        <v>51</v>
      </c>
      <c r="I196">
        <v>11246.07</v>
      </c>
      <c r="J196">
        <v>3920.6</v>
      </c>
      <c r="K196" t="s">
        <v>86</v>
      </c>
      <c r="L196" t="s">
        <v>32</v>
      </c>
      <c r="M196" t="s">
        <v>47</v>
      </c>
      <c r="N196">
        <v>45</v>
      </c>
      <c r="O196" s="1">
        <v>45803</v>
      </c>
      <c r="P196">
        <v>39</v>
      </c>
      <c r="Q196" t="s">
        <v>28</v>
      </c>
      <c r="R196">
        <v>3920.6</v>
      </c>
    </row>
    <row r="197" spans="1:18" x14ac:dyDescent="0.25">
      <c r="A197" t="s">
        <v>461</v>
      </c>
      <c r="B197" t="s">
        <v>462</v>
      </c>
      <c r="C197" t="s">
        <v>440</v>
      </c>
      <c r="D197" t="s">
        <v>441</v>
      </c>
      <c r="E197" t="s">
        <v>151</v>
      </c>
      <c r="F197" t="s">
        <v>442</v>
      </c>
      <c r="G197" s="1">
        <v>45646</v>
      </c>
      <c r="H197" t="s">
        <v>35</v>
      </c>
      <c r="I197">
        <v>66022.17</v>
      </c>
      <c r="J197">
        <v>25582.33</v>
      </c>
      <c r="K197" t="s">
        <v>86</v>
      </c>
      <c r="L197" t="s">
        <v>36</v>
      </c>
      <c r="M197" t="s">
        <v>42</v>
      </c>
      <c r="N197">
        <v>163</v>
      </c>
      <c r="O197" s="1">
        <v>45748</v>
      </c>
      <c r="P197">
        <v>102</v>
      </c>
      <c r="Q197" t="s">
        <v>43</v>
      </c>
      <c r="R197">
        <v>14138.63</v>
      </c>
    </row>
    <row r="198" spans="1:18" x14ac:dyDescent="0.25">
      <c r="A198" t="s">
        <v>463</v>
      </c>
      <c r="B198" t="s">
        <v>464</v>
      </c>
      <c r="C198" t="s">
        <v>440</v>
      </c>
      <c r="D198" t="s">
        <v>441</v>
      </c>
      <c r="E198" t="s">
        <v>151</v>
      </c>
      <c r="F198" t="s">
        <v>442</v>
      </c>
      <c r="G198" s="1">
        <v>45742</v>
      </c>
      <c r="H198" t="s">
        <v>77</v>
      </c>
      <c r="I198">
        <v>46098.74</v>
      </c>
      <c r="J198">
        <v>33791.949999999997</v>
      </c>
      <c r="K198" t="s">
        <v>25</v>
      </c>
      <c r="L198" t="s">
        <v>36</v>
      </c>
      <c r="M198" t="s">
        <v>27</v>
      </c>
      <c r="N198">
        <v>67</v>
      </c>
      <c r="O198" s="1">
        <v>45765</v>
      </c>
      <c r="P198">
        <v>23</v>
      </c>
      <c r="Q198" t="s">
        <v>28</v>
      </c>
      <c r="R198">
        <v>33791.949999999997</v>
      </c>
    </row>
    <row r="199" spans="1:18" x14ac:dyDescent="0.25">
      <c r="A199" t="s">
        <v>465</v>
      </c>
      <c r="B199" t="s">
        <v>466</v>
      </c>
      <c r="C199" t="s">
        <v>440</v>
      </c>
      <c r="D199" t="s">
        <v>441</v>
      </c>
      <c r="E199" t="s">
        <v>151</v>
      </c>
      <c r="F199" t="s">
        <v>442</v>
      </c>
      <c r="G199" s="1">
        <v>45445</v>
      </c>
      <c r="H199" t="s">
        <v>35</v>
      </c>
      <c r="I199">
        <v>26419.68</v>
      </c>
      <c r="J199">
        <v>20095.13</v>
      </c>
      <c r="K199" t="s">
        <v>31</v>
      </c>
      <c r="L199" t="s">
        <v>26</v>
      </c>
      <c r="M199" t="s">
        <v>27</v>
      </c>
      <c r="N199">
        <v>364</v>
      </c>
      <c r="O199" s="1">
        <v>45529</v>
      </c>
      <c r="P199">
        <v>84</v>
      </c>
      <c r="Q199" t="s">
        <v>38</v>
      </c>
      <c r="R199">
        <v>0</v>
      </c>
    </row>
    <row r="200" spans="1:18" x14ac:dyDescent="0.25">
      <c r="A200" t="s">
        <v>467</v>
      </c>
      <c r="B200" t="s">
        <v>468</v>
      </c>
      <c r="C200" t="s">
        <v>440</v>
      </c>
      <c r="D200" t="s">
        <v>441</v>
      </c>
      <c r="E200" t="s">
        <v>151</v>
      </c>
      <c r="F200" t="s">
        <v>442</v>
      </c>
      <c r="G200" s="1">
        <v>45668</v>
      </c>
      <c r="H200" t="s">
        <v>59</v>
      </c>
      <c r="I200">
        <v>16891.18</v>
      </c>
      <c r="J200">
        <v>4680.8599999999997</v>
      </c>
      <c r="K200" t="s">
        <v>31</v>
      </c>
      <c r="L200" t="s">
        <v>36</v>
      </c>
      <c r="M200" t="s">
        <v>27</v>
      </c>
      <c r="N200">
        <v>141</v>
      </c>
      <c r="O200" s="1">
        <v>45745</v>
      </c>
      <c r="P200">
        <v>77</v>
      </c>
      <c r="Q200" t="s">
        <v>28</v>
      </c>
      <c r="R200">
        <v>4680.8599999999997</v>
      </c>
    </row>
    <row r="201" spans="1:18" x14ac:dyDescent="0.25">
      <c r="A201" t="s">
        <v>469</v>
      </c>
      <c r="B201" t="s">
        <v>470</v>
      </c>
      <c r="C201" t="s">
        <v>440</v>
      </c>
      <c r="D201" t="s">
        <v>441</v>
      </c>
      <c r="E201" t="s">
        <v>151</v>
      </c>
      <c r="F201" t="s">
        <v>442</v>
      </c>
      <c r="G201" s="1">
        <v>45471</v>
      </c>
      <c r="H201" t="s">
        <v>59</v>
      </c>
      <c r="I201">
        <v>64325.52</v>
      </c>
      <c r="J201">
        <v>46732.53</v>
      </c>
      <c r="K201" t="s">
        <v>31</v>
      </c>
      <c r="L201" t="s">
        <v>72</v>
      </c>
      <c r="M201" t="s">
        <v>42</v>
      </c>
      <c r="N201">
        <v>338</v>
      </c>
      <c r="O201" s="1">
        <v>45477</v>
      </c>
      <c r="P201">
        <v>6</v>
      </c>
      <c r="Q201" t="s">
        <v>28</v>
      </c>
      <c r="R201">
        <v>46732.53</v>
      </c>
    </row>
    <row r="202" spans="1:18" x14ac:dyDescent="0.25">
      <c r="A202" t="s">
        <v>471</v>
      </c>
      <c r="B202" t="s">
        <v>472</v>
      </c>
      <c r="C202" t="s">
        <v>440</v>
      </c>
      <c r="D202" t="s">
        <v>441</v>
      </c>
      <c r="E202" t="s">
        <v>151</v>
      </c>
      <c r="F202" t="s">
        <v>442</v>
      </c>
      <c r="G202" s="1">
        <v>45480</v>
      </c>
      <c r="H202" t="s">
        <v>59</v>
      </c>
      <c r="I202">
        <v>78247.13</v>
      </c>
      <c r="J202">
        <v>19443.78</v>
      </c>
      <c r="K202" t="s">
        <v>25</v>
      </c>
      <c r="L202" t="s">
        <v>32</v>
      </c>
      <c r="M202" t="s">
        <v>27</v>
      </c>
      <c r="N202">
        <v>329</v>
      </c>
      <c r="O202" s="1">
        <v>45486</v>
      </c>
      <c r="P202">
        <v>6</v>
      </c>
      <c r="Q202" t="s">
        <v>43</v>
      </c>
      <c r="R202">
        <v>11205.42</v>
      </c>
    </row>
    <row r="203" spans="1:18" x14ac:dyDescent="0.25">
      <c r="A203" t="s">
        <v>473</v>
      </c>
      <c r="B203" t="s">
        <v>474</v>
      </c>
      <c r="C203" t="s">
        <v>440</v>
      </c>
      <c r="D203" t="s">
        <v>441</v>
      </c>
      <c r="E203" t="s">
        <v>151</v>
      </c>
      <c r="F203" t="s">
        <v>442</v>
      </c>
      <c r="G203" s="1">
        <v>45660</v>
      </c>
      <c r="H203" t="s">
        <v>24</v>
      </c>
      <c r="I203">
        <v>65981.19</v>
      </c>
      <c r="J203">
        <v>18248.46</v>
      </c>
      <c r="K203" t="s">
        <v>25</v>
      </c>
      <c r="L203" t="s">
        <v>32</v>
      </c>
      <c r="M203" t="s">
        <v>27</v>
      </c>
      <c r="N203">
        <v>149</v>
      </c>
      <c r="O203" s="1">
        <v>45672</v>
      </c>
      <c r="P203">
        <v>12</v>
      </c>
      <c r="Q203" t="s">
        <v>48</v>
      </c>
      <c r="R203">
        <v>2978.74</v>
      </c>
    </row>
    <row r="204" spans="1:18" x14ac:dyDescent="0.25">
      <c r="A204" t="s">
        <v>475</v>
      </c>
      <c r="B204" t="s">
        <v>476</v>
      </c>
      <c r="C204" t="s">
        <v>440</v>
      </c>
      <c r="D204" t="s">
        <v>441</v>
      </c>
      <c r="E204" t="s">
        <v>151</v>
      </c>
      <c r="F204" t="s">
        <v>442</v>
      </c>
      <c r="G204" s="1">
        <v>45596</v>
      </c>
      <c r="H204" t="s">
        <v>35</v>
      </c>
      <c r="I204">
        <v>51003.86</v>
      </c>
      <c r="J204">
        <v>10354.66</v>
      </c>
      <c r="K204" t="s">
        <v>31</v>
      </c>
      <c r="L204" t="s">
        <v>52</v>
      </c>
      <c r="M204" t="s">
        <v>47</v>
      </c>
      <c r="N204">
        <v>213</v>
      </c>
      <c r="O204" s="1">
        <v>45709</v>
      </c>
      <c r="P204">
        <v>113</v>
      </c>
      <c r="Q204" t="s">
        <v>28</v>
      </c>
      <c r="R204">
        <v>10354.66</v>
      </c>
    </row>
    <row r="205" spans="1:18" x14ac:dyDescent="0.25">
      <c r="A205" t="s">
        <v>477</v>
      </c>
      <c r="B205" t="s">
        <v>478</v>
      </c>
      <c r="C205" t="s">
        <v>440</v>
      </c>
      <c r="D205" t="s">
        <v>441</v>
      </c>
      <c r="E205" t="s">
        <v>151</v>
      </c>
      <c r="F205" t="s">
        <v>442</v>
      </c>
      <c r="G205" s="1">
        <v>45604</v>
      </c>
      <c r="H205" t="s">
        <v>35</v>
      </c>
      <c r="I205">
        <v>17422.78</v>
      </c>
      <c r="J205">
        <v>5713.02</v>
      </c>
      <c r="K205" t="s">
        <v>31</v>
      </c>
      <c r="L205" t="s">
        <v>46</v>
      </c>
      <c r="M205" t="s">
        <v>27</v>
      </c>
      <c r="N205">
        <v>205</v>
      </c>
      <c r="O205" s="1">
        <v>45641</v>
      </c>
      <c r="P205">
        <v>37</v>
      </c>
      <c r="Q205" t="s">
        <v>43</v>
      </c>
      <c r="R205">
        <v>1625.51</v>
      </c>
    </row>
    <row r="206" spans="1:18" x14ac:dyDescent="0.25">
      <c r="A206" t="s">
        <v>479</v>
      </c>
      <c r="B206" t="s">
        <v>480</v>
      </c>
      <c r="C206" t="s">
        <v>440</v>
      </c>
      <c r="D206" t="s">
        <v>441</v>
      </c>
      <c r="E206" t="s">
        <v>151</v>
      </c>
      <c r="F206" t="s">
        <v>442</v>
      </c>
      <c r="G206" s="1">
        <v>45783</v>
      </c>
      <c r="H206" t="s">
        <v>66</v>
      </c>
      <c r="I206">
        <v>32570.14</v>
      </c>
      <c r="J206">
        <v>11012.37</v>
      </c>
      <c r="K206" t="s">
        <v>31</v>
      </c>
      <c r="L206" t="s">
        <v>36</v>
      </c>
      <c r="M206" t="s">
        <v>47</v>
      </c>
      <c r="N206">
        <v>26</v>
      </c>
      <c r="O206" s="1">
        <v>45804</v>
      </c>
      <c r="P206">
        <v>21</v>
      </c>
      <c r="Q206" t="s">
        <v>48</v>
      </c>
      <c r="R206">
        <v>1937.45</v>
      </c>
    </row>
    <row r="207" spans="1:18" x14ac:dyDescent="0.25">
      <c r="A207" t="s">
        <v>481</v>
      </c>
      <c r="B207" t="s">
        <v>482</v>
      </c>
      <c r="C207" t="s">
        <v>440</v>
      </c>
      <c r="D207" t="s">
        <v>441</v>
      </c>
      <c r="E207" t="s">
        <v>151</v>
      </c>
      <c r="F207" t="s">
        <v>442</v>
      </c>
      <c r="G207" s="1">
        <v>45727</v>
      </c>
      <c r="H207" t="s">
        <v>35</v>
      </c>
      <c r="I207">
        <v>52335.23</v>
      </c>
      <c r="J207">
        <v>22820.44</v>
      </c>
      <c r="K207" t="s">
        <v>31</v>
      </c>
      <c r="L207" t="s">
        <v>67</v>
      </c>
      <c r="M207" t="s">
        <v>37</v>
      </c>
      <c r="N207">
        <v>82</v>
      </c>
      <c r="Q207" t="s">
        <v>38</v>
      </c>
      <c r="R207">
        <v>0</v>
      </c>
    </row>
    <row r="208" spans="1:18" x14ac:dyDescent="0.25">
      <c r="A208" t="s">
        <v>483</v>
      </c>
      <c r="B208" t="s">
        <v>484</v>
      </c>
      <c r="C208" t="s">
        <v>440</v>
      </c>
      <c r="D208" t="s">
        <v>441</v>
      </c>
      <c r="E208" t="s">
        <v>151</v>
      </c>
      <c r="F208" t="s">
        <v>442</v>
      </c>
      <c r="G208" s="1">
        <v>45607</v>
      </c>
      <c r="H208" t="s">
        <v>35</v>
      </c>
      <c r="I208">
        <v>53017.22</v>
      </c>
      <c r="J208">
        <v>41089.14</v>
      </c>
      <c r="K208" t="s">
        <v>25</v>
      </c>
      <c r="L208" t="s">
        <v>72</v>
      </c>
      <c r="M208" t="s">
        <v>53</v>
      </c>
      <c r="N208">
        <v>202</v>
      </c>
      <c r="Q208" t="s">
        <v>38</v>
      </c>
      <c r="R208">
        <v>0</v>
      </c>
    </row>
    <row r="209" spans="1:18" x14ac:dyDescent="0.25">
      <c r="A209" t="s">
        <v>485</v>
      </c>
      <c r="B209" t="s">
        <v>486</v>
      </c>
      <c r="C209" t="s">
        <v>440</v>
      </c>
      <c r="D209" t="s">
        <v>441</v>
      </c>
      <c r="E209" t="s">
        <v>151</v>
      </c>
      <c r="F209" t="s">
        <v>442</v>
      </c>
      <c r="G209" s="1">
        <v>45555</v>
      </c>
      <c r="H209" t="s">
        <v>35</v>
      </c>
      <c r="I209">
        <v>61764.28</v>
      </c>
      <c r="J209">
        <v>42131.72</v>
      </c>
      <c r="K209" t="s">
        <v>86</v>
      </c>
      <c r="L209" t="s">
        <v>72</v>
      </c>
      <c r="M209" t="s">
        <v>42</v>
      </c>
      <c r="N209">
        <v>254</v>
      </c>
      <c r="O209" s="1">
        <v>45613</v>
      </c>
      <c r="P209">
        <v>58</v>
      </c>
      <c r="Q209" t="s">
        <v>28</v>
      </c>
      <c r="R209">
        <v>42131.72</v>
      </c>
    </row>
    <row r="210" spans="1:18" x14ac:dyDescent="0.25">
      <c r="A210" t="s">
        <v>487</v>
      </c>
      <c r="B210" t="s">
        <v>488</v>
      </c>
      <c r="C210" t="s">
        <v>440</v>
      </c>
      <c r="D210" t="s">
        <v>441</v>
      </c>
      <c r="E210" t="s">
        <v>151</v>
      </c>
      <c r="F210" t="s">
        <v>442</v>
      </c>
      <c r="G210" s="1">
        <v>45673</v>
      </c>
      <c r="H210" t="s">
        <v>51</v>
      </c>
      <c r="I210">
        <v>74113.27</v>
      </c>
      <c r="J210">
        <v>46164.61</v>
      </c>
      <c r="K210" t="s">
        <v>31</v>
      </c>
      <c r="L210" t="s">
        <v>72</v>
      </c>
      <c r="M210" t="s">
        <v>27</v>
      </c>
      <c r="N210">
        <v>136</v>
      </c>
      <c r="O210" s="1">
        <v>45700</v>
      </c>
      <c r="P210">
        <v>27</v>
      </c>
      <c r="Q210" t="s">
        <v>28</v>
      </c>
      <c r="R210">
        <v>46164.61</v>
      </c>
    </row>
    <row r="211" spans="1:18" x14ac:dyDescent="0.25">
      <c r="A211" t="s">
        <v>489</v>
      </c>
      <c r="B211" t="s">
        <v>490</v>
      </c>
      <c r="C211" t="s">
        <v>440</v>
      </c>
      <c r="D211" t="s">
        <v>441</v>
      </c>
      <c r="E211" t="s">
        <v>151</v>
      </c>
      <c r="F211" t="s">
        <v>442</v>
      </c>
      <c r="G211" s="1">
        <v>45661</v>
      </c>
      <c r="H211" t="s">
        <v>35</v>
      </c>
      <c r="I211">
        <v>11985.52</v>
      </c>
      <c r="J211">
        <v>5132.1000000000004</v>
      </c>
      <c r="K211" t="s">
        <v>86</v>
      </c>
      <c r="L211" t="s">
        <v>26</v>
      </c>
      <c r="M211" t="s">
        <v>27</v>
      </c>
      <c r="N211">
        <v>148</v>
      </c>
      <c r="O211" s="1">
        <v>45676</v>
      </c>
      <c r="P211">
        <v>15</v>
      </c>
      <c r="Q211" t="s">
        <v>28</v>
      </c>
      <c r="R211">
        <v>5132.1000000000004</v>
      </c>
    </row>
    <row r="212" spans="1:18" x14ac:dyDescent="0.25">
      <c r="A212" t="s">
        <v>491</v>
      </c>
      <c r="B212" t="s">
        <v>492</v>
      </c>
      <c r="C212" t="s">
        <v>440</v>
      </c>
      <c r="D212" t="s">
        <v>441</v>
      </c>
      <c r="E212" t="s">
        <v>151</v>
      </c>
      <c r="F212" t="s">
        <v>442</v>
      </c>
      <c r="G212" s="1">
        <v>45635</v>
      </c>
      <c r="H212" t="s">
        <v>59</v>
      </c>
      <c r="I212">
        <v>57994.02</v>
      </c>
      <c r="J212">
        <v>18801.939999999999</v>
      </c>
      <c r="K212" t="s">
        <v>25</v>
      </c>
      <c r="L212" t="s">
        <v>32</v>
      </c>
      <c r="M212" t="s">
        <v>27</v>
      </c>
      <c r="N212">
        <v>174</v>
      </c>
      <c r="O212" s="1">
        <v>45643</v>
      </c>
      <c r="P212">
        <v>8</v>
      </c>
      <c r="Q212" t="s">
        <v>28</v>
      </c>
      <c r="R212">
        <v>18801.939999999999</v>
      </c>
    </row>
    <row r="213" spans="1:18" x14ac:dyDescent="0.25">
      <c r="A213" t="s">
        <v>493</v>
      </c>
      <c r="B213" t="s">
        <v>494</v>
      </c>
      <c r="C213" t="s">
        <v>440</v>
      </c>
      <c r="D213" t="s">
        <v>441</v>
      </c>
      <c r="E213" t="s">
        <v>151</v>
      </c>
      <c r="F213" t="s">
        <v>442</v>
      </c>
      <c r="G213" s="1">
        <v>45638</v>
      </c>
      <c r="H213" t="s">
        <v>59</v>
      </c>
      <c r="I213">
        <v>81376.759999999995</v>
      </c>
      <c r="J213">
        <v>35765.050000000003</v>
      </c>
      <c r="K213" t="s">
        <v>25</v>
      </c>
      <c r="L213" t="s">
        <v>36</v>
      </c>
      <c r="M213" t="s">
        <v>27</v>
      </c>
      <c r="N213">
        <v>171</v>
      </c>
      <c r="O213" s="1">
        <v>45719</v>
      </c>
      <c r="P213">
        <v>81</v>
      </c>
      <c r="Q213" t="s">
        <v>28</v>
      </c>
      <c r="R213">
        <v>35765.050000000003</v>
      </c>
    </row>
    <row r="214" spans="1:18" x14ac:dyDescent="0.25">
      <c r="A214" t="s">
        <v>495</v>
      </c>
      <c r="B214" t="s">
        <v>496</v>
      </c>
      <c r="C214" t="s">
        <v>440</v>
      </c>
      <c r="D214" t="s">
        <v>441</v>
      </c>
      <c r="E214" t="s">
        <v>151</v>
      </c>
      <c r="F214" t="s">
        <v>442</v>
      </c>
      <c r="G214" s="1">
        <v>45607</v>
      </c>
      <c r="H214" t="s">
        <v>35</v>
      </c>
      <c r="I214">
        <v>99108.5</v>
      </c>
      <c r="J214">
        <v>59910.05</v>
      </c>
      <c r="K214" t="s">
        <v>31</v>
      </c>
      <c r="L214" t="s">
        <v>67</v>
      </c>
      <c r="M214" t="s">
        <v>47</v>
      </c>
      <c r="N214">
        <v>202</v>
      </c>
      <c r="O214" s="1">
        <v>45648</v>
      </c>
      <c r="P214">
        <v>41</v>
      </c>
      <c r="Q214" t="s">
        <v>43</v>
      </c>
      <c r="R214">
        <v>12580.04</v>
      </c>
    </row>
    <row r="215" spans="1:18" x14ac:dyDescent="0.25">
      <c r="A215" t="s">
        <v>497</v>
      </c>
      <c r="B215" t="s">
        <v>498</v>
      </c>
      <c r="C215" t="s">
        <v>440</v>
      </c>
      <c r="D215" t="s">
        <v>441</v>
      </c>
      <c r="E215" t="s">
        <v>151</v>
      </c>
      <c r="F215" t="s">
        <v>442</v>
      </c>
      <c r="G215" s="1">
        <v>45639</v>
      </c>
      <c r="H215" t="s">
        <v>24</v>
      </c>
      <c r="I215">
        <v>69011.61</v>
      </c>
      <c r="J215">
        <v>54168.84</v>
      </c>
      <c r="K215" t="s">
        <v>31</v>
      </c>
      <c r="L215" t="s">
        <v>72</v>
      </c>
      <c r="M215" t="s">
        <v>27</v>
      </c>
      <c r="N215">
        <v>170</v>
      </c>
      <c r="O215" s="1">
        <v>45675</v>
      </c>
      <c r="P215">
        <v>36</v>
      </c>
      <c r="Q215" t="s">
        <v>38</v>
      </c>
      <c r="R215">
        <v>0</v>
      </c>
    </row>
    <row r="216" spans="1:18" x14ac:dyDescent="0.25">
      <c r="A216" t="s">
        <v>499</v>
      </c>
      <c r="B216" t="s">
        <v>500</v>
      </c>
      <c r="C216" t="s">
        <v>440</v>
      </c>
      <c r="D216" t="s">
        <v>441</v>
      </c>
      <c r="E216" t="s">
        <v>151</v>
      </c>
      <c r="F216" t="s">
        <v>442</v>
      </c>
      <c r="G216" s="1">
        <v>45512</v>
      </c>
      <c r="H216" t="s">
        <v>66</v>
      </c>
      <c r="I216">
        <v>59875.27</v>
      </c>
      <c r="J216">
        <v>35389.279999999999</v>
      </c>
      <c r="K216" t="s">
        <v>31</v>
      </c>
      <c r="L216" t="s">
        <v>32</v>
      </c>
      <c r="M216" t="s">
        <v>27</v>
      </c>
      <c r="N216">
        <v>297</v>
      </c>
      <c r="O216" s="1">
        <v>45602</v>
      </c>
      <c r="P216">
        <v>90</v>
      </c>
      <c r="Q216" t="s">
        <v>28</v>
      </c>
      <c r="R216">
        <v>35389.279999999999</v>
      </c>
    </row>
    <row r="217" spans="1:18" x14ac:dyDescent="0.25">
      <c r="A217" t="s">
        <v>501</v>
      </c>
      <c r="B217" t="s">
        <v>502</v>
      </c>
      <c r="C217" t="s">
        <v>440</v>
      </c>
      <c r="D217" t="s">
        <v>441</v>
      </c>
      <c r="E217" t="s">
        <v>151</v>
      </c>
      <c r="F217" t="s">
        <v>442</v>
      </c>
      <c r="G217" s="1">
        <v>45515</v>
      </c>
      <c r="H217" t="s">
        <v>35</v>
      </c>
      <c r="I217">
        <v>95079.49</v>
      </c>
      <c r="J217">
        <v>12590.58</v>
      </c>
      <c r="K217" t="s">
        <v>25</v>
      </c>
      <c r="L217" t="s">
        <v>32</v>
      </c>
      <c r="M217" t="s">
        <v>27</v>
      </c>
      <c r="N217">
        <v>294</v>
      </c>
      <c r="O217" s="1">
        <v>45606</v>
      </c>
      <c r="P217">
        <v>91</v>
      </c>
      <c r="Q217" t="s">
        <v>28</v>
      </c>
      <c r="R217">
        <v>12590.58</v>
      </c>
    </row>
    <row r="218" spans="1:18" x14ac:dyDescent="0.25">
      <c r="A218" t="s">
        <v>503</v>
      </c>
      <c r="B218" t="s">
        <v>504</v>
      </c>
      <c r="C218" t="s">
        <v>505</v>
      </c>
      <c r="D218" t="s">
        <v>506</v>
      </c>
      <c r="E218" t="s">
        <v>215</v>
      </c>
      <c r="F218" t="s">
        <v>281</v>
      </c>
      <c r="G218" s="1">
        <v>45777</v>
      </c>
      <c r="H218" t="s">
        <v>24</v>
      </c>
      <c r="I218">
        <v>72048.649999999994</v>
      </c>
      <c r="J218">
        <v>31630.25</v>
      </c>
      <c r="K218" t="s">
        <v>31</v>
      </c>
      <c r="L218" t="s">
        <v>67</v>
      </c>
      <c r="M218" t="s">
        <v>27</v>
      </c>
      <c r="N218">
        <v>32</v>
      </c>
      <c r="O218" s="1">
        <v>45790</v>
      </c>
      <c r="P218">
        <v>13</v>
      </c>
      <c r="Q218" t="s">
        <v>38</v>
      </c>
      <c r="R218">
        <v>0</v>
      </c>
    </row>
    <row r="219" spans="1:18" x14ac:dyDescent="0.25">
      <c r="A219" t="s">
        <v>507</v>
      </c>
      <c r="B219" t="s">
        <v>508</v>
      </c>
      <c r="C219" t="s">
        <v>505</v>
      </c>
      <c r="D219" t="s">
        <v>506</v>
      </c>
      <c r="E219" t="s">
        <v>215</v>
      </c>
      <c r="F219" t="s">
        <v>281</v>
      </c>
      <c r="G219" s="1">
        <v>45573</v>
      </c>
      <c r="H219" t="s">
        <v>24</v>
      </c>
      <c r="I219">
        <v>91651.8</v>
      </c>
      <c r="J219">
        <v>28113.759999999998</v>
      </c>
      <c r="K219" t="s">
        <v>31</v>
      </c>
      <c r="L219" t="s">
        <v>41</v>
      </c>
      <c r="M219" t="s">
        <v>27</v>
      </c>
      <c r="N219">
        <v>236</v>
      </c>
      <c r="O219" s="1">
        <v>45600</v>
      </c>
      <c r="P219">
        <v>27</v>
      </c>
      <c r="Q219" t="s">
        <v>38</v>
      </c>
      <c r="R219">
        <v>0</v>
      </c>
    </row>
    <row r="220" spans="1:18" x14ac:dyDescent="0.25">
      <c r="A220" t="s">
        <v>509</v>
      </c>
      <c r="B220" t="s">
        <v>510</v>
      </c>
      <c r="C220" t="s">
        <v>505</v>
      </c>
      <c r="D220" t="s">
        <v>506</v>
      </c>
      <c r="E220" t="s">
        <v>215</v>
      </c>
      <c r="F220" t="s">
        <v>281</v>
      </c>
      <c r="G220" s="1">
        <v>45666</v>
      </c>
      <c r="H220" t="s">
        <v>35</v>
      </c>
      <c r="I220">
        <v>58018.23</v>
      </c>
      <c r="J220">
        <v>12685.7</v>
      </c>
      <c r="K220" t="s">
        <v>56</v>
      </c>
      <c r="L220" t="s">
        <v>41</v>
      </c>
      <c r="M220" t="s">
        <v>47</v>
      </c>
      <c r="N220">
        <v>143</v>
      </c>
      <c r="O220" s="1">
        <v>45757</v>
      </c>
      <c r="P220">
        <v>91</v>
      </c>
      <c r="Q220" t="s">
        <v>48</v>
      </c>
      <c r="R220">
        <v>2877.32</v>
      </c>
    </row>
    <row r="221" spans="1:18" x14ac:dyDescent="0.25">
      <c r="A221" t="s">
        <v>511</v>
      </c>
      <c r="B221" t="s">
        <v>512</v>
      </c>
      <c r="C221" t="s">
        <v>505</v>
      </c>
      <c r="D221" t="s">
        <v>506</v>
      </c>
      <c r="E221" t="s">
        <v>215</v>
      </c>
      <c r="F221" t="s">
        <v>281</v>
      </c>
      <c r="G221" s="1">
        <v>45630</v>
      </c>
      <c r="H221" t="s">
        <v>35</v>
      </c>
      <c r="I221">
        <v>58246.32</v>
      </c>
      <c r="J221">
        <v>43735.07</v>
      </c>
      <c r="K221" t="s">
        <v>86</v>
      </c>
      <c r="L221" t="s">
        <v>26</v>
      </c>
      <c r="M221" t="s">
        <v>27</v>
      </c>
      <c r="N221">
        <v>179</v>
      </c>
      <c r="O221" s="1">
        <v>45702</v>
      </c>
      <c r="P221">
        <v>72</v>
      </c>
      <c r="Q221" t="s">
        <v>28</v>
      </c>
      <c r="R221">
        <v>43735.07</v>
      </c>
    </row>
    <row r="222" spans="1:18" x14ac:dyDescent="0.25">
      <c r="A222" t="s">
        <v>513</v>
      </c>
      <c r="B222" t="s">
        <v>514</v>
      </c>
      <c r="C222" t="s">
        <v>505</v>
      </c>
      <c r="D222" t="s">
        <v>506</v>
      </c>
      <c r="E222" t="s">
        <v>215</v>
      </c>
      <c r="F222" t="s">
        <v>281</v>
      </c>
      <c r="G222" s="1">
        <v>45606</v>
      </c>
      <c r="H222" t="s">
        <v>35</v>
      </c>
      <c r="I222">
        <v>82745.86</v>
      </c>
      <c r="J222">
        <v>63379.74</v>
      </c>
      <c r="K222" t="s">
        <v>86</v>
      </c>
      <c r="L222" t="s">
        <v>72</v>
      </c>
      <c r="M222" t="s">
        <v>27</v>
      </c>
      <c r="N222">
        <v>203</v>
      </c>
      <c r="O222" s="1">
        <v>45700</v>
      </c>
      <c r="P222">
        <v>94</v>
      </c>
      <c r="Q222" t="s">
        <v>28</v>
      </c>
      <c r="R222">
        <v>63379.74</v>
      </c>
    </row>
    <row r="223" spans="1:18" x14ac:dyDescent="0.25">
      <c r="A223" t="s">
        <v>515</v>
      </c>
      <c r="B223" t="s">
        <v>516</v>
      </c>
      <c r="C223" t="s">
        <v>505</v>
      </c>
      <c r="D223" t="s">
        <v>506</v>
      </c>
      <c r="E223" t="s">
        <v>215</v>
      </c>
      <c r="F223" t="s">
        <v>281</v>
      </c>
      <c r="G223" s="1">
        <v>45582</v>
      </c>
      <c r="H223" t="s">
        <v>59</v>
      </c>
      <c r="I223">
        <v>67317.34</v>
      </c>
      <c r="J223">
        <v>41097.5</v>
      </c>
      <c r="K223" t="s">
        <v>25</v>
      </c>
      <c r="L223" t="s">
        <v>41</v>
      </c>
      <c r="M223" t="s">
        <v>42</v>
      </c>
      <c r="N223">
        <v>227</v>
      </c>
      <c r="O223" s="1">
        <v>45674</v>
      </c>
      <c r="P223">
        <v>92</v>
      </c>
      <c r="Q223" t="s">
        <v>28</v>
      </c>
      <c r="R223">
        <v>41097.5</v>
      </c>
    </row>
    <row r="224" spans="1:18" x14ac:dyDescent="0.25">
      <c r="A224" t="s">
        <v>517</v>
      </c>
      <c r="B224" t="s">
        <v>518</v>
      </c>
      <c r="C224" t="s">
        <v>505</v>
      </c>
      <c r="D224" t="s">
        <v>506</v>
      </c>
      <c r="E224" t="s">
        <v>215</v>
      </c>
      <c r="F224" t="s">
        <v>281</v>
      </c>
      <c r="G224" s="1">
        <v>45753</v>
      </c>
      <c r="H224" t="s">
        <v>24</v>
      </c>
      <c r="I224">
        <v>63489.32</v>
      </c>
      <c r="J224">
        <v>31117.57</v>
      </c>
      <c r="K224" t="s">
        <v>25</v>
      </c>
      <c r="L224" t="s">
        <v>46</v>
      </c>
      <c r="M224" t="s">
        <v>27</v>
      </c>
      <c r="N224">
        <v>56</v>
      </c>
      <c r="O224" s="1">
        <v>45759</v>
      </c>
      <c r="P224">
        <v>6</v>
      </c>
      <c r="Q224" t="s">
        <v>28</v>
      </c>
      <c r="R224">
        <v>31117.57</v>
      </c>
    </row>
    <row r="225" spans="1:18" x14ac:dyDescent="0.25">
      <c r="A225" t="s">
        <v>519</v>
      </c>
      <c r="B225" t="s">
        <v>520</v>
      </c>
      <c r="C225" t="s">
        <v>505</v>
      </c>
      <c r="D225" t="s">
        <v>506</v>
      </c>
      <c r="E225" t="s">
        <v>215</v>
      </c>
      <c r="F225" t="s">
        <v>281</v>
      </c>
      <c r="G225" s="1">
        <v>45639</v>
      </c>
      <c r="H225" t="s">
        <v>77</v>
      </c>
      <c r="I225">
        <v>73149.02</v>
      </c>
      <c r="J225">
        <v>9173.52</v>
      </c>
      <c r="K225" t="s">
        <v>86</v>
      </c>
      <c r="L225" t="s">
        <v>36</v>
      </c>
      <c r="M225" t="s">
        <v>27</v>
      </c>
      <c r="N225">
        <v>170</v>
      </c>
      <c r="O225" s="1">
        <v>45754</v>
      </c>
      <c r="P225">
        <v>115</v>
      </c>
      <c r="Q225" t="s">
        <v>118</v>
      </c>
      <c r="R225">
        <v>0</v>
      </c>
    </row>
    <row r="226" spans="1:18" x14ac:dyDescent="0.25">
      <c r="A226" t="s">
        <v>521</v>
      </c>
      <c r="B226" t="s">
        <v>522</v>
      </c>
      <c r="C226" t="s">
        <v>505</v>
      </c>
      <c r="D226" t="s">
        <v>506</v>
      </c>
      <c r="E226" t="s">
        <v>215</v>
      </c>
      <c r="F226" t="s">
        <v>281</v>
      </c>
      <c r="G226" s="1">
        <v>45564</v>
      </c>
      <c r="H226" t="s">
        <v>35</v>
      </c>
      <c r="I226">
        <v>66801.179999999993</v>
      </c>
      <c r="J226">
        <v>41211.870000000003</v>
      </c>
      <c r="K226" t="s">
        <v>31</v>
      </c>
      <c r="L226" t="s">
        <v>72</v>
      </c>
      <c r="M226" t="s">
        <v>42</v>
      </c>
      <c r="N226">
        <v>245</v>
      </c>
      <c r="O226" s="1">
        <v>45578</v>
      </c>
      <c r="P226">
        <v>14</v>
      </c>
      <c r="Q226" t="s">
        <v>48</v>
      </c>
      <c r="R226">
        <v>7949.28</v>
      </c>
    </row>
    <row r="227" spans="1:18" x14ac:dyDescent="0.25">
      <c r="A227" t="s">
        <v>523</v>
      </c>
      <c r="B227" t="s">
        <v>524</v>
      </c>
      <c r="C227" t="s">
        <v>505</v>
      </c>
      <c r="D227" t="s">
        <v>506</v>
      </c>
      <c r="E227" t="s">
        <v>215</v>
      </c>
      <c r="F227" t="s">
        <v>281</v>
      </c>
      <c r="G227" s="1">
        <v>45789</v>
      </c>
      <c r="H227" t="s">
        <v>66</v>
      </c>
      <c r="I227">
        <v>91756.82</v>
      </c>
      <c r="J227">
        <v>16635.38</v>
      </c>
      <c r="K227" t="s">
        <v>86</v>
      </c>
      <c r="L227" t="s">
        <v>72</v>
      </c>
      <c r="M227" t="s">
        <v>42</v>
      </c>
      <c r="N227">
        <v>20</v>
      </c>
      <c r="O227" s="1">
        <v>45804</v>
      </c>
      <c r="P227">
        <v>15</v>
      </c>
      <c r="Q227" t="s">
        <v>48</v>
      </c>
      <c r="R227">
        <v>2903.28</v>
      </c>
    </row>
    <row r="228" spans="1:18" x14ac:dyDescent="0.25">
      <c r="A228" t="s">
        <v>525</v>
      </c>
      <c r="B228" t="s">
        <v>526</v>
      </c>
      <c r="C228" t="s">
        <v>505</v>
      </c>
      <c r="D228" t="s">
        <v>506</v>
      </c>
      <c r="E228" t="s">
        <v>215</v>
      </c>
      <c r="F228" t="s">
        <v>281</v>
      </c>
      <c r="G228" s="1">
        <v>45660</v>
      </c>
      <c r="H228" t="s">
        <v>77</v>
      </c>
      <c r="I228">
        <v>88290.6</v>
      </c>
      <c r="J228">
        <v>5028.18</v>
      </c>
      <c r="K228" t="s">
        <v>31</v>
      </c>
      <c r="L228" t="s">
        <v>52</v>
      </c>
      <c r="M228" t="s">
        <v>27</v>
      </c>
      <c r="N228">
        <v>149</v>
      </c>
      <c r="O228" s="1">
        <v>45745</v>
      </c>
      <c r="P228">
        <v>85</v>
      </c>
      <c r="Q228" t="s">
        <v>43</v>
      </c>
      <c r="R228">
        <v>2495.7199999999998</v>
      </c>
    </row>
    <row r="229" spans="1:18" x14ac:dyDescent="0.25">
      <c r="A229" t="s">
        <v>527</v>
      </c>
      <c r="B229" t="s">
        <v>528</v>
      </c>
      <c r="C229" t="s">
        <v>505</v>
      </c>
      <c r="D229" t="s">
        <v>506</v>
      </c>
      <c r="E229" t="s">
        <v>215</v>
      </c>
      <c r="F229" t="s">
        <v>281</v>
      </c>
      <c r="G229" s="1">
        <v>45740</v>
      </c>
      <c r="H229" t="s">
        <v>77</v>
      </c>
      <c r="I229">
        <v>85850.68</v>
      </c>
      <c r="J229">
        <v>34427.46</v>
      </c>
      <c r="K229" t="s">
        <v>25</v>
      </c>
      <c r="L229" t="s">
        <v>52</v>
      </c>
      <c r="M229" t="s">
        <v>53</v>
      </c>
      <c r="N229">
        <v>69</v>
      </c>
      <c r="Q229" t="s">
        <v>38</v>
      </c>
      <c r="R229">
        <v>0</v>
      </c>
    </row>
    <row r="230" spans="1:18" x14ac:dyDescent="0.25">
      <c r="A230" t="s">
        <v>529</v>
      </c>
      <c r="B230" t="s">
        <v>530</v>
      </c>
      <c r="C230" t="s">
        <v>505</v>
      </c>
      <c r="D230" t="s">
        <v>506</v>
      </c>
      <c r="E230" t="s">
        <v>215</v>
      </c>
      <c r="F230" t="s">
        <v>281</v>
      </c>
      <c r="G230" s="1">
        <v>45574</v>
      </c>
      <c r="H230" t="s">
        <v>35</v>
      </c>
      <c r="I230">
        <v>66587.11</v>
      </c>
      <c r="J230">
        <v>39216.39</v>
      </c>
      <c r="K230" t="s">
        <v>25</v>
      </c>
      <c r="L230" t="s">
        <v>41</v>
      </c>
      <c r="M230" t="s">
        <v>27</v>
      </c>
      <c r="N230">
        <v>235</v>
      </c>
      <c r="O230" s="1">
        <v>45673</v>
      </c>
      <c r="P230">
        <v>99</v>
      </c>
      <c r="Q230" t="s">
        <v>28</v>
      </c>
      <c r="R230">
        <v>39216.39</v>
      </c>
    </row>
    <row r="231" spans="1:18" x14ac:dyDescent="0.25">
      <c r="A231" t="s">
        <v>531</v>
      </c>
      <c r="B231" t="s">
        <v>532</v>
      </c>
      <c r="C231" t="s">
        <v>505</v>
      </c>
      <c r="D231" t="s">
        <v>506</v>
      </c>
      <c r="E231" t="s">
        <v>215</v>
      </c>
      <c r="F231" t="s">
        <v>281</v>
      </c>
      <c r="G231" s="1">
        <v>45496</v>
      </c>
      <c r="H231" t="s">
        <v>59</v>
      </c>
      <c r="I231">
        <v>86333.92</v>
      </c>
      <c r="J231">
        <v>62400.61</v>
      </c>
      <c r="K231" t="s">
        <v>86</v>
      </c>
      <c r="L231" t="s">
        <v>52</v>
      </c>
      <c r="M231" t="s">
        <v>53</v>
      </c>
      <c r="N231">
        <v>313</v>
      </c>
      <c r="Q231" t="s">
        <v>38</v>
      </c>
      <c r="R231">
        <v>0</v>
      </c>
    </row>
    <row r="232" spans="1:18" x14ac:dyDescent="0.25">
      <c r="A232" t="s">
        <v>533</v>
      </c>
      <c r="B232" t="s">
        <v>534</v>
      </c>
      <c r="C232" t="s">
        <v>505</v>
      </c>
      <c r="D232" t="s">
        <v>506</v>
      </c>
      <c r="E232" t="s">
        <v>215</v>
      </c>
      <c r="F232" t="s">
        <v>281</v>
      </c>
      <c r="G232" s="1">
        <v>45466</v>
      </c>
      <c r="H232" t="s">
        <v>66</v>
      </c>
      <c r="I232">
        <v>14061.59</v>
      </c>
      <c r="J232">
        <v>11056.12</v>
      </c>
      <c r="K232" t="s">
        <v>31</v>
      </c>
      <c r="L232" t="s">
        <v>72</v>
      </c>
      <c r="M232" t="s">
        <v>27</v>
      </c>
      <c r="N232">
        <v>343</v>
      </c>
      <c r="O232" s="1">
        <v>45499</v>
      </c>
      <c r="P232">
        <v>33</v>
      </c>
      <c r="Q232" t="s">
        <v>43</v>
      </c>
      <c r="R232">
        <v>3982.38</v>
      </c>
    </row>
    <row r="233" spans="1:18" x14ac:dyDescent="0.25">
      <c r="A233" t="s">
        <v>535</v>
      </c>
      <c r="B233" t="s">
        <v>536</v>
      </c>
      <c r="C233" t="s">
        <v>505</v>
      </c>
      <c r="D233" t="s">
        <v>506</v>
      </c>
      <c r="E233" t="s">
        <v>215</v>
      </c>
      <c r="F233" t="s">
        <v>281</v>
      </c>
      <c r="G233" s="1">
        <v>45640</v>
      </c>
      <c r="H233" t="s">
        <v>24</v>
      </c>
      <c r="I233">
        <v>33684.85</v>
      </c>
      <c r="J233">
        <v>19946.88</v>
      </c>
      <c r="K233" t="s">
        <v>25</v>
      </c>
      <c r="L233" t="s">
        <v>52</v>
      </c>
      <c r="M233" t="s">
        <v>47</v>
      </c>
      <c r="N233">
        <v>169</v>
      </c>
      <c r="O233" s="1">
        <v>45650</v>
      </c>
      <c r="P233">
        <v>10</v>
      </c>
      <c r="Q233" t="s">
        <v>48</v>
      </c>
      <c r="R233">
        <v>5707.96</v>
      </c>
    </row>
    <row r="234" spans="1:18" x14ac:dyDescent="0.25">
      <c r="A234" t="s">
        <v>537</v>
      </c>
      <c r="B234" t="s">
        <v>538</v>
      </c>
      <c r="C234" t="s">
        <v>505</v>
      </c>
      <c r="D234" t="s">
        <v>506</v>
      </c>
      <c r="E234" t="s">
        <v>215</v>
      </c>
      <c r="F234" t="s">
        <v>281</v>
      </c>
      <c r="G234" s="1">
        <v>45727</v>
      </c>
      <c r="H234" t="s">
        <v>24</v>
      </c>
      <c r="I234">
        <v>43514.58</v>
      </c>
      <c r="J234">
        <v>18575.95</v>
      </c>
      <c r="K234" t="s">
        <v>86</v>
      </c>
      <c r="L234" t="s">
        <v>41</v>
      </c>
      <c r="M234" t="s">
        <v>27</v>
      </c>
      <c r="N234">
        <v>82</v>
      </c>
      <c r="O234" s="1">
        <v>45767</v>
      </c>
      <c r="P234">
        <v>40</v>
      </c>
      <c r="Q234" t="s">
        <v>28</v>
      </c>
      <c r="R234">
        <v>18575.95</v>
      </c>
    </row>
    <row r="235" spans="1:18" x14ac:dyDescent="0.25">
      <c r="A235" t="s">
        <v>539</v>
      </c>
      <c r="B235" t="s">
        <v>540</v>
      </c>
      <c r="C235" t="s">
        <v>505</v>
      </c>
      <c r="D235" t="s">
        <v>506</v>
      </c>
      <c r="E235" t="s">
        <v>215</v>
      </c>
      <c r="F235" t="s">
        <v>281</v>
      </c>
      <c r="G235" s="1">
        <v>45695</v>
      </c>
      <c r="H235" t="s">
        <v>24</v>
      </c>
      <c r="I235">
        <v>25817.22</v>
      </c>
      <c r="J235">
        <v>3877.14</v>
      </c>
      <c r="K235" t="s">
        <v>25</v>
      </c>
      <c r="L235" t="s">
        <v>52</v>
      </c>
      <c r="M235" t="s">
        <v>27</v>
      </c>
      <c r="N235">
        <v>114</v>
      </c>
      <c r="O235" s="1">
        <v>45768</v>
      </c>
      <c r="P235">
        <v>73</v>
      </c>
      <c r="Q235" t="s">
        <v>118</v>
      </c>
      <c r="R235">
        <v>0</v>
      </c>
    </row>
    <row r="236" spans="1:18" x14ac:dyDescent="0.25">
      <c r="A236" t="s">
        <v>541</v>
      </c>
      <c r="B236" t="s">
        <v>542</v>
      </c>
      <c r="C236" t="s">
        <v>505</v>
      </c>
      <c r="D236" t="s">
        <v>506</v>
      </c>
      <c r="E236" t="s">
        <v>215</v>
      </c>
      <c r="F236" t="s">
        <v>281</v>
      </c>
      <c r="G236" s="1">
        <v>45533</v>
      </c>
      <c r="H236" t="s">
        <v>24</v>
      </c>
      <c r="I236">
        <v>81189.52</v>
      </c>
      <c r="J236">
        <v>54332.24</v>
      </c>
      <c r="K236" t="s">
        <v>86</v>
      </c>
      <c r="L236" t="s">
        <v>26</v>
      </c>
      <c r="M236" t="s">
        <v>27</v>
      </c>
      <c r="N236">
        <v>276</v>
      </c>
      <c r="O236" s="1">
        <v>45603</v>
      </c>
      <c r="P236">
        <v>70</v>
      </c>
      <c r="Q236" t="s">
        <v>48</v>
      </c>
      <c r="R236">
        <v>7130.62</v>
      </c>
    </row>
    <row r="237" spans="1:18" x14ac:dyDescent="0.25">
      <c r="A237" t="s">
        <v>543</v>
      </c>
      <c r="B237" t="s">
        <v>544</v>
      </c>
      <c r="C237" t="s">
        <v>505</v>
      </c>
      <c r="D237" t="s">
        <v>506</v>
      </c>
      <c r="E237" t="s">
        <v>215</v>
      </c>
      <c r="F237" t="s">
        <v>281</v>
      </c>
      <c r="G237" s="1">
        <v>45520</v>
      </c>
      <c r="H237" t="s">
        <v>66</v>
      </c>
      <c r="I237">
        <v>15659.84</v>
      </c>
      <c r="J237">
        <v>10516.84</v>
      </c>
      <c r="K237" t="s">
        <v>56</v>
      </c>
      <c r="L237" t="s">
        <v>36</v>
      </c>
      <c r="M237" t="s">
        <v>27</v>
      </c>
      <c r="N237">
        <v>289</v>
      </c>
      <c r="O237" s="1">
        <v>45632</v>
      </c>
      <c r="P237">
        <v>112</v>
      </c>
      <c r="Q237" t="s">
        <v>43</v>
      </c>
      <c r="R237">
        <v>2836.85</v>
      </c>
    </row>
    <row r="238" spans="1:18" x14ac:dyDescent="0.25">
      <c r="A238" t="s">
        <v>545</v>
      </c>
      <c r="B238" t="s">
        <v>546</v>
      </c>
      <c r="C238" t="s">
        <v>505</v>
      </c>
      <c r="D238" t="s">
        <v>506</v>
      </c>
      <c r="E238" t="s">
        <v>215</v>
      </c>
      <c r="F238" t="s">
        <v>281</v>
      </c>
      <c r="G238" s="1">
        <v>45703</v>
      </c>
      <c r="H238" t="s">
        <v>51</v>
      </c>
      <c r="I238">
        <v>73107.210000000006</v>
      </c>
      <c r="J238">
        <v>30458</v>
      </c>
      <c r="K238" t="s">
        <v>86</v>
      </c>
      <c r="L238" t="s">
        <v>72</v>
      </c>
      <c r="M238" t="s">
        <v>27</v>
      </c>
      <c r="N238">
        <v>106</v>
      </c>
      <c r="O238" s="1">
        <v>45771</v>
      </c>
      <c r="P238">
        <v>68</v>
      </c>
      <c r="Q238" t="s">
        <v>43</v>
      </c>
      <c r="R238">
        <v>16396.96</v>
      </c>
    </row>
    <row r="239" spans="1:18" x14ac:dyDescent="0.25">
      <c r="A239" t="s">
        <v>547</v>
      </c>
      <c r="B239" t="s">
        <v>548</v>
      </c>
      <c r="C239" t="s">
        <v>505</v>
      </c>
      <c r="D239" t="s">
        <v>506</v>
      </c>
      <c r="E239" t="s">
        <v>215</v>
      </c>
      <c r="F239" t="s">
        <v>281</v>
      </c>
      <c r="G239" s="1">
        <v>45522</v>
      </c>
      <c r="H239" t="s">
        <v>51</v>
      </c>
      <c r="I239">
        <v>48925.94</v>
      </c>
      <c r="J239">
        <v>32055.62</v>
      </c>
      <c r="K239" t="s">
        <v>86</v>
      </c>
      <c r="L239" t="s">
        <v>41</v>
      </c>
      <c r="M239" t="s">
        <v>42</v>
      </c>
      <c r="N239">
        <v>287</v>
      </c>
      <c r="O239" s="1">
        <v>45620</v>
      </c>
      <c r="P239">
        <v>98</v>
      </c>
      <c r="Q239" t="s">
        <v>28</v>
      </c>
      <c r="R239">
        <v>32055.62</v>
      </c>
    </row>
    <row r="240" spans="1:18" x14ac:dyDescent="0.25">
      <c r="A240" t="s">
        <v>549</v>
      </c>
      <c r="B240" t="s">
        <v>550</v>
      </c>
      <c r="C240" t="s">
        <v>505</v>
      </c>
      <c r="D240" t="s">
        <v>506</v>
      </c>
      <c r="E240" t="s">
        <v>215</v>
      </c>
      <c r="F240" t="s">
        <v>281</v>
      </c>
      <c r="G240" s="1">
        <v>45771</v>
      </c>
      <c r="H240" t="s">
        <v>77</v>
      </c>
      <c r="I240">
        <v>9302.5300000000007</v>
      </c>
      <c r="J240">
        <v>2868.87</v>
      </c>
      <c r="K240" t="s">
        <v>25</v>
      </c>
      <c r="L240" t="s">
        <v>26</v>
      </c>
      <c r="M240" t="s">
        <v>42</v>
      </c>
      <c r="N240">
        <v>38</v>
      </c>
      <c r="O240" s="1">
        <v>45804</v>
      </c>
      <c r="P240">
        <v>33</v>
      </c>
      <c r="Q240" t="s">
        <v>28</v>
      </c>
      <c r="R240">
        <v>2868.87</v>
      </c>
    </row>
    <row r="241" spans="1:18" x14ac:dyDescent="0.25">
      <c r="A241" t="s">
        <v>551</v>
      </c>
      <c r="B241" t="s">
        <v>552</v>
      </c>
      <c r="C241" t="s">
        <v>505</v>
      </c>
      <c r="D241" t="s">
        <v>506</v>
      </c>
      <c r="E241" t="s">
        <v>215</v>
      </c>
      <c r="F241" t="s">
        <v>281</v>
      </c>
      <c r="G241" s="1">
        <v>45599</v>
      </c>
      <c r="H241" t="s">
        <v>24</v>
      </c>
      <c r="I241">
        <v>22098.23</v>
      </c>
      <c r="J241">
        <v>3349.47</v>
      </c>
      <c r="K241" t="s">
        <v>31</v>
      </c>
      <c r="L241" t="s">
        <v>32</v>
      </c>
      <c r="M241" t="s">
        <v>27</v>
      </c>
      <c r="N241">
        <v>210</v>
      </c>
      <c r="O241" s="1">
        <v>45716</v>
      </c>
      <c r="P241">
        <v>117</v>
      </c>
      <c r="Q241" t="s">
        <v>28</v>
      </c>
      <c r="R241">
        <v>3349.47</v>
      </c>
    </row>
    <row r="242" spans="1:18" x14ac:dyDescent="0.25">
      <c r="A242" t="s">
        <v>553</v>
      </c>
      <c r="B242" t="s">
        <v>554</v>
      </c>
      <c r="C242" t="s">
        <v>505</v>
      </c>
      <c r="D242" t="s">
        <v>506</v>
      </c>
      <c r="E242" t="s">
        <v>215</v>
      </c>
      <c r="F242" t="s">
        <v>281</v>
      </c>
      <c r="G242" s="1">
        <v>45615</v>
      </c>
      <c r="H242" t="s">
        <v>59</v>
      </c>
      <c r="I242">
        <v>40686.33</v>
      </c>
      <c r="J242">
        <v>22867.66</v>
      </c>
      <c r="K242" t="s">
        <v>86</v>
      </c>
      <c r="L242" t="s">
        <v>36</v>
      </c>
      <c r="M242" t="s">
        <v>47</v>
      </c>
      <c r="N242">
        <v>194</v>
      </c>
      <c r="O242" s="1">
        <v>45662</v>
      </c>
      <c r="P242">
        <v>47</v>
      </c>
      <c r="Q242" t="s">
        <v>28</v>
      </c>
      <c r="R242">
        <v>22867.66</v>
      </c>
    </row>
    <row r="243" spans="1:18" x14ac:dyDescent="0.25">
      <c r="A243" t="s">
        <v>555</v>
      </c>
      <c r="B243" t="s">
        <v>556</v>
      </c>
      <c r="C243" t="s">
        <v>505</v>
      </c>
      <c r="D243" t="s">
        <v>506</v>
      </c>
      <c r="E243" t="s">
        <v>215</v>
      </c>
      <c r="F243" t="s">
        <v>281</v>
      </c>
      <c r="G243" s="1">
        <v>45533</v>
      </c>
      <c r="H243" t="s">
        <v>77</v>
      </c>
      <c r="I243">
        <v>42340.57</v>
      </c>
      <c r="J243">
        <v>6160.99</v>
      </c>
      <c r="K243" t="s">
        <v>56</v>
      </c>
      <c r="L243" t="s">
        <v>72</v>
      </c>
      <c r="M243" t="s">
        <v>42</v>
      </c>
      <c r="N243">
        <v>276</v>
      </c>
      <c r="O243" s="1">
        <v>45595</v>
      </c>
      <c r="P243">
        <v>62</v>
      </c>
      <c r="Q243" t="s">
        <v>48</v>
      </c>
      <c r="R243">
        <v>1957.83</v>
      </c>
    </row>
    <row r="244" spans="1:18" x14ac:dyDescent="0.25">
      <c r="A244" t="s">
        <v>557</v>
      </c>
      <c r="B244" t="s">
        <v>558</v>
      </c>
      <c r="C244" t="s">
        <v>505</v>
      </c>
      <c r="D244" t="s">
        <v>506</v>
      </c>
      <c r="E244" t="s">
        <v>215</v>
      </c>
      <c r="F244" t="s">
        <v>281</v>
      </c>
      <c r="G244" s="1">
        <v>45536</v>
      </c>
      <c r="H244" t="s">
        <v>66</v>
      </c>
      <c r="I244">
        <v>41031.26</v>
      </c>
      <c r="J244">
        <v>9119.1200000000008</v>
      </c>
      <c r="K244" t="s">
        <v>31</v>
      </c>
      <c r="L244" t="s">
        <v>41</v>
      </c>
      <c r="M244" t="s">
        <v>27</v>
      </c>
      <c r="N244">
        <v>273</v>
      </c>
      <c r="O244" s="1">
        <v>45651</v>
      </c>
      <c r="P244">
        <v>115</v>
      </c>
      <c r="Q244" t="s">
        <v>48</v>
      </c>
      <c r="R244">
        <v>1323.53</v>
      </c>
    </row>
    <row r="245" spans="1:18" x14ac:dyDescent="0.25">
      <c r="A245" t="s">
        <v>559</v>
      </c>
      <c r="B245" t="s">
        <v>560</v>
      </c>
      <c r="C245" t="s">
        <v>505</v>
      </c>
      <c r="D245" t="s">
        <v>506</v>
      </c>
      <c r="E245" t="s">
        <v>215</v>
      </c>
      <c r="F245" t="s">
        <v>281</v>
      </c>
      <c r="G245" s="1">
        <v>45470</v>
      </c>
      <c r="H245" t="s">
        <v>77</v>
      </c>
      <c r="I245">
        <v>44827.86</v>
      </c>
      <c r="J245">
        <v>27996.799999999999</v>
      </c>
      <c r="K245" t="s">
        <v>86</v>
      </c>
      <c r="L245" t="s">
        <v>46</v>
      </c>
      <c r="M245" t="s">
        <v>27</v>
      </c>
      <c r="N245">
        <v>339</v>
      </c>
      <c r="O245" s="1">
        <v>45485</v>
      </c>
      <c r="P245">
        <v>15</v>
      </c>
      <c r="Q245" t="s">
        <v>43</v>
      </c>
      <c r="R245">
        <v>13098.71</v>
      </c>
    </row>
    <row r="246" spans="1:18" x14ac:dyDescent="0.25">
      <c r="A246" t="s">
        <v>561</v>
      </c>
      <c r="B246" t="s">
        <v>562</v>
      </c>
      <c r="C246" t="s">
        <v>505</v>
      </c>
      <c r="D246" t="s">
        <v>506</v>
      </c>
      <c r="E246" t="s">
        <v>215</v>
      </c>
      <c r="F246" t="s">
        <v>281</v>
      </c>
      <c r="G246" s="1">
        <v>45464</v>
      </c>
      <c r="H246" t="s">
        <v>51</v>
      </c>
      <c r="I246">
        <v>71812.2</v>
      </c>
      <c r="J246">
        <v>6212.28</v>
      </c>
      <c r="K246" t="s">
        <v>86</v>
      </c>
      <c r="L246" t="s">
        <v>67</v>
      </c>
      <c r="M246" t="s">
        <v>27</v>
      </c>
      <c r="N246">
        <v>345</v>
      </c>
      <c r="O246" s="1">
        <v>45494</v>
      </c>
      <c r="P246">
        <v>30</v>
      </c>
      <c r="Q246" t="s">
        <v>48</v>
      </c>
      <c r="R246">
        <v>2549.6799999999998</v>
      </c>
    </row>
    <row r="247" spans="1:18" x14ac:dyDescent="0.25">
      <c r="A247" t="s">
        <v>563</v>
      </c>
      <c r="B247" t="s">
        <v>564</v>
      </c>
      <c r="C247" t="s">
        <v>505</v>
      </c>
      <c r="D247" t="s">
        <v>506</v>
      </c>
      <c r="E247" t="s">
        <v>215</v>
      </c>
      <c r="F247" t="s">
        <v>281</v>
      </c>
      <c r="G247" s="1">
        <v>45737</v>
      </c>
      <c r="H247" t="s">
        <v>24</v>
      </c>
      <c r="I247">
        <v>52870.11</v>
      </c>
      <c r="J247">
        <v>14113.55</v>
      </c>
      <c r="K247" t="s">
        <v>86</v>
      </c>
      <c r="L247" t="s">
        <v>52</v>
      </c>
      <c r="M247" t="s">
        <v>27</v>
      </c>
      <c r="N247">
        <v>72</v>
      </c>
      <c r="O247" s="1">
        <v>45781</v>
      </c>
      <c r="P247">
        <v>44</v>
      </c>
      <c r="Q247" t="s">
        <v>28</v>
      </c>
      <c r="R247">
        <v>14113.55</v>
      </c>
    </row>
    <row r="248" spans="1:18" x14ac:dyDescent="0.25">
      <c r="A248" t="s">
        <v>565</v>
      </c>
      <c r="B248" t="s">
        <v>566</v>
      </c>
      <c r="C248" t="s">
        <v>505</v>
      </c>
      <c r="D248" t="s">
        <v>506</v>
      </c>
      <c r="E248" t="s">
        <v>215</v>
      </c>
      <c r="F248" t="s">
        <v>281</v>
      </c>
      <c r="G248" s="1">
        <v>45735</v>
      </c>
      <c r="H248" t="s">
        <v>35</v>
      </c>
      <c r="I248">
        <v>98641.08</v>
      </c>
      <c r="J248">
        <v>43494.63</v>
      </c>
      <c r="K248" t="s">
        <v>31</v>
      </c>
      <c r="L248" t="s">
        <v>72</v>
      </c>
      <c r="M248" t="s">
        <v>27</v>
      </c>
      <c r="N248">
        <v>74</v>
      </c>
      <c r="O248" s="1">
        <v>45760</v>
      </c>
      <c r="P248">
        <v>25</v>
      </c>
      <c r="Q248" t="s">
        <v>43</v>
      </c>
      <c r="R248">
        <v>19847.48</v>
      </c>
    </row>
    <row r="249" spans="1:18" x14ac:dyDescent="0.25">
      <c r="A249" t="s">
        <v>567</v>
      </c>
      <c r="B249" t="s">
        <v>568</v>
      </c>
      <c r="C249" t="s">
        <v>505</v>
      </c>
      <c r="D249" t="s">
        <v>506</v>
      </c>
      <c r="E249" t="s">
        <v>215</v>
      </c>
      <c r="F249" t="s">
        <v>281</v>
      </c>
      <c r="G249" s="1">
        <v>45555</v>
      </c>
      <c r="H249" t="s">
        <v>51</v>
      </c>
      <c r="I249">
        <v>9453.99</v>
      </c>
      <c r="J249">
        <v>2914.77</v>
      </c>
      <c r="K249" t="s">
        <v>31</v>
      </c>
      <c r="L249" t="s">
        <v>52</v>
      </c>
      <c r="M249" t="s">
        <v>47</v>
      </c>
      <c r="N249">
        <v>254</v>
      </c>
      <c r="O249" s="1">
        <v>45610</v>
      </c>
      <c r="P249">
        <v>55</v>
      </c>
      <c r="Q249" t="s">
        <v>28</v>
      </c>
      <c r="R249">
        <v>2914.77</v>
      </c>
    </row>
    <row r="250" spans="1:18" x14ac:dyDescent="0.25">
      <c r="A250" t="s">
        <v>569</v>
      </c>
      <c r="B250" t="s">
        <v>570</v>
      </c>
      <c r="C250" t="s">
        <v>505</v>
      </c>
      <c r="D250" t="s">
        <v>506</v>
      </c>
      <c r="E250" t="s">
        <v>215</v>
      </c>
      <c r="F250" t="s">
        <v>281</v>
      </c>
      <c r="G250" s="1">
        <v>45616</v>
      </c>
      <c r="H250" t="s">
        <v>66</v>
      </c>
      <c r="I250">
        <v>22468.5</v>
      </c>
      <c r="J250">
        <v>10188.26</v>
      </c>
      <c r="K250" t="s">
        <v>25</v>
      </c>
      <c r="L250" t="s">
        <v>41</v>
      </c>
      <c r="M250" t="s">
        <v>42</v>
      </c>
      <c r="N250">
        <v>193</v>
      </c>
      <c r="O250" s="1">
        <v>45637</v>
      </c>
      <c r="P250">
        <v>21</v>
      </c>
      <c r="Q250" t="s">
        <v>118</v>
      </c>
      <c r="R250">
        <v>0</v>
      </c>
    </row>
    <row r="251" spans="1:18" x14ac:dyDescent="0.25">
      <c r="A251" t="s">
        <v>571</v>
      </c>
      <c r="B251" t="s">
        <v>572</v>
      </c>
      <c r="C251" t="s">
        <v>505</v>
      </c>
      <c r="D251" t="s">
        <v>506</v>
      </c>
      <c r="E251" t="s">
        <v>215</v>
      </c>
      <c r="F251" t="s">
        <v>281</v>
      </c>
      <c r="G251" s="1">
        <v>45779</v>
      </c>
      <c r="H251" t="s">
        <v>66</v>
      </c>
      <c r="I251">
        <v>58426.67</v>
      </c>
      <c r="J251">
        <v>45329.73</v>
      </c>
      <c r="K251" t="s">
        <v>31</v>
      </c>
      <c r="L251" t="s">
        <v>32</v>
      </c>
      <c r="M251" t="s">
        <v>37</v>
      </c>
      <c r="N251">
        <v>30</v>
      </c>
      <c r="Q251" t="s">
        <v>38</v>
      </c>
      <c r="R251">
        <v>0</v>
      </c>
    </row>
    <row r="252" spans="1:18" x14ac:dyDescent="0.25">
      <c r="A252" t="s">
        <v>573</v>
      </c>
      <c r="B252" t="s">
        <v>574</v>
      </c>
      <c r="C252" t="s">
        <v>505</v>
      </c>
      <c r="D252" t="s">
        <v>506</v>
      </c>
      <c r="E252" t="s">
        <v>215</v>
      </c>
      <c r="F252" t="s">
        <v>281</v>
      </c>
      <c r="G252" s="1">
        <v>45704</v>
      </c>
      <c r="H252" t="s">
        <v>35</v>
      </c>
      <c r="I252">
        <v>36374.980000000003</v>
      </c>
      <c r="J252">
        <v>3975.89</v>
      </c>
      <c r="K252" t="s">
        <v>31</v>
      </c>
      <c r="L252" t="s">
        <v>26</v>
      </c>
      <c r="M252" t="s">
        <v>27</v>
      </c>
      <c r="N252">
        <v>105</v>
      </c>
      <c r="O252" s="1">
        <v>45731</v>
      </c>
      <c r="P252">
        <v>27</v>
      </c>
      <c r="Q252" t="s">
        <v>28</v>
      </c>
      <c r="R252">
        <v>3975.89</v>
      </c>
    </row>
    <row r="253" spans="1:18" x14ac:dyDescent="0.25">
      <c r="A253" t="s">
        <v>575</v>
      </c>
      <c r="B253" t="s">
        <v>576</v>
      </c>
      <c r="C253" t="s">
        <v>577</v>
      </c>
      <c r="D253" t="s">
        <v>578</v>
      </c>
      <c r="E253" t="s">
        <v>280</v>
      </c>
      <c r="F253" t="s">
        <v>442</v>
      </c>
      <c r="G253" s="1">
        <v>45771</v>
      </c>
      <c r="H253" t="s">
        <v>59</v>
      </c>
      <c r="I253">
        <v>22875.51</v>
      </c>
      <c r="J253">
        <v>14211.92</v>
      </c>
      <c r="K253" t="s">
        <v>86</v>
      </c>
      <c r="L253" t="s">
        <v>46</v>
      </c>
      <c r="M253" t="s">
        <v>27</v>
      </c>
      <c r="N253">
        <v>38</v>
      </c>
      <c r="O253" s="1">
        <v>45795</v>
      </c>
      <c r="P253">
        <v>24</v>
      </c>
      <c r="Q253" t="s">
        <v>28</v>
      </c>
      <c r="R253">
        <v>14211.92</v>
      </c>
    </row>
    <row r="254" spans="1:18" x14ac:dyDescent="0.25">
      <c r="A254" t="s">
        <v>579</v>
      </c>
      <c r="B254" t="s">
        <v>580</v>
      </c>
      <c r="C254" t="s">
        <v>577</v>
      </c>
      <c r="D254" t="s">
        <v>578</v>
      </c>
      <c r="E254" t="s">
        <v>280</v>
      </c>
      <c r="F254" t="s">
        <v>442</v>
      </c>
      <c r="G254" s="1">
        <v>45801</v>
      </c>
      <c r="H254" t="s">
        <v>24</v>
      </c>
      <c r="I254">
        <v>25121.74</v>
      </c>
      <c r="J254">
        <v>4836.38</v>
      </c>
      <c r="K254" t="s">
        <v>86</v>
      </c>
      <c r="L254" t="s">
        <v>67</v>
      </c>
      <c r="M254" t="s">
        <v>53</v>
      </c>
      <c r="N254">
        <v>8</v>
      </c>
      <c r="Q254" t="s">
        <v>38</v>
      </c>
      <c r="R254">
        <v>0</v>
      </c>
    </row>
    <row r="255" spans="1:18" x14ac:dyDescent="0.25">
      <c r="A255" t="s">
        <v>581</v>
      </c>
      <c r="B255" t="s">
        <v>582</v>
      </c>
      <c r="C255" t="s">
        <v>577</v>
      </c>
      <c r="D255" t="s">
        <v>578</v>
      </c>
      <c r="E255" t="s">
        <v>280</v>
      </c>
      <c r="F255" t="s">
        <v>442</v>
      </c>
      <c r="G255" s="1">
        <v>45452</v>
      </c>
      <c r="H255" t="s">
        <v>59</v>
      </c>
      <c r="I255">
        <v>62418.15</v>
      </c>
      <c r="J255">
        <v>12694.91</v>
      </c>
      <c r="K255" t="s">
        <v>56</v>
      </c>
      <c r="L255" t="s">
        <v>52</v>
      </c>
      <c r="M255" t="s">
        <v>47</v>
      </c>
      <c r="N255">
        <v>357</v>
      </c>
      <c r="O255" s="1">
        <v>45503</v>
      </c>
      <c r="P255">
        <v>51</v>
      </c>
      <c r="Q255" t="s">
        <v>43</v>
      </c>
      <c r="R255">
        <v>7480.26</v>
      </c>
    </row>
    <row r="256" spans="1:18" x14ac:dyDescent="0.25">
      <c r="A256" t="s">
        <v>583</v>
      </c>
      <c r="B256" t="s">
        <v>584</v>
      </c>
      <c r="C256" t="s">
        <v>577</v>
      </c>
      <c r="D256" t="s">
        <v>578</v>
      </c>
      <c r="E256" t="s">
        <v>280</v>
      </c>
      <c r="F256" t="s">
        <v>442</v>
      </c>
      <c r="G256" s="1">
        <v>45651</v>
      </c>
      <c r="H256" t="s">
        <v>77</v>
      </c>
      <c r="I256">
        <v>29848.35</v>
      </c>
      <c r="J256">
        <v>12972.46</v>
      </c>
      <c r="K256" t="s">
        <v>31</v>
      </c>
      <c r="L256" t="s">
        <v>67</v>
      </c>
      <c r="M256" t="s">
        <v>47</v>
      </c>
      <c r="N256">
        <v>158</v>
      </c>
      <c r="O256" s="1">
        <v>45694</v>
      </c>
      <c r="P256">
        <v>43</v>
      </c>
      <c r="Q256" t="s">
        <v>118</v>
      </c>
      <c r="R256">
        <v>0</v>
      </c>
    </row>
    <row r="257" spans="1:18" x14ac:dyDescent="0.25">
      <c r="A257" t="s">
        <v>585</v>
      </c>
      <c r="B257" t="s">
        <v>586</v>
      </c>
      <c r="C257" t="s">
        <v>577</v>
      </c>
      <c r="D257" t="s">
        <v>578</v>
      </c>
      <c r="E257" t="s">
        <v>280</v>
      </c>
      <c r="F257" t="s">
        <v>442</v>
      </c>
      <c r="G257" s="1">
        <v>45619</v>
      </c>
      <c r="H257" t="s">
        <v>24</v>
      </c>
      <c r="I257">
        <v>34727.589999999997</v>
      </c>
      <c r="J257">
        <v>2927.07</v>
      </c>
      <c r="K257" t="s">
        <v>86</v>
      </c>
      <c r="L257" t="s">
        <v>36</v>
      </c>
      <c r="M257" t="s">
        <v>37</v>
      </c>
      <c r="N257">
        <v>190</v>
      </c>
      <c r="Q257" t="s">
        <v>38</v>
      </c>
      <c r="R257">
        <v>0</v>
      </c>
    </row>
    <row r="258" spans="1:18" x14ac:dyDescent="0.25">
      <c r="A258" t="s">
        <v>587</v>
      </c>
      <c r="B258" t="s">
        <v>588</v>
      </c>
      <c r="C258" t="s">
        <v>577</v>
      </c>
      <c r="D258" t="s">
        <v>578</v>
      </c>
      <c r="E258" t="s">
        <v>280</v>
      </c>
      <c r="F258" t="s">
        <v>442</v>
      </c>
      <c r="G258" s="1">
        <v>45525</v>
      </c>
      <c r="H258" t="s">
        <v>66</v>
      </c>
      <c r="I258">
        <v>93802.03</v>
      </c>
      <c r="J258">
        <v>45433.69</v>
      </c>
      <c r="K258" t="s">
        <v>31</v>
      </c>
      <c r="L258" t="s">
        <v>46</v>
      </c>
      <c r="M258" t="s">
        <v>27</v>
      </c>
      <c r="N258">
        <v>284</v>
      </c>
      <c r="O258" s="1">
        <v>45576</v>
      </c>
      <c r="P258">
        <v>51</v>
      </c>
      <c r="Q258" t="s">
        <v>43</v>
      </c>
      <c r="R258">
        <v>15785.39</v>
      </c>
    </row>
    <row r="259" spans="1:18" x14ac:dyDescent="0.25">
      <c r="A259" t="s">
        <v>589</v>
      </c>
      <c r="B259" t="s">
        <v>590</v>
      </c>
      <c r="C259" t="s">
        <v>577</v>
      </c>
      <c r="D259" t="s">
        <v>578</v>
      </c>
      <c r="E259" t="s">
        <v>280</v>
      </c>
      <c r="F259" t="s">
        <v>442</v>
      </c>
      <c r="G259" s="1">
        <v>45527</v>
      </c>
      <c r="H259" t="s">
        <v>51</v>
      </c>
      <c r="I259">
        <v>67187.759999999995</v>
      </c>
      <c r="J259">
        <v>37869.370000000003</v>
      </c>
      <c r="K259" t="s">
        <v>31</v>
      </c>
      <c r="L259" t="s">
        <v>67</v>
      </c>
      <c r="M259" t="s">
        <v>27</v>
      </c>
      <c r="N259">
        <v>282</v>
      </c>
      <c r="O259" s="1">
        <v>45623</v>
      </c>
      <c r="P259">
        <v>96</v>
      </c>
      <c r="Q259" t="s">
        <v>48</v>
      </c>
      <c r="R259">
        <v>6350.93</v>
      </c>
    </row>
    <row r="260" spans="1:18" x14ac:dyDescent="0.25">
      <c r="A260" t="s">
        <v>591</v>
      </c>
      <c r="B260" t="s">
        <v>592</v>
      </c>
      <c r="C260" t="s">
        <v>577</v>
      </c>
      <c r="D260" t="s">
        <v>578</v>
      </c>
      <c r="E260" t="s">
        <v>280</v>
      </c>
      <c r="F260" t="s">
        <v>442</v>
      </c>
      <c r="G260" s="1">
        <v>45529</v>
      </c>
      <c r="H260" t="s">
        <v>24</v>
      </c>
      <c r="I260">
        <v>51390.05</v>
      </c>
      <c r="J260">
        <v>37909.129999999997</v>
      </c>
      <c r="K260" t="s">
        <v>31</v>
      </c>
      <c r="L260" t="s">
        <v>72</v>
      </c>
      <c r="M260" t="s">
        <v>27</v>
      </c>
      <c r="N260">
        <v>280</v>
      </c>
      <c r="O260" s="1">
        <v>45639</v>
      </c>
      <c r="P260">
        <v>110</v>
      </c>
      <c r="Q260" t="s">
        <v>118</v>
      </c>
      <c r="R260">
        <v>0</v>
      </c>
    </row>
    <row r="261" spans="1:18" x14ac:dyDescent="0.25">
      <c r="A261" t="s">
        <v>593</v>
      </c>
      <c r="B261" t="s">
        <v>594</v>
      </c>
      <c r="C261" t="s">
        <v>577</v>
      </c>
      <c r="D261" t="s">
        <v>578</v>
      </c>
      <c r="E261" t="s">
        <v>280</v>
      </c>
      <c r="F261" t="s">
        <v>442</v>
      </c>
      <c r="G261" s="1">
        <v>45466</v>
      </c>
      <c r="H261" t="s">
        <v>24</v>
      </c>
      <c r="I261">
        <v>9608.8700000000008</v>
      </c>
      <c r="J261">
        <v>526.45000000000005</v>
      </c>
      <c r="K261" t="s">
        <v>25</v>
      </c>
      <c r="L261" t="s">
        <v>46</v>
      </c>
      <c r="M261" t="s">
        <v>53</v>
      </c>
      <c r="N261">
        <v>343</v>
      </c>
      <c r="Q261" t="s">
        <v>38</v>
      </c>
      <c r="R261">
        <v>0</v>
      </c>
    </row>
    <row r="262" spans="1:18" x14ac:dyDescent="0.25">
      <c r="A262" t="s">
        <v>595</v>
      </c>
      <c r="B262" t="s">
        <v>596</v>
      </c>
      <c r="C262" t="s">
        <v>577</v>
      </c>
      <c r="D262" t="s">
        <v>578</v>
      </c>
      <c r="E262" t="s">
        <v>280</v>
      </c>
      <c r="F262" t="s">
        <v>442</v>
      </c>
      <c r="G262" s="1">
        <v>45731</v>
      </c>
      <c r="H262" t="s">
        <v>59</v>
      </c>
      <c r="I262">
        <v>5868.44</v>
      </c>
      <c r="J262">
        <v>2519.3200000000002</v>
      </c>
      <c r="K262" t="s">
        <v>31</v>
      </c>
      <c r="L262" t="s">
        <v>67</v>
      </c>
      <c r="M262" t="s">
        <v>27</v>
      </c>
      <c r="N262">
        <v>78</v>
      </c>
      <c r="O262" s="1">
        <v>45736</v>
      </c>
      <c r="P262">
        <v>5</v>
      </c>
      <c r="Q262" t="s">
        <v>28</v>
      </c>
      <c r="R262">
        <v>2519.3200000000002</v>
      </c>
    </row>
    <row r="263" spans="1:18" x14ac:dyDescent="0.25">
      <c r="A263" t="s">
        <v>597</v>
      </c>
      <c r="B263" t="s">
        <v>598</v>
      </c>
      <c r="C263" t="s">
        <v>577</v>
      </c>
      <c r="D263" t="s">
        <v>578</v>
      </c>
      <c r="E263" t="s">
        <v>280</v>
      </c>
      <c r="F263" t="s">
        <v>442</v>
      </c>
      <c r="G263" s="1">
        <v>45526</v>
      </c>
      <c r="H263" t="s">
        <v>59</v>
      </c>
      <c r="I263">
        <v>44077.16</v>
      </c>
      <c r="J263">
        <v>2756.79</v>
      </c>
      <c r="K263" t="s">
        <v>86</v>
      </c>
      <c r="L263" t="s">
        <v>41</v>
      </c>
      <c r="M263" t="s">
        <v>37</v>
      </c>
      <c r="N263">
        <v>283</v>
      </c>
      <c r="Q263" t="s">
        <v>38</v>
      </c>
      <c r="R263">
        <v>0</v>
      </c>
    </row>
    <row r="264" spans="1:18" x14ac:dyDescent="0.25">
      <c r="A264" t="s">
        <v>599</v>
      </c>
      <c r="B264" t="s">
        <v>600</v>
      </c>
      <c r="C264" t="s">
        <v>577</v>
      </c>
      <c r="D264" t="s">
        <v>578</v>
      </c>
      <c r="E264" t="s">
        <v>280</v>
      </c>
      <c r="F264" t="s">
        <v>442</v>
      </c>
      <c r="G264" s="1">
        <v>45451</v>
      </c>
      <c r="H264" t="s">
        <v>77</v>
      </c>
      <c r="I264">
        <v>69033.13</v>
      </c>
      <c r="J264">
        <v>45190.87</v>
      </c>
      <c r="K264" t="s">
        <v>56</v>
      </c>
      <c r="L264" t="s">
        <v>26</v>
      </c>
      <c r="M264" t="s">
        <v>27</v>
      </c>
      <c r="N264">
        <v>358</v>
      </c>
      <c r="O264" s="1">
        <v>45484</v>
      </c>
      <c r="P264">
        <v>33</v>
      </c>
      <c r="Q264" t="s">
        <v>28</v>
      </c>
      <c r="R264">
        <v>45190.87</v>
      </c>
    </row>
    <row r="265" spans="1:18" x14ac:dyDescent="0.25">
      <c r="A265" t="s">
        <v>601</v>
      </c>
      <c r="B265" t="s">
        <v>602</v>
      </c>
      <c r="C265" t="s">
        <v>577</v>
      </c>
      <c r="D265" t="s">
        <v>578</v>
      </c>
      <c r="E265" t="s">
        <v>280</v>
      </c>
      <c r="F265" t="s">
        <v>442</v>
      </c>
      <c r="G265" s="1">
        <v>45539</v>
      </c>
      <c r="H265" t="s">
        <v>77</v>
      </c>
      <c r="I265">
        <v>28979.73</v>
      </c>
      <c r="J265">
        <v>9152.69</v>
      </c>
      <c r="K265" t="s">
        <v>86</v>
      </c>
      <c r="L265" t="s">
        <v>52</v>
      </c>
      <c r="M265" t="s">
        <v>42</v>
      </c>
      <c r="N265">
        <v>270</v>
      </c>
      <c r="O265" s="1">
        <v>45600</v>
      </c>
      <c r="P265">
        <v>61</v>
      </c>
      <c r="Q265" t="s">
        <v>43</v>
      </c>
      <c r="R265">
        <v>7268.52</v>
      </c>
    </row>
    <row r="266" spans="1:18" x14ac:dyDescent="0.25">
      <c r="A266" t="s">
        <v>603</v>
      </c>
      <c r="B266" t="s">
        <v>604</v>
      </c>
      <c r="C266" t="s">
        <v>577</v>
      </c>
      <c r="D266" t="s">
        <v>578</v>
      </c>
      <c r="E266" t="s">
        <v>280</v>
      </c>
      <c r="F266" t="s">
        <v>442</v>
      </c>
      <c r="G266" s="1">
        <v>45693</v>
      </c>
      <c r="H266" t="s">
        <v>24</v>
      </c>
      <c r="I266">
        <v>33497.589999999997</v>
      </c>
      <c r="J266">
        <v>22478.44</v>
      </c>
      <c r="K266" t="s">
        <v>25</v>
      </c>
      <c r="L266" t="s">
        <v>72</v>
      </c>
      <c r="M266" t="s">
        <v>53</v>
      </c>
      <c r="N266">
        <v>116</v>
      </c>
      <c r="Q266" t="s">
        <v>38</v>
      </c>
      <c r="R266">
        <v>0</v>
      </c>
    </row>
    <row r="267" spans="1:18" x14ac:dyDescent="0.25">
      <c r="A267" t="s">
        <v>605</v>
      </c>
      <c r="B267" t="s">
        <v>606</v>
      </c>
      <c r="C267" t="s">
        <v>577</v>
      </c>
      <c r="D267" t="s">
        <v>578</v>
      </c>
      <c r="E267" t="s">
        <v>280</v>
      </c>
      <c r="F267" t="s">
        <v>442</v>
      </c>
      <c r="G267" s="1">
        <v>45614</v>
      </c>
      <c r="H267" t="s">
        <v>24</v>
      </c>
      <c r="I267">
        <v>40831.11</v>
      </c>
      <c r="J267">
        <v>16618.419999999998</v>
      </c>
      <c r="K267" t="s">
        <v>31</v>
      </c>
      <c r="L267" t="s">
        <v>36</v>
      </c>
      <c r="M267" t="s">
        <v>53</v>
      </c>
      <c r="N267">
        <v>195</v>
      </c>
      <c r="Q267" t="s">
        <v>38</v>
      </c>
      <c r="R267">
        <v>0</v>
      </c>
    </row>
    <row r="268" spans="1:18" x14ac:dyDescent="0.25">
      <c r="A268" t="s">
        <v>607</v>
      </c>
      <c r="B268" t="s">
        <v>608</v>
      </c>
      <c r="C268" t="s">
        <v>577</v>
      </c>
      <c r="D268" t="s">
        <v>578</v>
      </c>
      <c r="E268" t="s">
        <v>280</v>
      </c>
      <c r="F268" t="s">
        <v>442</v>
      </c>
      <c r="G268" s="1">
        <v>45586</v>
      </c>
      <c r="H268" t="s">
        <v>77</v>
      </c>
      <c r="I268">
        <v>66266.19</v>
      </c>
      <c r="J268">
        <v>19777.34</v>
      </c>
      <c r="K268" t="s">
        <v>56</v>
      </c>
      <c r="L268" t="s">
        <v>72</v>
      </c>
      <c r="M268" t="s">
        <v>27</v>
      </c>
      <c r="N268">
        <v>223</v>
      </c>
      <c r="O268" s="1">
        <v>45704</v>
      </c>
      <c r="P268">
        <v>118</v>
      </c>
      <c r="Q268" t="s">
        <v>118</v>
      </c>
      <c r="R268">
        <v>0</v>
      </c>
    </row>
    <row r="269" spans="1:18" x14ac:dyDescent="0.25">
      <c r="A269" t="s">
        <v>609</v>
      </c>
      <c r="B269" t="s">
        <v>610</v>
      </c>
      <c r="C269" t="s">
        <v>577</v>
      </c>
      <c r="D269" t="s">
        <v>578</v>
      </c>
      <c r="E269" t="s">
        <v>280</v>
      </c>
      <c r="F269" t="s">
        <v>442</v>
      </c>
      <c r="G269" s="1">
        <v>45518</v>
      </c>
      <c r="H269" t="s">
        <v>35</v>
      </c>
      <c r="I269">
        <v>50172.53</v>
      </c>
      <c r="J269">
        <v>4260.7299999999996</v>
      </c>
      <c r="K269" t="s">
        <v>25</v>
      </c>
      <c r="L269" t="s">
        <v>72</v>
      </c>
      <c r="M269" t="s">
        <v>27</v>
      </c>
      <c r="N269">
        <v>291</v>
      </c>
      <c r="O269" s="1">
        <v>45629</v>
      </c>
      <c r="P269">
        <v>111</v>
      </c>
      <c r="Q269" t="s">
        <v>28</v>
      </c>
      <c r="R269">
        <v>4260.7299999999996</v>
      </c>
    </row>
    <row r="270" spans="1:18" x14ac:dyDescent="0.25">
      <c r="A270" t="s">
        <v>611</v>
      </c>
      <c r="B270" t="s">
        <v>612</v>
      </c>
      <c r="C270" t="s">
        <v>577</v>
      </c>
      <c r="D270" t="s">
        <v>578</v>
      </c>
      <c r="E270" t="s">
        <v>280</v>
      </c>
      <c r="F270" t="s">
        <v>442</v>
      </c>
      <c r="G270" s="1">
        <v>45702</v>
      </c>
      <c r="H270" t="s">
        <v>51</v>
      </c>
      <c r="I270">
        <v>60768.43</v>
      </c>
      <c r="J270">
        <v>37323.410000000003</v>
      </c>
      <c r="K270" t="s">
        <v>86</v>
      </c>
      <c r="L270" t="s">
        <v>26</v>
      </c>
      <c r="M270" t="s">
        <v>27</v>
      </c>
      <c r="N270">
        <v>107</v>
      </c>
      <c r="O270" s="1">
        <v>45777</v>
      </c>
      <c r="P270">
        <v>75</v>
      </c>
      <c r="Q270" t="s">
        <v>28</v>
      </c>
      <c r="R270">
        <v>37323.410000000003</v>
      </c>
    </row>
    <row r="271" spans="1:18" x14ac:dyDescent="0.25">
      <c r="A271" t="s">
        <v>613</v>
      </c>
      <c r="B271" t="s">
        <v>614</v>
      </c>
      <c r="C271" t="s">
        <v>577</v>
      </c>
      <c r="D271" t="s">
        <v>578</v>
      </c>
      <c r="E271" t="s">
        <v>280</v>
      </c>
      <c r="F271" t="s">
        <v>442</v>
      </c>
      <c r="G271" s="1">
        <v>45609</v>
      </c>
      <c r="H271" t="s">
        <v>24</v>
      </c>
      <c r="I271">
        <v>69318.320000000007</v>
      </c>
      <c r="J271">
        <v>31569.08</v>
      </c>
      <c r="K271" t="s">
        <v>31</v>
      </c>
      <c r="L271" t="s">
        <v>36</v>
      </c>
      <c r="M271" t="s">
        <v>47</v>
      </c>
      <c r="N271">
        <v>200</v>
      </c>
      <c r="O271" s="1">
        <v>45700</v>
      </c>
      <c r="P271">
        <v>91</v>
      </c>
      <c r="Q271" t="s">
        <v>48</v>
      </c>
      <c r="R271">
        <v>9480.74</v>
      </c>
    </row>
    <row r="272" spans="1:18" x14ac:dyDescent="0.25">
      <c r="A272" t="s">
        <v>615</v>
      </c>
      <c r="B272" t="s">
        <v>616</v>
      </c>
      <c r="C272" t="s">
        <v>577</v>
      </c>
      <c r="D272" t="s">
        <v>578</v>
      </c>
      <c r="E272" t="s">
        <v>280</v>
      </c>
      <c r="F272" t="s">
        <v>442</v>
      </c>
      <c r="G272" s="1">
        <v>45631</v>
      </c>
      <c r="H272" t="s">
        <v>35</v>
      </c>
      <c r="I272">
        <v>10101.16</v>
      </c>
      <c r="J272">
        <v>3816.38</v>
      </c>
      <c r="K272" t="s">
        <v>86</v>
      </c>
      <c r="L272" t="s">
        <v>32</v>
      </c>
      <c r="M272" t="s">
        <v>42</v>
      </c>
      <c r="N272">
        <v>178</v>
      </c>
      <c r="O272" s="1">
        <v>45675</v>
      </c>
      <c r="P272">
        <v>44</v>
      </c>
      <c r="Q272" t="s">
        <v>28</v>
      </c>
      <c r="R272">
        <v>3816.38</v>
      </c>
    </row>
    <row r="273" spans="1:18" x14ac:dyDescent="0.25">
      <c r="A273" t="s">
        <v>617</v>
      </c>
      <c r="B273" t="s">
        <v>618</v>
      </c>
      <c r="C273" t="s">
        <v>577</v>
      </c>
      <c r="D273" t="s">
        <v>578</v>
      </c>
      <c r="E273" t="s">
        <v>280</v>
      </c>
      <c r="F273" t="s">
        <v>442</v>
      </c>
      <c r="G273" s="1">
        <v>45669</v>
      </c>
      <c r="H273" t="s">
        <v>59</v>
      </c>
      <c r="I273">
        <v>79437.070000000007</v>
      </c>
      <c r="J273">
        <v>30814.639999999999</v>
      </c>
      <c r="K273" t="s">
        <v>25</v>
      </c>
      <c r="L273" t="s">
        <v>32</v>
      </c>
      <c r="M273" t="s">
        <v>27</v>
      </c>
      <c r="N273">
        <v>140</v>
      </c>
      <c r="O273" s="1">
        <v>45759</v>
      </c>
      <c r="P273">
        <v>90</v>
      </c>
      <c r="Q273" t="s">
        <v>43</v>
      </c>
      <c r="R273">
        <v>13190.01</v>
      </c>
    </row>
    <row r="274" spans="1:18" x14ac:dyDescent="0.25">
      <c r="A274" t="s">
        <v>619</v>
      </c>
      <c r="B274" t="s">
        <v>620</v>
      </c>
      <c r="C274" t="s">
        <v>621</v>
      </c>
      <c r="D274" t="s">
        <v>622</v>
      </c>
      <c r="E274" t="s">
        <v>22</v>
      </c>
      <c r="F274" t="s">
        <v>281</v>
      </c>
      <c r="G274" s="1">
        <v>45682</v>
      </c>
      <c r="H274" t="s">
        <v>24</v>
      </c>
      <c r="I274">
        <v>72745.31</v>
      </c>
      <c r="J274">
        <v>8113.18</v>
      </c>
      <c r="K274" t="s">
        <v>25</v>
      </c>
      <c r="L274" t="s">
        <v>36</v>
      </c>
      <c r="M274" t="s">
        <v>47</v>
      </c>
      <c r="N274">
        <v>127</v>
      </c>
      <c r="O274" s="1">
        <v>45725</v>
      </c>
      <c r="P274">
        <v>43</v>
      </c>
      <c r="Q274" t="s">
        <v>28</v>
      </c>
      <c r="R274">
        <v>8113.18</v>
      </c>
    </row>
    <row r="275" spans="1:18" x14ac:dyDescent="0.25">
      <c r="A275" t="s">
        <v>623</v>
      </c>
      <c r="B275" t="s">
        <v>624</v>
      </c>
      <c r="C275" t="s">
        <v>621</v>
      </c>
      <c r="D275" t="s">
        <v>622</v>
      </c>
      <c r="E275" t="s">
        <v>22</v>
      </c>
      <c r="F275" t="s">
        <v>281</v>
      </c>
      <c r="G275" s="1">
        <v>45762</v>
      </c>
      <c r="H275" t="s">
        <v>35</v>
      </c>
      <c r="I275">
        <v>5493.55</v>
      </c>
      <c r="J275">
        <v>1544.79</v>
      </c>
      <c r="K275" t="s">
        <v>31</v>
      </c>
      <c r="L275" t="s">
        <v>26</v>
      </c>
      <c r="M275" t="s">
        <v>37</v>
      </c>
      <c r="N275">
        <v>47</v>
      </c>
      <c r="Q275" t="s">
        <v>38</v>
      </c>
      <c r="R275">
        <v>0</v>
      </c>
    </row>
    <row r="276" spans="1:18" x14ac:dyDescent="0.25">
      <c r="A276" t="s">
        <v>625</v>
      </c>
      <c r="B276" t="s">
        <v>626</v>
      </c>
      <c r="C276" t="s">
        <v>621</v>
      </c>
      <c r="D276" t="s">
        <v>622</v>
      </c>
      <c r="E276" t="s">
        <v>22</v>
      </c>
      <c r="F276" t="s">
        <v>281</v>
      </c>
      <c r="G276" s="1">
        <v>45713</v>
      </c>
      <c r="H276" t="s">
        <v>77</v>
      </c>
      <c r="I276">
        <v>45943.05</v>
      </c>
      <c r="J276">
        <v>21489.35</v>
      </c>
      <c r="K276" t="s">
        <v>31</v>
      </c>
      <c r="L276" t="s">
        <v>72</v>
      </c>
      <c r="M276" t="s">
        <v>53</v>
      </c>
      <c r="N276">
        <v>96</v>
      </c>
      <c r="Q276" t="s">
        <v>38</v>
      </c>
      <c r="R276">
        <v>0</v>
      </c>
    </row>
    <row r="277" spans="1:18" x14ac:dyDescent="0.25">
      <c r="A277" t="s">
        <v>627</v>
      </c>
      <c r="B277" t="s">
        <v>628</v>
      </c>
      <c r="C277" t="s">
        <v>621</v>
      </c>
      <c r="D277" t="s">
        <v>622</v>
      </c>
      <c r="E277" t="s">
        <v>22</v>
      </c>
      <c r="F277" t="s">
        <v>281</v>
      </c>
      <c r="G277" s="1">
        <v>45525</v>
      </c>
      <c r="H277" t="s">
        <v>51</v>
      </c>
      <c r="I277">
        <v>13841.1</v>
      </c>
      <c r="J277">
        <v>6900.24</v>
      </c>
      <c r="K277" t="s">
        <v>31</v>
      </c>
      <c r="L277" t="s">
        <v>72</v>
      </c>
      <c r="M277" t="s">
        <v>27</v>
      </c>
      <c r="N277">
        <v>284</v>
      </c>
      <c r="O277" s="1">
        <v>45577</v>
      </c>
      <c r="P277">
        <v>52</v>
      </c>
      <c r="Q277" t="s">
        <v>48</v>
      </c>
      <c r="R277">
        <v>2690.66</v>
      </c>
    </row>
    <row r="278" spans="1:18" x14ac:dyDescent="0.25">
      <c r="A278" t="s">
        <v>629</v>
      </c>
      <c r="B278" t="s">
        <v>630</v>
      </c>
      <c r="C278" t="s">
        <v>621</v>
      </c>
      <c r="D278" t="s">
        <v>622</v>
      </c>
      <c r="E278" t="s">
        <v>22</v>
      </c>
      <c r="F278" t="s">
        <v>281</v>
      </c>
      <c r="G278" s="1">
        <v>45522</v>
      </c>
      <c r="H278" t="s">
        <v>66</v>
      </c>
      <c r="I278">
        <v>90994.72</v>
      </c>
      <c r="J278">
        <v>71306.17</v>
      </c>
      <c r="K278" t="s">
        <v>31</v>
      </c>
      <c r="L278" t="s">
        <v>32</v>
      </c>
      <c r="M278" t="s">
        <v>27</v>
      </c>
      <c r="N278">
        <v>287</v>
      </c>
      <c r="O278" s="1">
        <v>45559</v>
      </c>
      <c r="P278">
        <v>37</v>
      </c>
      <c r="Q278" t="s">
        <v>28</v>
      </c>
      <c r="R278">
        <v>71306.17</v>
      </c>
    </row>
    <row r="279" spans="1:18" x14ac:dyDescent="0.25">
      <c r="A279" t="s">
        <v>631</v>
      </c>
      <c r="B279" t="s">
        <v>632</v>
      </c>
      <c r="C279" t="s">
        <v>621</v>
      </c>
      <c r="D279" t="s">
        <v>622</v>
      </c>
      <c r="E279" t="s">
        <v>22</v>
      </c>
      <c r="F279" t="s">
        <v>281</v>
      </c>
      <c r="G279" s="1">
        <v>45556</v>
      </c>
      <c r="H279" t="s">
        <v>35</v>
      </c>
      <c r="I279">
        <v>18863.810000000001</v>
      </c>
      <c r="J279">
        <v>3308.82</v>
      </c>
      <c r="K279" t="s">
        <v>31</v>
      </c>
      <c r="L279" t="s">
        <v>67</v>
      </c>
      <c r="M279" t="s">
        <v>47</v>
      </c>
      <c r="N279">
        <v>253</v>
      </c>
      <c r="O279" s="1">
        <v>45605</v>
      </c>
      <c r="P279">
        <v>49</v>
      </c>
      <c r="Q279" t="s">
        <v>28</v>
      </c>
      <c r="R279">
        <v>3308.82</v>
      </c>
    </row>
    <row r="280" spans="1:18" x14ac:dyDescent="0.25">
      <c r="A280" t="s">
        <v>633</v>
      </c>
      <c r="B280" t="s">
        <v>634</v>
      </c>
      <c r="C280" t="s">
        <v>621</v>
      </c>
      <c r="D280" t="s">
        <v>622</v>
      </c>
      <c r="E280" t="s">
        <v>22</v>
      </c>
      <c r="F280" t="s">
        <v>281</v>
      </c>
      <c r="G280" s="1">
        <v>45682</v>
      </c>
      <c r="H280" t="s">
        <v>51</v>
      </c>
      <c r="I280">
        <v>73485.45</v>
      </c>
      <c r="J280">
        <v>30999.97</v>
      </c>
      <c r="K280" t="s">
        <v>31</v>
      </c>
      <c r="L280" t="s">
        <v>26</v>
      </c>
      <c r="M280" t="s">
        <v>27</v>
      </c>
      <c r="N280">
        <v>127</v>
      </c>
      <c r="O280" s="1">
        <v>45685</v>
      </c>
      <c r="P280">
        <v>3</v>
      </c>
      <c r="Q280" t="s">
        <v>38</v>
      </c>
      <c r="R280">
        <v>0</v>
      </c>
    </row>
    <row r="281" spans="1:18" x14ac:dyDescent="0.25">
      <c r="A281" t="s">
        <v>635</v>
      </c>
      <c r="B281" t="s">
        <v>636</v>
      </c>
      <c r="C281" t="s">
        <v>621</v>
      </c>
      <c r="D281" t="s">
        <v>622</v>
      </c>
      <c r="E281" t="s">
        <v>22</v>
      </c>
      <c r="F281" t="s">
        <v>281</v>
      </c>
      <c r="G281" s="1">
        <v>45638</v>
      </c>
      <c r="H281" t="s">
        <v>51</v>
      </c>
      <c r="I281">
        <v>84953.27</v>
      </c>
      <c r="J281">
        <v>28452.33</v>
      </c>
      <c r="K281" t="s">
        <v>86</v>
      </c>
      <c r="L281" t="s">
        <v>52</v>
      </c>
      <c r="M281" t="s">
        <v>27</v>
      </c>
      <c r="N281">
        <v>171</v>
      </c>
      <c r="O281" s="1">
        <v>45746</v>
      </c>
      <c r="P281">
        <v>108</v>
      </c>
      <c r="Q281" t="s">
        <v>118</v>
      </c>
      <c r="R281">
        <v>0</v>
      </c>
    </row>
    <row r="282" spans="1:18" x14ac:dyDescent="0.25">
      <c r="A282" t="s">
        <v>637</v>
      </c>
      <c r="B282" t="s">
        <v>638</v>
      </c>
      <c r="C282" t="s">
        <v>621</v>
      </c>
      <c r="D282" t="s">
        <v>622</v>
      </c>
      <c r="E282" t="s">
        <v>22</v>
      </c>
      <c r="F282" t="s">
        <v>281</v>
      </c>
      <c r="G282" s="1">
        <v>45504</v>
      </c>
      <c r="H282" t="s">
        <v>66</v>
      </c>
      <c r="I282">
        <v>17931.82</v>
      </c>
      <c r="J282">
        <v>5209.17</v>
      </c>
      <c r="K282" t="s">
        <v>56</v>
      </c>
      <c r="L282" t="s">
        <v>67</v>
      </c>
      <c r="M282" t="s">
        <v>27</v>
      </c>
      <c r="N282">
        <v>305</v>
      </c>
      <c r="O282" s="1">
        <v>45557</v>
      </c>
      <c r="P282">
        <v>53</v>
      </c>
      <c r="Q282" t="s">
        <v>38</v>
      </c>
      <c r="R282">
        <v>0</v>
      </c>
    </row>
    <row r="283" spans="1:18" x14ac:dyDescent="0.25">
      <c r="A283" t="s">
        <v>639</v>
      </c>
      <c r="B283" t="s">
        <v>640</v>
      </c>
      <c r="C283" t="s">
        <v>621</v>
      </c>
      <c r="D283" t="s">
        <v>622</v>
      </c>
      <c r="E283" t="s">
        <v>22</v>
      </c>
      <c r="F283" t="s">
        <v>281</v>
      </c>
      <c r="G283" s="1">
        <v>45659</v>
      </c>
      <c r="H283" t="s">
        <v>66</v>
      </c>
      <c r="I283">
        <v>74813.06</v>
      </c>
      <c r="J283">
        <v>39252.68</v>
      </c>
      <c r="K283" t="s">
        <v>56</v>
      </c>
      <c r="L283" t="s">
        <v>52</v>
      </c>
      <c r="M283" t="s">
        <v>27</v>
      </c>
      <c r="N283">
        <v>150</v>
      </c>
      <c r="O283" s="1">
        <v>45766</v>
      </c>
      <c r="P283">
        <v>107</v>
      </c>
      <c r="Q283" t="s">
        <v>48</v>
      </c>
      <c r="R283">
        <v>9656.4</v>
      </c>
    </row>
    <row r="284" spans="1:18" x14ac:dyDescent="0.25">
      <c r="A284" t="s">
        <v>641</v>
      </c>
      <c r="B284" t="s">
        <v>642</v>
      </c>
      <c r="C284" t="s">
        <v>621</v>
      </c>
      <c r="D284" t="s">
        <v>622</v>
      </c>
      <c r="E284" t="s">
        <v>22</v>
      </c>
      <c r="F284" t="s">
        <v>281</v>
      </c>
      <c r="G284" s="1">
        <v>45520</v>
      </c>
      <c r="H284" t="s">
        <v>59</v>
      </c>
      <c r="I284">
        <v>23981</v>
      </c>
      <c r="J284">
        <v>19135.61</v>
      </c>
      <c r="K284" t="s">
        <v>25</v>
      </c>
      <c r="L284" t="s">
        <v>72</v>
      </c>
      <c r="M284" t="s">
        <v>42</v>
      </c>
      <c r="N284">
        <v>289</v>
      </c>
      <c r="O284" s="1">
        <v>45582</v>
      </c>
      <c r="P284">
        <v>62</v>
      </c>
      <c r="Q284" t="s">
        <v>38</v>
      </c>
      <c r="R284">
        <v>0</v>
      </c>
    </row>
    <row r="285" spans="1:18" x14ac:dyDescent="0.25">
      <c r="A285" t="s">
        <v>643</v>
      </c>
      <c r="B285" t="s">
        <v>644</v>
      </c>
      <c r="C285" t="s">
        <v>621</v>
      </c>
      <c r="D285" t="s">
        <v>622</v>
      </c>
      <c r="E285" t="s">
        <v>22</v>
      </c>
      <c r="F285" t="s">
        <v>281</v>
      </c>
      <c r="G285" s="1">
        <v>45701</v>
      </c>
      <c r="H285" t="s">
        <v>51</v>
      </c>
      <c r="I285">
        <v>46653.22</v>
      </c>
      <c r="J285">
        <v>12526.32</v>
      </c>
      <c r="K285" t="s">
        <v>86</v>
      </c>
      <c r="L285" t="s">
        <v>67</v>
      </c>
      <c r="M285" t="s">
        <v>27</v>
      </c>
      <c r="N285">
        <v>108</v>
      </c>
      <c r="O285" s="1">
        <v>45742</v>
      </c>
      <c r="P285">
        <v>41</v>
      </c>
      <c r="Q285" t="s">
        <v>28</v>
      </c>
      <c r="R285">
        <v>12526.32</v>
      </c>
    </row>
    <row r="286" spans="1:18" x14ac:dyDescent="0.25">
      <c r="A286" t="s">
        <v>645</v>
      </c>
      <c r="B286" t="s">
        <v>646</v>
      </c>
      <c r="C286" t="s">
        <v>621</v>
      </c>
      <c r="D286" t="s">
        <v>622</v>
      </c>
      <c r="E286" t="s">
        <v>22</v>
      </c>
      <c r="F286" t="s">
        <v>281</v>
      </c>
      <c r="G286" s="1">
        <v>45471</v>
      </c>
      <c r="H286" t="s">
        <v>51</v>
      </c>
      <c r="I286">
        <v>19643.61</v>
      </c>
      <c r="J286">
        <v>7216</v>
      </c>
      <c r="K286" t="s">
        <v>31</v>
      </c>
      <c r="L286" t="s">
        <v>67</v>
      </c>
      <c r="M286" t="s">
        <v>27</v>
      </c>
      <c r="N286">
        <v>338</v>
      </c>
      <c r="O286" s="1">
        <v>45542</v>
      </c>
      <c r="P286">
        <v>71</v>
      </c>
      <c r="Q286" t="s">
        <v>43</v>
      </c>
      <c r="R286">
        <v>5428.13</v>
      </c>
    </row>
    <row r="287" spans="1:18" x14ac:dyDescent="0.25">
      <c r="A287" t="s">
        <v>647</v>
      </c>
      <c r="B287" t="s">
        <v>648</v>
      </c>
      <c r="C287" t="s">
        <v>621</v>
      </c>
      <c r="D287" t="s">
        <v>622</v>
      </c>
      <c r="E287" t="s">
        <v>22</v>
      </c>
      <c r="F287" t="s">
        <v>281</v>
      </c>
      <c r="G287" s="1">
        <v>45454</v>
      </c>
      <c r="H287" t="s">
        <v>24</v>
      </c>
      <c r="I287">
        <v>44738.57</v>
      </c>
      <c r="J287">
        <v>3470.54</v>
      </c>
      <c r="K287" t="s">
        <v>56</v>
      </c>
      <c r="L287" t="s">
        <v>26</v>
      </c>
      <c r="M287" t="s">
        <v>27</v>
      </c>
      <c r="N287">
        <v>355</v>
      </c>
      <c r="O287" s="1">
        <v>45488</v>
      </c>
      <c r="P287">
        <v>34</v>
      </c>
      <c r="Q287" t="s">
        <v>48</v>
      </c>
      <c r="R287">
        <v>839.88</v>
      </c>
    </row>
    <row r="288" spans="1:18" x14ac:dyDescent="0.25">
      <c r="A288" t="s">
        <v>649</v>
      </c>
      <c r="B288" t="s">
        <v>650</v>
      </c>
      <c r="C288" t="s">
        <v>621</v>
      </c>
      <c r="D288" t="s">
        <v>622</v>
      </c>
      <c r="E288" t="s">
        <v>22</v>
      </c>
      <c r="F288" t="s">
        <v>281</v>
      </c>
      <c r="G288" s="1">
        <v>45477</v>
      </c>
      <c r="H288" t="s">
        <v>24</v>
      </c>
      <c r="I288">
        <v>63204.4</v>
      </c>
      <c r="J288">
        <v>29858.720000000001</v>
      </c>
      <c r="K288" t="s">
        <v>31</v>
      </c>
      <c r="L288" t="s">
        <v>32</v>
      </c>
      <c r="M288" t="s">
        <v>42</v>
      </c>
      <c r="N288">
        <v>332</v>
      </c>
      <c r="O288" s="1">
        <v>45522</v>
      </c>
      <c r="P288">
        <v>45</v>
      </c>
      <c r="Q288" t="s">
        <v>38</v>
      </c>
      <c r="R288">
        <v>0</v>
      </c>
    </row>
    <row r="289" spans="1:18" x14ac:dyDescent="0.25">
      <c r="A289" t="s">
        <v>651</v>
      </c>
      <c r="B289" t="s">
        <v>652</v>
      </c>
      <c r="C289" t="s">
        <v>621</v>
      </c>
      <c r="D289" t="s">
        <v>622</v>
      </c>
      <c r="E289" t="s">
        <v>22</v>
      </c>
      <c r="F289" t="s">
        <v>281</v>
      </c>
      <c r="G289" s="1">
        <v>45588</v>
      </c>
      <c r="H289" t="s">
        <v>24</v>
      </c>
      <c r="I289">
        <v>15064.73</v>
      </c>
      <c r="J289">
        <v>1867.35</v>
      </c>
      <c r="K289" t="s">
        <v>25</v>
      </c>
      <c r="L289" t="s">
        <v>46</v>
      </c>
      <c r="M289" t="s">
        <v>27</v>
      </c>
      <c r="N289">
        <v>221</v>
      </c>
      <c r="O289" s="1">
        <v>45641</v>
      </c>
      <c r="P289">
        <v>53</v>
      </c>
      <c r="Q289" t="s">
        <v>43</v>
      </c>
      <c r="R289">
        <v>1134.8499999999999</v>
      </c>
    </row>
    <row r="290" spans="1:18" x14ac:dyDescent="0.25">
      <c r="A290" t="s">
        <v>653</v>
      </c>
      <c r="B290" t="s">
        <v>654</v>
      </c>
      <c r="C290" t="s">
        <v>621</v>
      </c>
      <c r="D290" t="s">
        <v>622</v>
      </c>
      <c r="E290" t="s">
        <v>22</v>
      </c>
      <c r="F290" t="s">
        <v>281</v>
      </c>
      <c r="G290" s="1">
        <v>45455</v>
      </c>
      <c r="H290" t="s">
        <v>77</v>
      </c>
      <c r="I290">
        <v>52544.25</v>
      </c>
      <c r="J290">
        <v>16221.75</v>
      </c>
      <c r="K290" t="s">
        <v>25</v>
      </c>
      <c r="L290" t="s">
        <v>41</v>
      </c>
      <c r="M290" t="s">
        <v>27</v>
      </c>
      <c r="N290">
        <v>354</v>
      </c>
      <c r="O290" s="1">
        <v>45468</v>
      </c>
      <c r="P290">
        <v>13</v>
      </c>
      <c r="Q290" t="s">
        <v>28</v>
      </c>
      <c r="R290">
        <v>16221.75</v>
      </c>
    </row>
    <row r="291" spans="1:18" x14ac:dyDescent="0.25">
      <c r="A291" t="s">
        <v>655</v>
      </c>
      <c r="B291" t="s">
        <v>656</v>
      </c>
      <c r="C291" t="s">
        <v>621</v>
      </c>
      <c r="D291" t="s">
        <v>622</v>
      </c>
      <c r="E291" t="s">
        <v>22</v>
      </c>
      <c r="F291" t="s">
        <v>281</v>
      </c>
      <c r="G291" s="1">
        <v>45736</v>
      </c>
      <c r="H291" t="s">
        <v>59</v>
      </c>
      <c r="I291">
        <v>38091.22</v>
      </c>
      <c r="J291">
        <v>11705.43</v>
      </c>
      <c r="K291" t="s">
        <v>86</v>
      </c>
      <c r="L291" t="s">
        <v>67</v>
      </c>
      <c r="M291" t="s">
        <v>27</v>
      </c>
      <c r="N291">
        <v>73</v>
      </c>
      <c r="O291" s="1">
        <v>45751</v>
      </c>
      <c r="P291">
        <v>15</v>
      </c>
      <c r="Q291" t="s">
        <v>43</v>
      </c>
      <c r="R291">
        <v>7234.63</v>
      </c>
    </row>
    <row r="292" spans="1:18" x14ac:dyDescent="0.25">
      <c r="A292" t="s">
        <v>657</v>
      </c>
      <c r="B292" t="s">
        <v>658</v>
      </c>
      <c r="C292" t="s">
        <v>621</v>
      </c>
      <c r="D292" t="s">
        <v>622</v>
      </c>
      <c r="E292" t="s">
        <v>22</v>
      </c>
      <c r="F292" t="s">
        <v>281</v>
      </c>
      <c r="G292" s="1">
        <v>45645</v>
      </c>
      <c r="H292" t="s">
        <v>77</v>
      </c>
      <c r="I292">
        <v>11381.56</v>
      </c>
      <c r="J292">
        <v>950.5</v>
      </c>
      <c r="K292" t="s">
        <v>86</v>
      </c>
      <c r="L292" t="s">
        <v>52</v>
      </c>
      <c r="M292" t="s">
        <v>27</v>
      </c>
      <c r="N292">
        <v>164</v>
      </c>
      <c r="O292" s="1">
        <v>45734</v>
      </c>
      <c r="P292">
        <v>89</v>
      </c>
      <c r="Q292" t="s">
        <v>118</v>
      </c>
      <c r="R292">
        <v>0</v>
      </c>
    </row>
    <row r="293" spans="1:18" x14ac:dyDescent="0.25">
      <c r="A293" t="s">
        <v>659</v>
      </c>
      <c r="B293" t="s">
        <v>660</v>
      </c>
      <c r="C293" t="s">
        <v>621</v>
      </c>
      <c r="D293" t="s">
        <v>622</v>
      </c>
      <c r="E293" t="s">
        <v>22</v>
      </c>
      <c r="F293" t="s">
        <v>281</v>
      </c>
      <c r="G293" s="1">
        <v>45684</v>
      </c>
      <c r="H293" t="s">
        <v>51</v>
      </c>
      <c r="I293">
        <v>54019.42</v>
      </c>
      <c r="J293">
        <v>25061.38</v>
      </c>
      <c r="K293" t="s">
        <v>31</v>
      </c>
      <c r="L293" t="s">
        <v>67</v>
      </c>
      <c r="M293" t="s">
        <v>27</v>
      </c>
      <c r="N293">
        <v>125</v>
      </c>
      <c r="O293" s="1">
        <v>45738</v>
      </c>
      <c r="P293">
        <v>54</v>
      </c>
      <c r="Q293" t="s">
        <v>43</v>
      </c>
      <c r="R293">
        <v>7814.94</v>
      </c>
    </row>
    <row r="294" spans="1:18" x14ac:dyDescent="0.25">
      <c r="A294" t="s">
        <v>661</v>
      </c>
      <c r="B294" t="s">
        <v>662</v>
      </c>
      <c r="C294" t="s">
        <v>621</v>
      </c>
      <c r="D294" t="s">
        <v>622</v>
      </c>
      <c r="E294" t="s">
        <v>22</v>
      </c>
      <c r="F294" t="s">
        <v>281</v>
      </c>
      <c r="G294" s="1">
        <v>45472</v>
      </c>
      <c r="H294" t="s">
        <v>66</v>
      </c>
      <c r="I294">
        <v>46052.77</v>
      </c>
      <c r="J294">
        <v>3310.93</v>
      </c>
      <c r="K294" t="s">
        <v>31</v>
      </c>
      <c r="L294" t="s">
        <v>67</v>
      </c>
      <c r="M294" t="s">
        <v>27</v>
      </c>
      <c r="N294">
        <v>337</v>
      </c>
      <c r="O294" s="1">
        <v>45524</v>
      </c>
      <c r="P294">
        <v>52</v>
      </c>
      <c r="Q294" t="s">
        <v>28</v>
      </c>
      <c r="R294">
        <v>3310.93</v>
      </c>
    </row>
    <row r="295" spans="1:18" x14ac:dyDescent="0.25">
      <c r="A295" t="s">
        <v>663</v>
      </c>
      <c r="B295" t="s">
        <v>664</v>
      </c>
      <c r="C295" t="s">
        <v>621</v>
      </c>
      <c r="D295" t="s">
        <v>622</v>
      </c>
      <c r="E295" t="s">
        <v>22</v>
      </c>
      <c r="F295" t="s">
        <v>281</v>
      </c>
      <c r="G295" s="1">
        <v>45699</v>
      </c>
      <c r="H295" t="s">
        <v>77</v>
      </c>
      <c r="I295">
        <v>24549.53</v>
      </c>
      <c r="J295">
        <v>15079.4</v>
      </c>
      <c r="K295" t="s">
        <v>86</v>
      </c>
      <c r="L295" t="s">
        <v>26</v>
      </c>
      <c r="M295" t="s">
        <v>47</v>
      </c>
      <c r="N295">
        <v>110</v>
      </c>
      <c r="O295" s="1">
        <v>45770</v>
      </c>
      <c r="P295">
        <v>71</v>
      </c>
      <c r="Q295" t="s">
        <v>28</v>
      </c>
      <c r="R295">
        <v>15079.4</v>
      </c>
    </row>
    <row r="296" spans="1:18" x14ac:dyDescent="0.25">
      <c r="A296" t="s">
        <v>665</v>
      </c>
      <c r="B296" t="s">
        <v>666</v>
      </c>
      <c r="C296" t="s">
        <v>621</v>
      </c>
      <c r="D296" t="s">
        <v>622</v>
      </c>
      <c r="E296" t="s">
        <v>22</v>
      </c>
      <c r="F296" t="s">
        <v>281</v>
      </c>
      <c r="G296" s="1">
        <v>45642</v>
      </c>
      <c r="H296" t="s">
        <v>51</v>
      </c>
      <c r="I296">
        <v>23722.06</v>
      </c>
      <c r="J296">
        <v>3213.54</v>
      </c>
      <c r="K296" t="s">
        <v>86</v>
      </c>
      <c r="L296" t="s">
        <v>52</v>
      </c>
      <c r="M296" t="s">
        <v>27</v>
      </c>
      <c r="N296">
        <v>167</v>
      </c>
      <c r="O296" s="1">
        <v>45723</v>
      </c>
      <c r="P296">
        <v>81</v>
      </c>
      <c r="Q296" t="s">
        <v>28</v>
      </c>
      <c r="R296">
        <v>3213.54</v>
      </c>
    </row>
    <row r="297" spans="1:18" x14ac:dyDescent="0.25">
      <c r="A297" t="s">
        <v>667</v>
      </c>
      <c r="B297" t="s">
        <v>668</v>
      </c>
      <c r="C297" t="s">
        <v>621</v>
      </c>
      <c r="D297" t="s">
        <v>622</v>
      </c>
      <c r="E297" t="s">
        <v>22</v>
      </c>
      <c r="F297" t="s">
        <v>281</v>
      </c>
      <c r="G297" s="1">
        <v>45750</v>
      </c>
      <c r="H297" t="s">
        <v>24</v>
      </c>
      <c r="I297">
        <v>38052.839999999997</v>
      </c>
      <c r="J297">
        <v>26033.41</v>
      </c>
      <c r="K297" t="s">
        <v>31</v>
      </c>
      <c r="L297" t="s">
        <v>41</v>
      </c>
      <c r="M297" t="s">
        <v>42</v>
      </c>
      <c r="N297">
        <v>59</v>
      </c>
      <c r="O297" s="1">
        <v>45790</v>
      </c>
      <c r="P297">
        <v>40</v>
      </c>
      <c r="Q297" t="s">
        <v>28</v>
      </c>
      <c r="R297">
        <v>26033.41</v>
      </c>
    </row>
    <row r="298" spans="1:18" x14ac:dyDescent="0.25">
      <c r="A298" t="s">
        <v>669</v>
      </c>
      <c r="B298" t="s">
        <v>670</v>
      </c>
      <c r="C298" t="s">
        <v>621</v>
      </c>
      <c r="D298" t="s">
        <v>622</v>
      </c>
      <c r="E298" t="s">
        <v>22</v>
      </c>
      <c r="F298" t="s">
        <v>281</v>
      </c>
      <c r="G298" s="1">
        <v>45740</v>
      </c>
      <c r="H298" t="s">
        <v>35</v>
      </c>
      <c r="I298">
        <v>34752.65</v>
      </c>
      <c r="J298">
        <v>7955.91</v>
      </c>
      <c r="K298" t="s">
        <v>25</v>
      </c>
      <c r="L298" t="s">
        <v>36</v>
      </c>
      <c r="M298" t="s">
        <v>27</v>
      </c>
      <c r="N298">
        <v>69</v>
      </c>
      <c r="O298" s="1">
        <v>45796</v>
      </c>
      <c r="P298">
        <v>56</v>
      </c>
      <c r="Q298" t="s">
        <v>43</v>
      </c>
      <c r="R298">
        <v>4335.05</v>
      </c>
    </row>
    <row r="299" spans="1:18" x14ac:dyDescent="0.25">
      <c r="A299" t="s">
        <v>671</v>
      </c>
      <c r="B299" t="s">
        <v>672</v>
      </c>
      <c r="C299" t="s">
        <v>621</v>
      </c>
      <c r="D299" t="s">
        <v>622</v>
      </c>
      <c r="E299" t="s">
        <v>22</v>
      </c>
      <c r="F299" t="s">
        <v>281</v>
      </c>
      <c r="G299" s="1">
        <v>45592</v>
      </c>
      <c r="H299" t="s">
        <v>24</v>
      </c>
      <c r="I299">
        <v>22646.6</v>
      </c>
      <c r="J299">
        <v>11926.29</v>
      </c>
      <c r="K299" t="s">
        <v>86</v>
      </c>
      <c r="L299" t="s">
        <v>36</v>
      </c>
      <c r="M299" t="s">
        <v>27</v>
      </c>
      <c r="N299">
        <v>217</v>
      </c>
      <c r="O299" s="1">
        <v>45657</v>
      </c>
      <c r="P299">
        <v>65</v>
      </c>
      <c r="Q299" t="s">
        <v>28</v>
      </c>
      <c r="R299">
        <v>11926.29</v>
      </c>
    </row>
    <row r="300" spans="1:18" x14ac:dyDescent="0.25">
      <c r="A300" t="s">
        <v>673</v>
      </c>
      <c r="B300" t="s">
        <v>674</v>
      </c>
      <c r="C300" t="s">
        <v>621</v>
      </c>
      <c r="D300" t="s">
        <v>622</v>
      </c>
      <c r="E300" t="s">
        <v>22</v>
      </c>
      <c r="F300" t="s">
        <v>281</v>
      </c>
      <c r="G300" s="1">
        <v>45713</v>
      </c>
      <c r="H300" t="s">
        <v>35</v>
      </c>
      <c r="I300">
        <v>34885.1</v>
      </c>
      <c r="J300">
        <v>13544.17</v>
      </c>
      <c r="K300" t="s">
        <v>25</v>
      </c>
      <c r="L300" t="s">
        <v>72</v>
      </c>
      <c r="M300" t="s">
        <v>27</v>
      </c>
      <c r="N300">
        <v>96</v>
      </c>
      <c r="O300" s="1">
        <v>45740</v>
      </c>
      <c r="P300">
        <v>27</v>
      </c>
      <c r="Q300" t="s">
        <v>118</v>
      </c>
      <c r="R300">
        <v>0</v>
      </c>
    </row>
    <row r="301" spans="1:18" x14ac:dyDescent="0.25">
      <c r="A301" t="s">
        <v>675</v>
      </c>
      <c r="B301" t="s">
        <v>676</v>
      </c>
      <c r="C301" t="s">
        <v>621</v>
      </c>
      <c r="D301" t="s">
        <v>622</v>
      </c>
      <c r="E301" t="s">
        <v>22</v>
      </c>
      <c r="F301" t="s">
        <v>281</v>
      </c>
      <c r="G301" s="1">
        <v>45521</v>
      </c>
      <c r="H301" t="s">
        <v>51</v>
      </c>
      <c r="I301">
        <v>53016.61</v>
      </c>
      <c r="J301">
        <v>22332.05</v>
      </c>
      <c r="K301" t="s">
        <v>86</v>
      </c>
      <c r="L301" t="s">
        <v>67</v>
      </c>
      <c r="M301" t="s">
        <v>27</v>
      </c>
      <c r="N301">
        <v>288</v>
      </c>
      <c r="O301" s="1">
        <v>45534</v>
      </c>
      <c r="P301">
        <v>13</v>
      </c>
      <c r="Q301" t="s">
        <v>43</v>
      </c>
      <c r="R301">
        <v>15130.6</v>
      </c>
    </row>
    <row r="302" spans="1:18" x14ac:dyDescent="0.25">
      <c r="A302" t="s">
        <v>677</v>
      </c>
      <c r="B302" t="s">
        <v>678</v>
      </c>
      <c r="C302" t="s">
        <v>621</v>
      </c>
      <c r="D302" t="s">
        <v>622</v>
      </c>
      <c r="E302" t="s">
        <v>22</v>
      </c>
      <c r="F302" t="s">
        <v>281</v>
      </c>
      <c r="G302" s="1">
        <v>45696</v>
      </c>
      <c r="H302" t="s">
        <v>66</v>
      </c>
      <c r="I302">
        <v>32748.54</v>
      </c>
      <c r="J302">
        <v>8388.2000000000007</v>
      </c>
      <c r="K302" t="s">
        <v>31</v>
      </c>
      <c r="L302" t="s">
        <v>67</v>
      </c>
      <c r="M302" t="s">
        <v>27</v>
      </c>
      <c r="N302">
        <v>113</v>
      </c>
      <c r="O302" s="1">
        <v>45797</v>
      </c>
      <c r="P302">
        <v>101</v>
      </c>
      <c r="Q302" t="s">
        <v>48</v>
      </c>
      <c r="R302">
        <v>2683.31</v>
      </c>
    </row>
    <row r="303" spans="1:18" x14ac:dyDescent="0.25">
      <c r="A303" t="s">
        <v>679</v>
      </c>
      <c r="B303" t="s">
        <v>680</v>
      </c>
      <c r="C303" t="s">
        <v>681</v>
      </c>
      <c r="D303" t="s">
        <v>682</v>
      </c>
      <c r="E303" t="s">
        <v>93</v>
      </c>
      <c r="F303" t="s">
        <v>23</v>
      </c>
      <c r="G303" s="1">
        <v>45671</v>
      </c>
      <c r="H303" t="s">
        <v>77</v>
      </c>
      <c r="I303">
        <v>78635.740000000005</v>
      </c>
      <c r="J303">
        <v>52486.38</v>
      </c>
      <c r="K303" t="s">
        <v>31</v>
      </c>
      <c r="L303" t="s">
        <v>67</v>
      </c>
      <c r="M303" t="s">
        <v>27</v>
      </c>
      <c r="N303">
        <v>138</v>
      </c>
      <c r="O303" s="1">
        <v>45728</v>
      </c>
      <c r="P303">
        <v>57</v>
      </c>
      <c r="Q303" t="s">
        <v>28</v>
      </c>
      <c r="R303">
        <v>52486.38</v>
      </c>
    </row>
    <row r="304" spans="1:18" x14ac:dyDescent="0.25">
      <c r="A304" t="s">
        <v>683</v>
      </c>
      <c r="B304" t="s">
        <v>684</v>
      </c>
      <c r="C304" t="s">
        <v>681</v>
      </c>
      <c r="D304" t="s">
        <v>682</v>
      </c>
      <c r="E304" t="s">
        <v>93</v>
      </c>
      <c r="F304" t="s">
        <v>23</v>
      </c>
      <c r="G304" s="1">
        <v>45474</v>
      </c>
      <c r="H304" t="s">
        <v>51</v>
      </c>
      <c r="I304">
        <v>76377.820000000007</v>
      </c>
      <c r="J304">
        <v>20872.66</v>
      </c>
      <c r="K304" t="s">
        <v>56</v>
      </c>
      <c r="L304" t="s">
        <v>41</v>
      </c>
      <c r="M304" t="s">
        <v>27</v>
      </c>
      <c r="N304">
        <v>335</v>
      </c>
      <c r="O304" s="1">
        <v>45581</v>
      </c>
      <c r="P304">
        <v>107</v>
      </c>
      <c r="Q304" t="s">
        <v>28</v>
      </c>
      <c r="R304">
        <v>20872.66</v>
      </c>
    </row>
    <row r="305" spans="1:18" x14ac:dyDescent="0.25">
      <c r="A305" t="s">
        <v>685</v>
      </c>
      <c r="B305" t="s">
        <v>686</v>
      </c>
      <c r="C305" t="s">
        <v>681</v>
      </c>
      <c r="D305" t="s">
        <v>682</v>
      </c>
      <c r="E305" t="s">
        <v>93</v>
      </c>
      <c r="F305" t="s">
        <v>23</v>
      </c>
      <c r="G305" s="1">
        <v>45748</v>
      </c>
      <c r="H305" t="s">
        <v>59</v>
      </c>
      <c r="I305">
        <v>78685.009999999995</v>
      </c>
      <c r="J305">
        <v>17917.330000000002</v>
      </c>
      <c r="K305" t="s">
        <v>86</v>
      </c>
      <c r="L305" t="s">
        <v>52</v>
      </c>
      <c r="M305" t="s">
        <v>42</v>
      </c>
      <c r="N305">
        <v>61</v>
      </c>
      <c r="O305" s="1">
        <v>45790</v>
      </c>
      <c r="P305">
        <v>42</v>
      </c>
      <c r="Q305" t="s">
        <v>43</v>
      </c>
      <c r="R305">
        <v>5367.83</v>
      </c>
    </row>
    <row r="306" spans="1:18" x14ac:dyDescent="0.25">
      <c r="A306" t="s">
        <v>687</v>
      </c>
      <c r="B306" t="s">
        <v>688</v>
      </c>
      <c r="C306" t="s">
        <v>681</v>
      </c>
      <c r="D306" t="s">
        <v>682</v>
      </c>
      <c r="E306" t="s">
        <v>93</v>
      </c>
      <c r="F306" t="s">
        <v>23</v>
      </c>
      <c r="G306" s="1">
        <v>45737</v>
      </c>
      <c r="H306" t="s">
        <v>59</v>
      </c>
      <c r="I306">
        <v>79560.679999999993</v>
      </c>
      <c r="J306">
        <v>52521.78</v>
      </c>
      <c r="K306" t="s">
        <v>86</v>
      </c>
      <c r="L306" t="s">
        <v>52</v>
      </c>
      <c r="M306" t="s">
        <v>27</v>
      </c>
      <c r="N306">
        <v>72</v>
      </c>
      <c r="O306" s="1">
        <v>45808</v>
      </c>
      <c r="P306">
        <v>71</v>
      </c>
      <c r="Q306" t="s">
        <v>28</v>
      </c>
      <c r="R306">
        <v>52521.78</v>
      </c>
    </row>
    <row r="307" spans="1:18" x14ac:dyDescent="0.25">
      <c r="A307" t="s">
        <v>689</v>
      </c>
      <c r="B307" t="s">
        <v>690</v>
      </c>
      <c r="C307" t="s">
        <v>681</v>
      </c>
      <c r="D307" t="s">
        <v>682</v>
      </c>
      <c r="E307" t="s">
        <v>93</v>
      </c>
      <c r="F307" t="s">
        <v>23</v>
      </c>
      <c r="G307" s="1">
        <v>45448</v>
      </c>
      <c r="H307" t="s">
        <v>59</v>
      </c>
      <c r="I307">
        <v>32800.300000000003</v>
      </c>
      <c r="J307">
        <v>15729.44</v>
      </c>
      <c r="K307" t="s">
        <v>56</v>
      </c>
      <c r="L307" t="s">
        <v>26</v>
      </c>
      <c r="M307" t="s">
        <v>27</v>
      </c>
      <c r="N307">
        <v>361</v>
      </c>
      <c r="O307" s="1">
        <v>45547</v>
      </c>
      <c r="P307">
        <v>99</v>
      </c>
      <c r="Q307" t="s">
        <v>48</v>
      </c>
      <c r="R307">
        <v>7353.63</v>
      </c>
    </row>
    <row r="308" spans="1:18" x14ac:dyDescent="0.25">
      <c r="A308" t="s">
        <v>691</v>
      </c>
      <c r="B308" t="s">
        <v>692</v>
      </c>
      <c r="C308" t="s">
        <v>681</v>
      </c>
      <c r="D308" t="s">
        <v>682</v>
      </c>
      <c r="E308" t="s">
        <v>93</v>
      </c>
      <c r="F308" t="s">
        <v>23</v>
      </c>
      <c r="G308" s="1">
        <v>45667</v>
      </c>
      <c r="H308" t="s">
        <v>66</v>
      </c>
      <c r="I308">
        <v>87369.52</v>
      </c>
      <c r="J308">
        <v>12683.09</v>
      </c>
      <c r="K308" t="s">
        <v>86</v>
      </c>
      <c r="L308" t="s">
        <v>36</v>
      </c>
      <c r="M308" t="s">
        <v>47</v>
      </c>
      <c r="N308">
        <v>142</v>
      </c>
      <c r="O308" s="1">
        <v>45776</v>
      </c>
      <c r="P308">
        <v>109</v>
      </c>
      <c r="Q308" t="s">
        <v>28</v>
      </c>
      <c r="R308">
        <v>12683.09</v>
      </c>
    </row>
    <row r="309" spans="1:18" x14ac:dyDescent="0.25">
      <c r="A309" t="s">
        <v>693</v>
      </c>
      <c r="B309" t="s">
        <v>694</v>
      </c>
      <c r="C309" t="s">
        <v>681</v>
      </c>
      <c r="D309" t="s">
        <v>682</v>
      </c>
      <c r="E309" t="s">
        <v>93</v>
      </c>
      <c r="F309" t="s">
        <v>23</v>
      </c>
      <c r="G309" s="1">
        <v>45462</v>
      </c>
      <c r="H309" t="s">
        <v>24</v>
      </c>
      <c r="I309">
        <v>42306.57</v>
      </c>
      <c r="J309">
        <v>6626.42</v>
      </c>
      <c r="K309" t="s">
        <v>31</v>
      </c>
      <c r="L309" t="s">
        <v>32</v>
      </c>
      <c r="M309" t="s">
        <v>27</v>
      </c>
      <c r="N309">
        <v>347</v>
      </c>
      <c r="O309" s="1">
        <v>45474</v>
      </c>
      <c r="P309">
        <v>12</v>
      </c>
      <c r="Q309" t="s">
        <v>43</v>
      </c>
      <c r="R309">
        <v>4824.53</v>
      </c>
    </row>
    <row r="310" spans="1:18" x14ac:dyDescent="0.25">
      <c r="A310" t="s">
        <v>695</v>
      </c>
      <c r="B310" t="s">
        <v>696</v>
      </c>
      <c r="C310" t="s">
        <v>681</v>
      </c>
      <c r="D310" t="s">
        <v>682</v>
      </c>
      <c r="E310" t="s">
        <v>93</v>
      </c>
      <c r="F310" t="s">
        <v>23</v>
      </c>
      <c r="G310" s="1">
        <v>45761</v>
      </c>
      <c r="H310" t="s">
        <v>35</v>
      </c>
      <c r="I310">
        <v>43270.82</v>
      </c>
      <c r="J310">
        <v>26496.959999999999</v>
      </c>
      <c r="K310" t="s">
        <v>86</v>
      </c>
      <c r="L310" t="s">
        <v>67</v>
      </c>
      <c r="M310" t="s">
        <v>42</v>
      </c>
      <c r="N310">
        <v>48</v>
      </c>
      <c r="O310" s="1">
        <v>45784</v>
      </c>
      <c r="P310">
        <v>23</v>
      </c>
      <c r="Q310" t="s">
        <v>43</v>
      </c>
      <c r="R310">
        <v>19113.439999999999</v>
      </c>
    </row>
    <row r="311" spans="1:18" x14ac:dyDescent="0.25">
      <c r="A311" t="s">
        <v>697</v>
      </c>
      <c r="B311" t="s">
        <v>698</v>
      </c>
      <c r="C311" t="s">
        <v>681</v>
      </c>
      <c r="D311" t="s">
        <v>682</v>
      </c>
      <c r="E311" t="s">
        <v>93</v>
      </c>
      <c r="F311" t="s">
        <v>23</v>
      </c>
      <c r="G311" s="1">
        <v>45761</v>
      </c>
      <c r="H311" t="s">
        <v>35</v>
      </c>
      <c r="I311">
        <v>74438.53</v>
      </c>
      <c r="J311">
        <v>29316.639999999999</v>
      </c>
      <c r="K311" t="s">
        <v>86</v>
      </c>
      <c r="L311" t="s">
        <v>26</v>
      </c>
      <c r="M311" t="s">
        <v>47</v>
      </c>
      <c r="N311">
        <v>48</v>
      </c>
      <c r="O311" s="1">
        <v>45789</v>
      </c>
      <c r="P311">
        <v>28</v>
      </c>
      <c r="Q311" t="s">
        <v>28</v>
      </c>
      <c r="R311">
        <v>29316.639999999999</v>
      </c>
    </row>
    <row r="312" spans="1:18" x14ac:dyDescent="0.25">
      <c r="A312" t="s">
        <v>699</v>
      </c>
      <c r="B312" t="s">
        <v>700</v>
      </c>
      <c r="C312" t="s">
        <v>681</v>
      </c>
      <c r="D312" t="s">
        <v>682</v>
      </c>
      <c r="E312" t="s">
        <v>93</v>
      </c>
      <c r="F312" t="s">
        <v>23</v>
      </c>
      <c r="G312" s="1">
        <v>45589</v>
      </c>
      <c r="H312" t="s">
        <v>35</v>
      </c>
      <c r="I312">
        <v>83360.53</v>
      </c>
      <c r="J312">
        <v>35097.800000000003</v>
      </c>
      <c r="K312" t="s">
        <v>31</v>
      </c>
      <c r="L312" t="s">
        <v>52</v>
      </c>
      <c r="M312" t="s">
        <v>27</v>
      </c>
      <c r="N312">
        <v>220</v>
      </c>
      <c r="O312" s="1">
        <v>45608</v>
      </c>
      <c r="P312">
        <v>19</v>
      </c>
      <c r="Q312" t="s">
        <v>43</v>
      </c>
      <c r="R312">
        <v>17240.14</v>
      </c>
    </row>
    <row r="313" spans="1:18" x14ac:dyDescent="0.25">
      <c r="A313" t="s">
        <v>701</v>
      </c>
      <c r="B313" t="s">
        <v>702</v>
      </c>
      <c r="C313" t="s">
        <v>681</v>
      </c>
      <c r="D313" t="s">
        <v>682</v>
      </c>
      <c r="E313" t="s">
        <v>93</v>
      </c>
      <c r="F313" t="s">
        <v>23</v>
      </c>
      <c r="G313" s="1">
        <v>45633</v>
      </c>
      <c r="H313" t="s">
        <v>24</v>
      </c>
      <c r="I313">
        <v>89944.69</v>
      </c>
      <c r="J313">
        <v>55917.760000000002</v>
      </c>
      <c r="K313" t="s">
        <v>25</v>
      </c>
      <c r="L313" t="s">
        <v>67</v>
      </c>
      <c r="M313" t="s">
        <v>37</v>
      </c>
      <c r="N313">
        <v>176</v>
      </c>
      <c r="Q313" t="s">
        <v>38</v>
      </c>
      <c r="R313">
        <v>0</v>
      </c>
    </row>
    <row r="314" spans="1:18" x14ac:dyDescent="0.25">
      <c r="A314" t="s">
        <v>703</v>
      </c>
      <c r="B314" t="s">
        <v>704</v>
      </c>
      <c r="C314" t="s">
        <v>681</v>
      </c>
      <c r="D314" t="s">
        <v>682</v>
      </c>
      <c r="E314" t="s">
        <v>93</v>
      </c>
      <c r="F314" t="s">
        <v>23</v>
      </c>
      <c r="G314" s="1">
        <v>45728</v>
      </c>
      <c r="H314" t="s">
        <v>66</v>
      </c>
      <c r="I314">
        <v>46922.17</v>
      </c>
      <c r="J314">
        <v>2369.9</v>
      </c>
      <c r="K314" t="s">
        <v>56</v>
      </c>
      <c r="L314" t="s">
        <v>36</v>
      </c>
      <c r="M314" t="s">
        <v>42</v>
      </c>
      <c r="N314">
        <v>81</v>
      </c>
      <c r="O314" s="1">
        <v>45769</v>
      </c>
      <c r="P314">
        <v>41</v>
      </c>
      <c r="Q314" t="s">
        <v>28</v>
      </c>
      <c r="R314">
        <v>2369.9</v>
      </c>
    </row>
    <row r="315" spans="1:18" x14ac:dyDescent="0.25">
      <c r="A315" t="s">
        <v>705</v>
      </c>
      <c r="B315" t="s">
        <v>706</v>
      </c>
      <c r="C315" t="s">
        <v>681</v>
      </c>
      <c r="D315" t="s">
        <v>682</v>
      </c>
      <c r="E315" t="s">
        <v>93</v>
      </c>
      <c r="F315" t="s">
        <v>23</v>
      </c>
      <c r="G315" s="1">
        <v>45668</v>
      </c>
      <c r="H315" t="s">
        <v>24</v>
      </c>
      <c r="I315">
        <v>13867.3</v>
      </c>
      <c r="J315">
        <v>4442.0600000000004</v>
      </c>
      <c r="K315" t="s">
        <v>25</v>
      </c>
      <c r="L315" t="s">
        <v>36</v>
      </c>
      <c r="M315" t="s">
        <v>53</v>
      </c>
      <c r="N315">
        <v>141</v>
      </c>
      <c r="Q315" t="s">
        <v>38</v>
      </c>
      <c r="R315">
        <v>0</v>
      </c>
    </row>
    <row r="316" spans="1:18" x14ac:dyDescent="0.25">
      <c r="A316" t="s">
        <v>707</v>
      </c>
      <c r="B316" t="s">
        <v>708</v>
      </c>
      <c r="C316" t="s">
        <v>681</v>
      </c>
      <c r="D316" t="s">
        <v>682</v>
      </c>
      <c r="E316" t="s">
        <v>93</v>
      </c>
      <c r="F316" t="s">
        <v>23</v>
      </c>
      <c r="G316" s="1">
        <v>45488</v>
      </c>
      <c r="H316" t="s">
        <v>24</v>
      </c>
      <c r="I316">
        <v>34023.379999999997</v>
      </c>
      <c r="J316">
        <v>19549.189999999999</v>
      </c>
      <c r="K316" t="s">
        <v>25</v>
      </c>
      <c r="L316" t="s">
        <v>26</v>
      </c>
      <c r="M316" t="s">
        <v>47</v>
      </c>
      <c r="N316">
        <v>321</v>
      </c>
      <c r="O316" s="1">
        <v>45491</v>
      </c>
      <c r="P316">
        <v>3</v>
      </c>
      <c r="Q316" t="s">
        <v>28</v>
      </c>
      <c r="R316">
        <v>19549.189999999999</v>
      </c>
    </row>
    <row r="317" spans="1:18" x14ac:dyDescent="0.25">
      <c r="A317" t="s">
        <v>709</v>
      </c>
      <c r="B317" t="s">
        <v>710</v>
      </c>
      <c r="C317" t="s">
        <v>681</v>
      </c>
      <c r="D317" t="s">
        <v>682</v>
      </c>
      <c r="E317" t="s">
        <v>93</v>
      </c>
      <c r="F317" t="s">
        <v>23</v>
      </c>
      <c r="G317" s="1">
        <v>45769</v>
      </c>
      <c r="H317" t="s">
        <v>77</v>
      </c>
      <c r="I317">
        <v>17606.48</v>
      </c>
      <c r="J317">
        <v>3867.14</v>
      </c>
      <c r="K317" t="s">
        <v>86</v>
      </c>
      <c r="L317" t="s">
        <v>72</v>
      </c>
      <c r="M317" t="s">
        <v>27</v>
      </c>
      <c r="N317">
        <v>40</v>
      </c>
      <c r="O317" s="1">
        <v>45779</v>
      </c>
      <c r="P317">
        <v>10</v>
      </c>
      <c r="Q317" t="s">
        <v>38</v>
      </c>
      <c r="R317">
        <v>0</v>
      </c>
    </row>
    <row r="318" spans="1:18" x14ac:dyDescent="0.25">
      <c r="A318" t="s">
        <v>711</v>
      </c>
      <c r="B318" t="s">
        <v>712</v>
      </c>
      <c r="C318" t="s">
        <v>681</v>
      </c>
      <c r="D318" t="s">
        <v>682</v>
      </c>
      <c r="E318" t="s">
        <v>93</v>
      </c>
      <c r="F318" t="s">
        <v>23</v>
      </c>
      <c r="G318" s="1">
        <v>45592</v>
      </c>
      <c r="H318" t="s">
        <v>77</v>
      </c>
      <c r="I318">
        <v>70932.95</v>
      </c>
      <c r="J318">
        <v>28960.16</v>
      </c>
      <c r="K318" t="s">
        <v>25</v>
      </c>
      <c r="L318" t="s">
        <v>26</v>
      </c>
      <c r="M318" t="s">
        <v>27</v>
      </c>
      <c r="N318">
        <v>217</v>
      </c>
      <c r="O318" s="1">
        <v>45642</v>
      </c>
      <c r="P318">
        <v>50</v>
      </c>
      <c r="Q318" t="s">
        <v>118</v>
      </c>
      <c r="R318">
        <v>0</v>
      </c>
    </row>
    <row r="319" spans="1:18" x14ac:dyDescent="0.25">
      <c r="A319" t="s">
        <v>713</v>
      </c>
      <c r="B319" t="s">
        <v>714</v>
      </c>
      <c r="C319" t="s">
        <v>681</v>
      </c>
      <c r="D319" t="s">
        <v>682</v>
      </c>
      <c r="E319" t="s">
        <v>93</v>
      </c>
      <c r="F319" t="s">
        <v>23</v>
      </c>
      <c r="G319" s="1">
        <v>45738</v>
      </c>
      <c r="H319" t="s">
        <v>24</v>
      </c>
      <c r="I319">
        <v>41358.5</v>
      </c>
      <c r="J319">
        <v>27297.68</v>
      </c>
      <c r="K319" t="s">
        <v>86</v>
      </c>
      <c r="L319" t="s">
        <v>36</v>
      </c>
      <c r="M319" t="s">
        <v>37</v>
      </c>
      <c r="N319">
        <v>71</v>
      </c>
      <c r="Q319" t="s">
        <v>38</v>
      </c>
      <c r="R319">
        <v>0</v>
      </c>
    </row>
    <row r="320" spans="1:18" x14ac:dyDescent="0.25">
      <c r="A320" t="s">
        <v>715</v>
      </c>
      <c r="B320" t="s">
        <v>716</v>
      </c>
      <c r="C320" t="s">
        <v>681</v>
      </c>
      <c r="D320" t="s">
        <v>682</v>
      </c>
      <c r="E320" t="s">
        <v>93</v>
      </c>
      <c r="F320" t="s">
        <v>23</v>
      </c>
      <c r="G320" s="1">
        <v>45520</v>
      </c>
      <c r="H320" t="s">
        <v>24</v>
      </c>
      <c r="I320">
        <v>5805.1</v>
      </c>
      <c r="J320">
        <v>3120.33</v>
      </c>
      <c r="K320" t="s">
        <v>31</v>
      </c>
      <c r="L320" t="s">
        <v>46</v>
      </c>
      <c r="M320" t="s">
        <v>27</v>
      </c>
      <c r="N320">
        <v>289</v>
      </c>
      <c r="O320" s="1">
        <v>45542</v>
      </c>
      <c r="P320">
        <v>22</v>
      </c>
      <c r="Q320" t="s">
        <v>118</v>
      </c>
      <c r="R320">
        <v>0</v>
      </c>
    </row>
    <row r="321" spans="1:18" x14ac:dyDescent="0.25">
      <c r="A321" t="s">
        <v>717</v>
      </c>
      <c r="B321" t="s">
        <v>718</v>
      </c>
      <c r="C321" t="s">
        <v>681</v>
      </c>
      <c r="D321" t="s">
        <v>682</v>
      </c>
      <c r="E321" t="s">
        <v>93</v>
      </c>
      <c r="F321" t="s">
        <v>23</v>
      </c>
      <c r="G321" s="1">
        <v>45493</v>
      </c>
      <c r="H321" t="s">
        <v>77</v>
      </c>
      <c r="I321">
        <v>70223.789999999994</v>
      </c>
      <c r="J321">
        <v>48803.56</v>
      </c>
      <c r="K321" t="s">
        <v>25</v>
      </c>
      <c r="L321" t="s">
        <v>36</v>
      </c>
      <c r="M321" t="s">
        <v>47</v>
      </c>
      <c r="N321">
        <v>316</v>
      </c>
      <c r="O321" s="1">
        <v>45571</v>
      </c>
      <c r="P321">
        <v>78</v>
      </c>
      <c r="Q321" t="s">
        <v>48</v>
      </c>
      <c r="R321">
        <v>11742.83</v>
      </c>
    </row>
    <row r="322" spans="1:18" x14ac:dyDescent="0.25">
      <c r="A322" t="s">
        <v>719</v>
      </c>
      <c r="B322" t="s">
        <v>720</v>
      </c>
      <c r="C322" t="s">
        <v>681</v>
      </c>
      <c r="D322" t="s">
        <v>682</v>
      </c>
      <c r="E322" t="s">
        <v>93</v>
      </c>
      <c r="F322" t="s">
        <v>23</v>
      </c>
      <c r="G322" s="1">
        <v>45589</v>
      </c>
      <c r="H322" t="s">
        <v>77</v>
      </c>
      <c r="I322">
        <v>34877.85</v>
      </c>
      <c r="J322">
        <v>5401.62</v>
      </c>
      <c r="K322" t="s">
        <v>31</v>
      </c>
      <c r="L322" t="s">
        <v>46</v>
      </c>
      <c r="M322" t="s">
        <v>27</v>
      </c>
      <c r="N322">
        <v>220</v>
      </c>
      <c r="O322" s="1">
        <v>45668</v>
      </c>
      <c r="P322">
        <v>79</v>
      </c>
      <c r="Q322" t="s">
        <v>48</v>
      </c>
      <c r="R322">
        <v>1155.78</v>
      </c>
    </row>
    <row r="323" spans="1:18" x14ac:dyDescent="0.25">
      <c r="A323" t="s">
        <v>721</v>
      </c>
      <c r="B323" t="s">
        <v>722</v>
      </c>
      <c r="C323" t="s">
        <v>681</v>
      </c>
      <c r="D323" t="s">
        <v>682</v>
      </c>
      <c r="E323" t="s">
        <v>93</v>
      </c>
      <c r="F323" t="s">
        <v>23</v>
      </c>
      <c r="G323" s="1">
        <v>45455</v>
      </c>
      <c r="H323" t="s">
        <v>66</v>
      </c>
      <c r="I323">
        <v>7548.32</v>
      </c>
      <c r="J323">
        <v>5172.88</v>
      </c>
      <c r="K323" t="s">
        <v>86</v>
      </c>
      <c r="L323" t="s">
        <v>46</v>
      </c>
      <c r="M323" t="s">
        <v>47</v>
      </c>
      <c r="N323">
        <v>354</v>
      </c>
      <c r="O323" s="1">
        <v>45495</v>
      </c>
      <c r="P323">
        <v>40</v>
      </c>
      <c r="Q323" t="s">
        <v>43</v>
      </c>
      <c r="R323">
        <v>3467.28</v>
      </c>
    </row>
    <row r="324" spans="1:18" x14ac:dyDescent="0.25">
      <c r="A324" t="s">
        <v>723</v>
      </c>
      <c r="B324" t="s">
        <v>724</v>
      </c>
      <c r="C324" t="s">
        <v>681</v>
      </c>
      <c r="D324" t="s">
        <v>682</v>
      </c>
      <c r="E324" t="s">
        <v>93</v>
      </c>
      <c r="F324" t="s">
        <v>23</v>
      </c>
      <c r="G324" s="1">
        <v>45686</v>
      </c>
      <c r="H324" t="s">
        <v>59</v>
      </c>
      <c r="I324">
        <v>52014.33</v>
      </c>
      <c r="J324">
        <v>6998.93</v>
      </c>
      <c r="K324" t="s">
        <v>31</v>
      </c>
      <c r="L324" t="s">
        <v>26</v>
      </c>
      <c r="M324" t="s">
        <v>27</v>
      </c>
      <c r="N324">
        <v>123</v>
      </c>
      <c r="O324" s="1">
        <v>45690</v>
      </c>
      <c r="P324">
        <v>4</v>
      </c>
      <c r="Q324" t="s">
        <v>38</v>
      </c>
      <c r="R324">
        <v>0</v>
      </c>
    </row>
    <row r="325" spans="1:18" x14ac:dyDescent="0.25">
      <c r="A325" t="s">
        <v>725</v>
      </c>
      <c r="B325" t="s">
        <v>726</v>
      </c>
      <c r="C325" t="s">
        <v>681</v>
      </c>
      <c r="D325" t="s">
        <v>682</v>
      </c>
      <c r="E325" t="s">
        <v>93</v>
      </c>
      <c r="F325" t="s">
        <v>23</v>
      </c>
      <c r="G325" s="1">
        <v>45646</v>
      </c>
      <c r="H325" t="s">
        <v>35</v>
      </c>
      <c r="I325">
        <v>17538.37</v>
      </c>
      <c r="J325">
        <v>12199.87</v>
      </c>
      <c r="K325" t="s">
        <v>31</v>
      </c>
      <c r="L325" t="s">
        <v>36</v>
      </c>
      <c r="M325" t="s">
        <v>47</v>
      </c>
      <c r="N325">
        <v>163</v>
      </c>
      <c r="O325" s="1">
        <v>45747</v>
      </c>
      <c r="P325">
        <v>101</v>
      </c>
      <c r="Q325" t="s">
        <v>28</v>
      </c>
      <c r="R325">
        <v>12199.87</v>
      </c>
    </row>
    <row r="326" spans="1:18" x14ac:dyDescent="0.25">
      <c r="A326" t="s">
        <v>727</v>
      </c>
      <c r="B326" t="s">
        <v>728</v>
      </c>
      <c r="C326" t="s">
        <v>729</v>
      </c>
      <c r="D326" t="s">
        <v>730</v>
      </c>
      <c r="E326" t="s">
        <v>151</v>
      </c>
      <c r="F326" t="s">
        <v>281</v>
      </c>
      <c r="G326" s="1">
        <v>45801</v>
      </c>
      <c r="H326" t="s">
        <v>51</v>
      </c>
      <c r="I326">
        <v>29907.599999999999</v>
      </c>
      <c r="J326">
        <v>2388.7199999999998</v>
      </c>
      <c r="K326" t="s">
        <v>25</v>
      </c>
      <c r="L326" t="s">
        <v>41</v>
      </c>
      <c r="M326" t="s">
        <v>37</v>
      </c>
      <c r="N326">
        <v>8</v>
      </c>
      <c r="Q326" t="s">
        <v>38</v>
      </c>
      <c r="R326">
        <v>0</v>
      </c>
    </row>
    <row r="327" spans="1:18" x14ac:dyDescent="0.25">
      <c r="A327" t="s">
        <v>731</v>
      </c>
      <c r="B327" t="s">
        <v>732</v>
      </c>
      <c r="C327" t="s">
        <v>729</v>
      </c>
      <c r="D327" t="s">
        <v>730</v>
      </c>
      <c r="E327" t="s">
        <v>151</v>
      </c>
      <c r="F327" t="s">
        <v>281</v>
      </c>
      <c r="G327" s="1">
        <v>45552</v>
      </c>
      <c r="H327" t="s">
        <v>24</v>
      </c>
      <c r="I327">
        <v>77875.45</v>
      </c>
      <c r="J327">
        <v>28633.360000000001</v>
      </c>
      <c r="K327" t="s">
        <v>31</v>
      </c>
      <c r="L327" t="s">
        <v>36</v>
      </c>
      <c r="M327" t="s">
        <v>27</v>
      </c>
      <c r="N327">
        <v>257</v>
      </c>
      <c r="O327" s="1">
        <v>45594</v>
      </c>
      <c r="P327">
        <v>42</v>
      </c>
      <c r="Q327" t="s">
        <v>28</v>
      </c>
      <c r="R327">
        <v>28633.360000000001</v>
      </c>
    </row>
    <row r="328" spans="1:18" x14ac:dyDescent="0.25">
      <c r="A328" t="s">
        <v>733</v>
      </c>
      <c r="B328" t="s">
        <v>734</v>
      </c>
      <c r="C328" t="s">
        <v>729</v>
      </c>
      <c r="D328" t="s">
        <v>730</v>
      </c>
      <c r="E328" t="s">
        <v>151</v>
      </c>
      <c r="F328" t="s">
        <v>281</v>
      </c>
      <c r="G328" s="1">
        <v>45704</v>
      </c>
      <c r="H328" t="s">
        <v>59</v>
      </c>
      <c r="I328">
        <v>97559.77</v>
      </c>
      <c r="J328">
        <v>16246.91</v>
      </c>
      <c r="K328" t="s">
        <v>31</v>
      </c>
      <c r="L328" t="s">
        <v>26</v>
      </c>
      <c r="M328" t="s">
        <v>27</v>
      </c>
      <c r="N328">
        <v>105</v>
      </c>
      <c r="O328" s="1">
        <v>45762</v>
      </c>
      <c r="P328">
        <v>58</v>
      </c>
      <c r="Q328" t="s">
        <v>48</v>
      </c>
      <c r="R328">
        <v>7125.69</v>
      </c>
    </row>
    <row r="329" spans="1:18" x14ac:dyDescent="0.25">
      <c r="A329" t="s">
        <v>735</v>
      </c>
      <c r="B329" t="s">
        <v>736</v>
      </c>
      <c r="C329" t="s">
        <v>729</v>
      </c>
      <c r="D329" t="s">
        <v>730</v>
      </c>
      <c r="E329" t="s">
        <v>151</v>
      </c>
      <c r="F329" t="s">
        <v>281</v>
      </c>
      <c r="G329" s="1">
        <v>45779</v>
      </c>
      <c r="H329" t="s">
        <v>59</v>
      </c>
      <c r="I329">
        <v>28225.58</v>
      </c>
      <c r="J329">
        <v>20984.89</v>
      </c>
      <c r="K329" t="s">
        <v>25</v>
      </c>
      <c r="L329" t="s">
        <v>72</v>
      </c>
      <c r="M329" t="s">
        <v>37</v>
      </c>
      <c r="N329">
        <v>30</v>
      </c>
      <c r="Q329" t="s">
        <v>38</v>
      </c>
      <c r="R329">
        <v>0</v>
      </c>
    </row>
    <row r="330" spans="1:18" x14ac:dyDescent="0.25">
      <c r="A330" t="s">
        <v>737</v>
      </c>
      <c r="B330" t="s">
        <v>738</v>
      </c>
      <c r="C330" t="s">
        <v>729</v>
      </c>
      <c r="D330" t="s">
        <v>730</v>
      </c>
      <c r="E330" t="s">
        <v>151</v>
      </c>
      <c r="F330" t="s">
        <v>281</v>
      </c>
      <c r="G330" s="1">
        <v>45472</v>
      </c>
      <c r="H330" t="s">
        <v>24</v>
      </c>
      <c r="I330">
        <v>75362.53</v>
      </c>
      <c r="J330">
        <v>10519.27</v>
      </c>
      <c r="K330" t="s">
        <v>86</v>
      </c>
      <c r="L330" t="s">
        <v>72</v>
      </c>
      <c r="M330" t="s">
        <v>27</v>
      </c>
      <c r="N330">
        <v>337</v>
      </c>
      <c r="O330" s="1">
        <v>45519</v>
      </c>
      <c r="P330">
        <v>47</v>
      </c>
      <c r="Q330" t="s">
        <v>43</v>
      </c>
      <c r="R330">
        <v>7045.73</v>
      </c>
    </row>
    <row r="331" spans="1:18" x14ac:dyDescent="0.25">
      <c r="A331" t="s">
        <v>739</v>
      </c>
      <c r="B331" t="s">
        <v>740</v>
      </c>
      <c r="C331" t="s">
        <v>729</v>
      </c>
      <c r="D331" t="s">
        <v>730</v>
      </c>
      <c r="E331" t="s">
        <v>151</v>
      </c>
      <c r="F331" t="s">
        <v>281</v>
      </c>
      <c r="G331" s="1">
        <v>45676</v>
      </c>
      <c r="H331" t="s">
        <v>35</v>
      </c>
      <c r="I331">
        <v>20861.48</v>
      </c>
      <c r="J331">
        <v>3029.04</v>
      </c>
      <c r="K331" t="s">
        <v>86</v>
      </c>
      <c r="L331" t="s">
        <v>26</v>
      </c>
      <c r="M331" t="s">
        <v>47</v>
      </c>
      <c r="N331">
        <v>133</v>
      </c>
      <c r="O331" s="1">
        <v>45682</v>
      </c>
      <c r="P331">
        <v>6</v>
      </c>
      <c r="Q331" t="s">
        <v>28</v>
      </c>
      <c r="R331">
        <v>3029.04</v>
      </c>
    </row>
    <row r="332" spans="1:18" x14ac:dyDescent="0.25">
      <c r="A332" t="s">
        <v>741</v>
      </c>
      <c r="B332" t="s">
        <v>742</v>
      </c>
      <c r="C332" t="s">
        <v>729</v>
      </c>
      <c r="D332" t="s">
        <v>730</v>
      </c>
      <c r="E332" t="s">
        <v>151</v>
      </c>
      <c r="F332" t="s">
        <v>281</v>
      </c>
      <c r="G332" s="1">
        <v>45589</v>
      </c>
      <c r="H332" t="s">
        <v>59</v>
      </c>
      <c r="I332">
        <v>30838.16</v>
      </c>
      <c r="J332">
        <v>3019.18</v>
      </c>
      <c r="K332" t="s">
        <v>86</v>
      </c>
      <c r="L332" t="s">
        <v>26</v>
      </c>
      <c r="M332" t="s">
        <v>27</v>
      </c>
      <c r="N332">
        <v>220</v>
      </c>
      <c r="O332" s="1">
        <v>45657</v>
      </c>
      <c r="P332">
        <v>68</v>
      </c>
      <c r="Q332" t="s">
        <v>28</v>
      </c>
      <c r="R332">
        <v>3019.18</v>
      </c>
    </row>
    <row r="333" spans="1:18" x14ac:dyDescent="0.25">
      <c r="A333" t="s">
        <v>743</v>
      </c>
      <c r="B333" t="s">
        <v>744</v>
      </c>
      <c r="C333" t="s">
        <v>729</v>
      </c>
      <c r="D333" t="s">
        <v>730</v>
      </c>
      <c r="E333" t="s">
        <v>151</v>
      </c>
      <c r="F333" t="s">
        <v>281</v>
      </c>
      <c r="G333" s="1">
        <v>45553</v>
      </c>
      <c r="H333" t="s">
        <v>77</v>
      </c>
      <c r="I333">
        <v>86639.18</v>
      </c>
      <c r="J333">
        <v>15175.81</v>
      </c>
      <c r="K333" t="s">
        <v>25</v>
      </c>
      <c r="L333" t="s">
        <v>26</v>
      </c>
      <c r="M333" t="s">
        <v>27</v>
      </c>
      <c r="N333">
        <v>256</v>
      </c>
      <c r="O333" s="1">
        <v>45621</v>
      </c>
      <c r="P333">
        <v>68</v>
      </c>
      <c r="Q333" t="s">
        <v>28</v>
      </c>
      <c r="R333">
        <v>15175.81</v>
      </c>
    </row>
    <row r="334" spans="1:18" x14ac:dyDescent="0.25">
      <c r="A334" t="s">
        <v>745</v>
      </c>
      <c r="B334" t="s">
        <v>746</v>
      </c>
      <c r="C334" t="s">
        <v>729</v>
      </c>
      <c r="D334" t="s">
        <v>730</v>
      </c>
      <c r="E334" t="s">
        <v>151</v>
      </c>
      <c r="F334" t="s">
        <v>281</v>
      </c>
      <c r="G334" s="1">
        <v>45802</v>
      </c>
      <c r="H334" t="s">
        <v>66</v>
      </c>
      <c r="I334">
        <v>28232.39</v>
      </c>
      <c r="J334">
        <v>11400.9</v>
      </c>
      <c r="K334" t="s">
        <v>31</v>
      </c>
      <c r="L334" t="s">
        <v>36</v>
      </c>
      <c r="M334" t="s">
        <v>53</v>
      </c>
      <c r="N334">
        <v>7</v>
      </c>
      <c r="Q334" t="s">
        <v>38</v>
      </c>
      <c r="R334">
        <v>0</v>
      </c>
    </row>
    <row r="335" spans="1:18" x14ac:dyDescent="0.25">
      <c r="A335" t="s">
        <v>747</v>
      </c>
      <c r="B335" t="s">
        <v>748</v>
      </c>
      <c r="C335" t="s">
        <v>729</v>
      </c>
      <c r="D335" t="s">
        <v>730</v>
      </c>
      <c r="E335" t="s">
        <v>151</v>
      </c>
      <c r="F335" t="s">
        <v>281</v>
      </c>
      <c r="G335" s="1">
        <v>45790</v>
      </c>
      <c r="H335" t="s">
        <v>51</v>
      </c>
      <c r="I335">
        <v>57522.15</v>
      </c>
      <c r="J335">
        <v>42305.279999999999</v>
      </c>
      <c r="K335" t="s">
        <v>86</v>
      </c>
      <c r="L335" t="s">
        <v>46</v>
      </c>
      <c r="M335" t="s">
        <v>37</v>
      </c>
      <c r="N335">
        <v>19</v>
      </c>
      <c r="Q335" t="s">
        <v>38</v>
      </c>
      <c r="R335">
        <v>0</v>
      </c>
    </row>
    <row r="336" spans="1:18" x14ac:dyDescent="0.25">
      <c r="A336" t="s">
        <v>749</v>
      </c>
      <c r="B336" t="s">
        <v>750</v>
      </c>
      <c r="C336" t="s">
        <v>729</v>
      </c>
      <c r="D336" t="s">
        <v>730</v>
      </c>
      <c r="E336" t="s">
        <v>151</v>
      </c>
      <c r="F336" t="s">
        <v>281</v>
      </c>
      <c r="G336" s="1">
        <v>45595</v>
      </c>
      <c r="H336" t="s">
        <v>59</v>
      </c>
      <c r="I336">
        <v>92006.2</v>
      </c>
      <c r="J336">
        <v>26677.32</v>
      </c>
      <c r="K336" t="s">
        <v>86</v>
      </c>
      <c r="L336" t="s">
        <v>52</v>
      </c>
      <c r="M336" t="s">
        <v>27</v>
      </c>
      <c r="N336">
        <v>214</v>
      </c>
      <c r="O336" s="1">
        <v>45684</v>
      </c>
      <c r="P336">
        <v>89</v>
      </c>
      <c r="Q336" t="s">
        <v>118</v>
      </c>
      <c r="R336">
        <v>0</v>
      </c>
    </row>
    <row r="337" spans="1:18" x14ac:dyDescent="0.25">
      <c r="A337" t="s">
        <v>751</v>
      </c>
      <c r="B337" t="s">
        <v>752</v>
      </c>
      <c r="C337" t="s">
        <v>729</v>
      </c>
      <c r="D337" t="s">
        <v>730</v>
      </c>
      <c r="E337" t="s">
        <v>151</v>
      </c>
      <c r="F337" t="s">
        <v>281</v>
      </c>
      <c r="G337" s="1">
        <v>45717</v>
      </c>
      <c r="H337" t="s">
        <v>51</v>
      </c>
      <c r="I337">
        <v>26202.58</v>
      </c>
      <c r="J337">
        <v>11446.09</v>
      </c>
      <c r="K337" t="s">
        <v>25</v>
      </c>
      <c r="L337" t="s">
        <v>26</v>
      </c>
      <c r="M337" t="s">
        <v>42</v>
      </c>
      <c r="N337">
        <v>92</v>
      </c>
      <c r="O337" s="1">
        <v>45756</v>
      </c>
      <c r="P337">
        <v>39</v>
      </c>
      <c r="Q337" t="s">
        <v>48</v>
      </c>
      <c r="R337">
        <v>2567.12</v>
      </c>
    </row>
    <row r="338" spans="1:18" x14ac:dyDescent="0.25">
      <c r="A338" t="s">
        <v>753</v>
      </c>
      <c r="B338" t="s">
        <v>754</v>
      </c>
      <c r="C338" t="s">
        <v>729</v>
      </c>
      <c r="D338" t="s">
        <v>730</v>
      </c>
      <c r="E338" t="s">
        <v>151</v>
      </c>
      <c r="F338" t="s">
        <v>281</v>
      </c>
      <c r="G338" s="1">
        <v>45764</v>
      </c>
      <c r="H338" t="s">
        <v>59</v>
      </c>
      <c r="I338">
        <v>57543.68</v>
      </c>
      <c r="J338">
        <v>3221.12</v>
      </c>
      <c r="K338" t="s">
        <v>25</v>
      </c>
      <c r="L338" t="s">
        <v>41</v>
      </c>
      <c r="M338" t="s">
        <v>47</v>
      </c>
      <c r="N338">
        <v>45</v>
      </c>
      <c r="O338" s="1">
        <v>45782</v>
      </c>
      <c r="P338">
        <v>18</v>
      </c>
      <c r="Q338" t="s">
        <v>43</v>
      </c>
      <c r="R338">
        <v>1787.77</v>
      </c>
    </row>
    <row r="339" spans="1:18" x14ac:dyDescent="0.25">
      <c r="A339" t="s">
        <v>755</v>
      </c>
      <c r="B339" t="s">
        <v>756</v>
      </c>
      <c r="C339" t="s">
        <v>729</v>
      </c>
      <c r="D339" t="s">
        <v>730</v>
      </c>
      <c r="E339" t="s">
        <v>151</v>
      </c>
      <c r="F339" t="s">
        <v>281</v>
      </c>
      <c r="G339" s="1">
        <v>45556</v>
      </c>
      <c r="H339" t="s">
        <v>59</v>
      </c>
      <c r="I339">
        <v>99789.78</v>
      </c>
      <c r="J339">
        <v>63058.61</v>
      </c>
      <c r="K339" t="s">
        <v>86</v>
      </c>
      <c r="L339" t="s">
        <v>46</v>
      </c>
      <c r="M339" t="s">
        <v>27</v>
      </c>
      <c r="N339">
        <v>253</v>
      </c>
      <c r="O339" s="1">
        <v>45611</v>
      </c>
      <c r="P339">
        <v>55</v>
      </c>
      <c r="Q339" t="s">
        <v>28</v>
      </c>
      <c r="R339">
        <v>63058.61</v>
      </c>
    </row>
    <row r="340" spans="1:18" x14ac:dyDescent="0.25">
      <c r="A340" t="s">
        <v>757</v>
      </c>
      <c r="B340" t="s">
        <v>758</v>
      </c>
      <c r="C340" t="s">
        <v>729</v>
      </c>
      <c r="D340" t="s">
        <v>730</v>
      </c>
      <c r="E340" t="s">
        <v>151</v>
      </c>
      <c r="F340" t="s">
        <v>281</v>
      </c>
      <c r="G340" s="1">
        <v>45531</v>
      </c>
      <c r="H340" t="s">
        <v>35</v>
      </c>
      <c r="I340">
        <v>37910.25</v>
      </c>
      <c r="J340">
        <v>25766.86</v>
      </c>
      <c r="K340" t="s">
        <v>86</v>
      </c>
      <c r="L340" t="s">
        <v>72</v>
      </c>
      <c r="M340" t="s">
        <v>47</v>
      </c>
      <c r="N340">
        <v>278</v>
      </c>
      <c r="O340" s="1">
        <v>45582</v>
      </c>
      <c r="P340">
        <v>51</v>
      </c>
      <c r="Q340" t="s">
        <v>118</v>
      </c>
      <c r="R340">
        <v>0</v>
      </c>
    </row>
    <row r="341" spans="1:18" x14ac:dyDescent="0.25">
      <c r="A341" t="s">
        <v>759</v>
      </c>
      <c r="B341" t="s">
        <v>760</v>
      </c>
      <c r="C341" t="s">
        <v>729</v>
      </c>
      <c r="D341" t="s">
        <v>730</v>
      </c>
      <c r="E341" t="s">
        <v>151</v>
      </c>
      <c r="F341" t="s">
        <v>281</v>
      </c>
      <c r="G341" s="1">
        <v>45651</v>
      </c>
      <c r="H341" t="s">
        <v>51</v>
      </c>
      <c r="I341">
        <v>14875.16</v>
      </c>
      <c r="J341">
        <v>6654.56</v>
      </c>
      <c r="K341" t="s">
        <v>25</v>
      </c>
      <c r="L341" t="s">
        <v>72</v>
      </c>
      <c r="M341" t="s">
        <v>42</v>
      </c>
      <c r="N341">
        <v>158</v>
      </c>
      <c r="O341" s="1">
        <v>45672</v>
      </c>
      <c r="P341">
        <v>21</v>
      </c>
      <c r="Q341" t="s">
        <v>48</v>
      </c>
      <c r="R341">
        <v>913.08</v>
      </c>
    </row>
    <row r="342" spans="1:18" x14ac:dyDescent="0.25">
      <c r="A342" t="s">
        <v>761</v>
      </c>
      <c r="B342" t="s">
        <v>762</v>
      </c>
      <c r="C342" t="s">
        <v>729</v>
      </c>
      <c r="D342" t="s">
        <v>730</v>
      </c>
      <c r="E342" t="s">
        <v>151</v>
      </c>
      <c r="F342" t="s">
        <v>281</v>
      </c>
      <c r="G342" s="1">
        <v>45690</v>
      </c>
      <c r="H342" t="s">
        <v>35</v>
      </c>
      <c r="I342">
        <v>90242.31</v>
      </c>
      <c r="J342">
        <v>39690.32</v>
      </c>
      <c r="K342" t="s">
        <v>86</v>
      </c>
      <c r="L342" t="s">
        <v>67</v>
      </c>
      <c r="M342" t="s">
        <v>42</v>
      </c>
      <c r="N342">
        <v>119</v>
      </c>
      <c r="O342" s="1">
        <v>45703</v>
      </c>
      <c r="P342">
        <v>13</v>
      </c>
      <c r="Q342" t="s">
        <v>43</v>
      </c>
      <c r="R342">
        <v>19974.419999999998</v>
      </c>
    </row>
    <row r="343" spans="1:18" x14ac:dyDescent="0.25">
      <c r="A343" t="s">
        <v>763</v>
      </c>
      <c r="B343" t="s">
        <v>764</v>
      </c>
      <c r="C343" t="s">
        <v>729</v>
      </c>
      <c r="D343" t="s">
        <v>730</v>
      </c>
      <c r="E343" t="s">
        <v>151</v>
      </c>
      <c r="F343" t="s">
        <v>281</v>
      </c>
      <c r="G343" s="1">
        <v>45482</v>
      </c>
      <c r="H343" t="s">
        <v>51</v>
      </c>
      <c r="I343">
        <v>82896.47</v>
      </c>
      <c r="J343">
        <v>8797.2099999999991</v>
      </c>
      <c r="K343" t="s">
        <v>31</v>
      </c>
      <c r="L343" t="s">
        <v>36</v>
      </c>
      <c r="M343" t="s">
        <v>27</v>
      </c>
      <c r="N343">
        <v>327</v>
      </c>
      <c r="O343" s="1">
        <v>45518</v>
      </c>
      <c r="P343">
        <v>36</v>
      </c>
      <c r="Q343" t="s">
        <v>118</v>
      </c>
      <c r="R343">
        <v>0</v>
      </c>
    </row>
    <row r="344" spans="1:18" x14ac:dyDescent="0.25">
      <c r="A344" t="s">
        <v>765</v>
      </c>
      <c r="B344" t="s">
        <v>766</v>
      </c>
      <c r="C344" t="s">
        <v>729</v>
      </c>
      <c r="D344" t="s">
        <v>730</v>
      </c>
      <c r="E344" t="s">
        <v>151</v>
      </c>
      <c r="F344" t="s">
        <v>281</v>
      </c>
      <c r="G344" s="1">
        <v>45607</v>
      </c>
      <c r="H344" t="s">
        <v>35</v>
      </c>
      <c r="I344">
        <v>71568.929999999993</v>
      </c>
      <c r="J344">
        <v>43049.760000000002</v>
      </c>
      <c r="K344" t="s">
        <v>31</v>
      </c>
      <c r="L344" t="s">
        <v>46</v>
      </c>
      <c r="M344" t="s">
        <v>53</v>
      </c>
      <c r="N344">
        <v>202</v>
      </c>
      <c r="Q344" t="s">
        <v>38</v>
      </c>
      <c r="R344">
        <v>0</v>
      </c>
    </row>
    <row r="345" spans="1:18" x14ac:dyDescent="0.25">
      <c r="A345" t="s">
        <v>767</v>
      </c>
      <c r="B345" t="s">
        <v>768</v>
      </c>
      <c r="C345" t="s">
        <v>729</v>
      </c>
      <c r="D345" t="s">
        <v>730</v>
      </c>
      <c r="E345" t="s">
        <v>151</v>
      </c>
      <c r="F345" t="s">
        <v>281</v>
      </c>
      <c r="G345" s="1">
        <v>45705</v>
      </c>
      <c r="H345" t="s">
        <v>77</v>
      </c>
      <c r="I345">
        <v>17930.63</v>
      </c>
      <c r="J345">
        <v>11253.44</v>
      </c>
      <c r="K345" t="s">
        <v>25</v>
      </c>
      <c r="L345" t="s">
        <v>36</v>
      </c>
      <c r="M345" t="s">
        <v>27</v>
      </c>
      <c r="N345">
        <v>104</v>
      </c>
      <c r="O345" s="1">
        <v>45748</v>
      </c>
      <c r="P345">
        <v>43</v>
      </c>
      <c r="Q345" t="s">
        <v>43</v>
      </c>
      <c r="R345">
        <v>5869.28</v>
      </c>
    </row>
    <row r="346" spans="1:18" x14ac:dyDescent="0.25">
      <c r="A346" t="s">
        <v>769</v>
      </c>
      <c r="B346" t="s">
        <v>770</v>
      </c>
      <c r="C346" t="s">
        <v>729</v>
      </c>
      <c r="D346" t="s">
        <v>730</v>
      </c>
      <c r="E346" t="s">
        <v>151</v>
      </c>
      <c r="F346" t="s">
        <v>281</v>
      </c>
      <c r="G346" s="1">
        <v>45702</v>
      </c>
      <c r="H346" t="s">
        <v>77</v>
      </c>
      <c r="I346">
        <v>47932.12</v>
      </c>
      <c r="J346">
        <v>19053.490000000002</v>
      </c>
      <c r="K346" t="s">
        <v>86</v>
      </c>
      <c r="L346" t="s">
        <v>36</v>
      </c>
      <c r="M346" t="s">
        <v>42</v>
      </c>
      <c r="N346">
        <v>107</v>
      </c>
      <c r="O346" s="1">
        <v>45743</v>
      </c>
      <c r="P346">
        <v>41</v>
      </c>
      <c r="Q346" t="s">
        <v>118</v>
      </c>
      <c r="R346">
        <v>0</v>
      </c>
    </row>
    <row r="347" spans="1:18" x14ac:dyDescent="0.25">
      <c r="A347" t="s">
        <v>771</v>
      </c>
      <c r="B347" t="s">
        <v>772</v>
      </c>
      <c r="C347" t="s">
        <v>729</v>
      </c>
      <c r="D347" t="s">
        <v>730</v>
      </c>
      <c r="E347" t="s">
        <v>151</v>
      </c>
      <c r="F347" t="s">
        <v>281</v>
      </c>
      <c r="G347" s="1">
        <v>45452</v>
      </c>
      <c r="H347" t="s">
        <v>66</v>
      </c>
      <c r="I347">
        <v>62313.74</v>
      </c>
      <c r="J347">
        <v>13164.75</v>
      </c>
      <c r="K347" t="s">
        <v>86</v>
      </c>
      <c r="L347" t="s">
        <v>26</v>
      </c>
      <c r="M347" t="s">
        <v>47</v>
      </c>
      <c r="N347">
        <v>357</v>
      </c>
      <c r="O347" s="1">
        <v>45500</v>
      </c>
      <c r="P347">
        <v>48</v>
      </c>
      <c r="Q347" t="s">
        <v>28</v>
      </c>
      <c r="R347">
        <v>13164.75</v>
      </c>
    </row>
    <row r="348" spans="1:18" x14ac:dyDescent="0.25">
      <c r="A348" t="s">
        <v>773</v>
      </c>
      <c r="B348" t="s">
        <v>774</v>
      </c>
      <c r="C348" t="s">
        <v>775</v>
      </c>
      <c r="D348" t="s">
        <v>776</v>
      </c>
      <c r="E348" t="s">
        <v>215</v>
      </c>
      <c r="F348" t="s">
        <v>23</v>
      </c>
      <c r="G348" s="1">
        <v>45675</v>
      </c>
      <c r="H348" t="s">
        <v>51</v>
      </c>
      <c r="I348">
        <v>82908.509999999995</v>
      </c>
      <c r="J348">
        <v>14956.76</v>
      </c>
      <c r="K348" t="s">
        <v>56</v>
      </c>
      <c r="L348" t="s">
        <v>46</v>
      </c>
      <c r="M348" t="s">
        <v>53</v>
      </c>
      <c r="N348">
        <v>134</v>
      </c>
      <c r="Q348" t="s">
        <v>38</v>
      </c>
      <c r="R348">
        <v>0</v>
      </c>
    </row>
    <row r="349" spans="1:18" x14ac:dyDescent="0.25">
      <c r="A349" t="s">
        <v>777</v>
      </c>
      <c r="B349" t="s">
        <v>778</v>
      </c>
      <c r="C349" t="s">
        <v>775</v>
      </c>
      <c r="D349" t="s">
        <v>776</v>
      </c>
      <c r="E349" t="s">
        <v>215</v>
      </c>
      <c r="F349" t="s">
        <v>23</v>
      </c>
      <c r="G349" s="1">
        <v>45756</v>
      </c>
      <c r="H349" t="s">
        <v>66</v>
      </c>
      <c r="I349">
        <v>81370.19</v>
      </c>
      <c r="J349">
        <v>12599.75</v>
      </c>
      <c r="K349" t="s">
        <v>25</v>
      </c>
      <c r="L349" t="s">
        <v>36</v>
      </c>
      <c r="M349" t="s">
        <v>53</v>
      </c>
      <c r="N349">
        <v>53</v>
      </c>
      <c r="Q349" t="s">
        <v>38</v>
      </c>
      <c r="R349">
        <v>0</v>
      </c>
    </row>
    <row r="350" spans="1:18" x14ac:dyDescent="0.25">
      <c r="A350" t="s">
        <v>779</v>
      </c>
      <c r="B350" t="s">
        <v>780</v>
      </c>
      <c r="C350" t="s">
        <v>775</v>
      </c>
      <c r="D350" t="s">
        <v>776</v>
      </c>
      <c r="E350" t="s">
        <v>215</v>
      </c>
      <c r="F350" t="s">
        <v>23</v>
      </c>
      <c r="G350" s="1">
        <v>45603</v>
      </c>
      <c r="H350" t="s">
        <v>59</v>
      </c>
      <c r="I350">
        <v>40362.78</v>
      </c>
      <c r="J350">
        <v>21098.560000000001</v>
      </c>
      <c r="K350" t="s">
        <v>31</v>
      </c>
      <c r="L350" t="s">
        <v>41</v>
      </c>
      <c r="M350" t="s">
        <v>42</v>
      </c>
      <c r="N350">
        <v>206</v>
      </c>
      <c r="O350" s="1">
        <v>45615</v>
      </c>
      <c r="P350">
        <v>12</v>
      </c>
      <c r="Q350" t="s">
        <v>28</v>
      </c>
      <c r="R350">
        <v>21098.560000000001</v>
      </c>
    </row>
    <row r="351" spans="1:18" x14ac:dyDescent="0.25">
      <c r="A351" t="s">
        <v>781</v>
      </c>
      <c r="B351" t="s">
        <v>782</v>
      </c>
      <c r="C351" t="s">
        <v>775</v>
      </c>
      <c r="D351" t="s">
        <v>776</v>
      </c>
      <c r="E351" t="s">
        <v>215</v>
      </c>
      <c r="F351" t="s">
        <v>23</v>
      </c>
      <c r="G351" s="1">
        <v>45775</v>
      </c>
      <c r="H351" t="s">
        <v>77</v>
      </c>
      <c r="I351">
        <v>23786.28</v>
      </c>
      <c r="J351">
        <v>12713.53</v>
      </c>
      <c r="K351" t="s">
        <v>86</v>
      </c>
      <c r="L351" t="s">
        <v>52</v>
      </c>
      <c r="M351" t="s">
        <v>37</v>
      </c>
      <c r="N351">
        <v>34</v>
      </c>
      <c r="Q351" t="s">
        <v>38</v>
      </c>
      <c r="R351">
        <v>0</v>
      </c>
    </row>
    <row r="352" spans="1:18" x14ac:dyDescent="0.25">
      <c r="A352" t="s">
        <v>783</v>
      </c>
      <c r="B352" t="s">
        <v>784</v>
      </c>
      <c r="C352" t="s">
        <v>775</v>
      </c>
      <c r="D352" t="s">
        <v>776</v>
      </c>
      <c r="E352" t="s">
        <v>215</v>
      </c>
      <c r="F352" t="s">
        <v>23</v>
      </c>
      <c r="G352" s="1">
        <v>45572</v>
      </c>
      <c r="H352" t="s">
        <v>24</v>
      </c>
      <c r="I352">
        <v>9810.58</v>
      </c>
      <c r="J352">
        <v>7290.23</v>
      </c>
      <c r="K352" t="s">
        <v>31</v>
      </c>
      <c r="L352" t="s">
        <v>32</v>
      </c>
      <c r="M352" t="s">
        <v>27</v>
      </c>
      <c r="N352">
        <v>237</v>
      </c>
      <c r="O352" s="1">
        <v>45623</v>
      </c>
      <c r="P352">
        <v>51</v>
      </c>
      <c r="Q352" t="s">
        <v>48</v>
      </c>
      <c r="R352">
        <v>1232.94</v>
      </c>
    </row>
    <row r="353" spans="1:18" x14ac:dyDescent="0.25">
      <c r="A353" t="s">
        <v>785</v>
      </c>
      <c r="B353" t="s">
        <v>786</v>
      </c>
      <c r="C353" t="s">
        <v>775</v>
      </c>
      <c r="D353" t="s">
        <v>776</v>
      </c>
      <c r="E353" t="s">
        <v>215</v>
      </c>
      <c r="F353" t="s">
        <v>23</v>
      </c>
      <c r="G353" s="1">
        <v>45699</v>
      </c>
      <c r="H353" t="s">
        <v>66</v>
      </c>
      <c r="I353">
        <v>91288.9</v>
      </c>
      <c r="J353">
        <v>23391.53</v>
      </c>
      <c r="K353" t="s">
        <v>31</v>
      </c>
      <c r="L353" t="s">
        <v>72</v>
      </c>
      <c r="M353" t="s">
        <v>27</v>
      </c>
      <c r="N353">
        <v>110</v>
      </c>
      <c r="O353" s="1">
        <v>45780</v>
      </c>
      <c r="P353">
        <v>81</v>
      </c>
      <c r="Q353" t="s">
        <v>28</v>
      </c>
      <c r="R353">
        <v>23391.53</v>
      </c>
    </row>
    <row r="354" spans="1:18" x14ac:dyDescent="0.25">
      <c r="A354" t="s">
        <v>787</v>
      </c>
      <c r="B354" t="s">
        <v>788</v>
      </c>
      <c r="C354" t="s">
        <v>775</v>
      </c>
      <c r="D354" t="s">
        <v>776</v>
      </c>
      <c r="E354" t="s">
        <v>215</v>
      </c>
      <c r="F354" t="s">
        <v>23</v>
      </c>
      <c r="G354" s="1">
        <v>45657</v>
      </c>
      <c r="H354" t="s">
        <v>77</v>
      </c>
      <c r="I354">
        <v>52394.7</v>
      </c>
      <c r="J354">
        <v>37309.42</v>
      </c>
      <c r="K354" t="s">
        <v>31</v>
      </c>
      <c r="L354" t="s">
        <v>41</v>
      </c>
      <c r="M354" t="s">
        <v>27</v>
      </c>
      <c r="N354">
        <v>152</v>
      </c>
      <c r="O354" s="1">
        <v>45713</v>
      </c>
      <c r="P354">
        <v>56</v>
      </c>
      <c r="Q354" t="s">
        <v>28</v>
      </c>
      <c r="R354">
        <v>37309.42</v>
      </c>
    </row>
    <row r="355" spans="1:18" x14ac:dyDescent="0.25">
      <c r="A355" t="s">
        <v>789</v>
      </c>
      <c r="B355" t="s">
        <v>790</v>
      </c>
      <c r="C355" t="s">
        <v>775</v>
      </c>
      <c r="D355" t="s">
        <v>776</v>
      </c>
      <c r="E355" t="s">
        <v>215</v>
      </c>
      <c r="F355" t="s">
        <v>23</v>
      </c>
      <c r="G355" s="1">
        <v>45539</v>
      </c>
      <c r="H355" t="s">
        <v>77</v>
      </c>
      <c r="I355">
        <v>28669.040000000001</v>
      </c>
      <c r="J355">
        <v>22808.1</v>
      </c>
      <c r="K355" t="s">
        <v>31</v>
      </c>
      <c r="L355" t="s">
        <v>32</v>
      </c>
      <c r="M355" t="s">
        <v>47</v>
      </c>
      <c r="N355">
        <v>270</v>
      </c>
      <c r="O355" s="1">
        <v>45587</v>
      </c>
      <c r="P355">
        <v>48</v>
      </c>
      <c r="Q355" t="s">
        <v>43</v>
      </c>
      <c r="R355">
        <v>15255.45</v>
      </c>
    </row>
    <row r="356" spans="1:18" x14ac:dyDescent="0.25">
      <c r="A356" t="s">
        <v>791</v>
      </c>
      <c r="B356" t="s">
        <v>792</v>
      </c>
      <c r="C356" t="s">
        <v>775</v>
      </c>
      <c r="D356" t="s">
        <v>776</v>
      </c>
      <c r="E356" t="s">
        <v>215</v>
      </c>
      <c r="F356" t="s">
        <v>23</v>
      </c>
      <c r="G356" s="1">
        <v>45632</v>
      </c>
      <c r="H356" t="s">
        <v>66</v>
      </c>
      <c r="I356">
        <v>91704.320000000007</v>
      </c>
      <c r="J356">
        <v>39138.94</v>
      </c>
      <c r="K356" t="s">
        <v>31</v>
      </c>
      <c r="L356" t="s">
        <v>72</v>
      </c>
      <c r="M356" t="s">
        <v>27</v>
      </c>
      <c r="N356">
        <v>177</v>
      </c>
      <c r="O356" s="1">
        <v>45663</v>
      </c>
      <c r="P356">
        <v>31</v>
      </c>
      <c r="Q356" t="s">
        <v>28</v>
      </c>
      <c r="R356">
        <v>39138.94</v>
      </c>
    </row>
    <row r="357" spans="1:18" x14ac:dyDescent="0.25">
      <c r="A357" t="s">
        <v>793</v>
      </c>
      <c r="B357" t="s">
        <v>794</v>
      </c>
      <c r="C357" t="s">
        <v>775</v>
      </c>
      <c r="D357" t="s">
        <v>776</v>
      </c>
      <c r="E357" t="s">
        <v>215</v>
      </c>
      <c r="F357" t="s">
        <v>23</v>
      </c>
      <c r="G357" s="1">
        <v>45665</v>
      </c>
      <c r="H357" t="s">
        <v>59</v>
      </c>
      <c r="I357">
        <v>10566.17</v>
      </c>
      <c r="J357">
        <v>8385.82</v>
      </c>
      <c r="K357" t="s">
        <v>31</v>
      </c>
      <c r="L357" t="s">
        <v>46</v>
      </c>
      <c r="M357" t="s">
        <v>42</v>
      </c>
      <c r="N357">
        <v>144</v>
      </c>
      <c r="O357" s="1">
        <v>45680</v>
      </c>
      <c r="P357">
        <v>15</v>
      </c>
      <c r="Q357" t="s">
        <v>28</v>
      </c>
      <c r="R357">
        <v>8385.82</v>
      </c>
    </row>
    <row r="358" spans="1:18" x14ac:dyDescent="0.25">
      <c r="A358" t="s">
        <v>795</v>
      </c>
      <c r="B358" t="s">
        <v>796</v>
      </c>
      <c r="C358" t="s">
        <v>775</v>
      </c>
      <c r="D358" t="s">
        <v>776</v>
      </c>
      <c r="E358" t="s">
        <v>215</v>
      </c>
      <c r="F358" t="s">
        <v>23</v>
      </c>
      <c r="G358" s="1">
        <v>45685</v>
      </c>
      <c r="H358" t="s">
        <v>77</v>
      </c>
      <c r="I358">
        <v>30320.07</v>
      </c>
      <c r="J358">
        <v>20078.37</v>
      </c>
      <c r="K358" t="s">
        <v>56</v>
      </c>
      <c r="L358" t="s">
        <v>46</v>
      </c>
      <c r="M358" t="s">
        <v>27</v>
      </c>
      <c r="N358">
        <v>124</v>
      </c>
      <c r="O358" s="1">
        <v>45790</v>
      </c>
      <c r="P358">
        <v>105</v>
      </c>
      <c r="Q358" t="s">
        <v>28</v>
      </c>
      <c r="R358">
        <v>20078.37</v>
      </c>
    </row>
    <row r="359" spans="1:18" x14ac:dyDescent="0.25">
      <c r="A359" t="s">
        <v>797</v>
      </c>
      <c r="B359" t="s">
        <v>798</v>
      </c>
      <c r="C359" t="s">
        <v>775</v>
      </c>
      <c r="D359" t="s">
        <v>776</v>
      </c>
      <c r="E359" t="s">
        <v>215</v>
      </c>
      <c r="F359" t="s">
        <v>23</v>
      </c>
      <c r="G359" s="1">
        <v>45720</v>
      </c>
      <c r="H359" t="s">
        <v>24</v>
      </c>
      <c r="I359">
        <v>21729.53</v>
      </c>
      <c r="J359">
        <v>10742.85</v>
      </c>
      <c r="K359" t="s">
        <v>86</v>
      </c>
      <c r="L359" t="s">
        <v>52</v>
      </c>
      <c r="M359" t="s">
        <v>42</v>
      </c>
      <c r="N359">
        <v>89</v>
      </c>
      <c r="O359" s="1">
        <v>45726</v>
      </c>
      <c r="P359">
        <v>6</v>
      </c>
      <c r="Q359" t="s">
        <v>48</v>
      </c>
      <c r="R359">
        <v>2585.5100000000002</v>
      </c>
    </row>
    <row r="360" spans="1:18" x14ac:dyDescent="0.25">
      <c r="A360" t="s">
        <v>799</v>
      </c>
      <c r="B360" t="s">
        <v>800</v>
      </c>
      <c r="C360" t="s">
        <v>775</v>
      </c>
      <c r="D360" t="s">
        <v>776</v>
      </c>
      <c r="E360" t="s">
        <v>215</v>
      </c>
      <c r="F360" t="s">
        <v>23</v>
      </c>
      <c r="G360" s="1">
        <v>45518</v>
      </c>
      <c r="H360" t="s">
        <v>51</v>
      </c>
      <c r="I360">
        <v>58542.62</v>
      </c>
      <c r="J360">
        <v>27651.53</v>
      </c>
      <c r="K360" t="s">
        <v>25</v>
      </c>
      <c r="L360" t="s">
        <v>41</v>
      </c>
      <c r="M360" t="s">
        <v>27</v>
      </c>
      <c r="N360">
        <v>291</v>
      </c>
      <c r="O360" s="1">
        <v>45525</v>
      </c>
      <c r="P360">
        <v>7</v>
      </c>
      <c r="Q360" t="s">
        <v>28</v>
      </c>
      <c r="R360">
        <v>27651.53</v>
      </c>
    </row>
    <row r="361" spans="1:18" x14ac:dyDescent="0.25">
      <c r="A361" t="s">
        <v>801</v>
      </c>
      <c r="B361" t="s">
        <v>802</v>
      </c>
      <c r="C361" t="s">
        <v>775</v>
      </c>
      <c r="D361" t="s">
        <v>776</v>
      </c>
      <c r="E361" t="s">
        <v>215</v>
      </c>
      <c r="F361" t="s">
        <v>23</v>
      </c>
      <c r="G361" s="1">
        <v>45689</v>
      </c>
      <c r="H361" t="s">
        <v>35</v>
      </c>
      <c r="I361">
        <v>62157.96</v>
      </c>
      <c r="J361">
        <v>4036.91</v>
      </c>
      <c r="K361" t="s">
        <v>31</v>
      </c>
      <c r="L361" t="s">
        <v>46</v>
      </c>
      <c r="M361" t="s">
        <v>42</v>
      </c>
      <c r="N361">
        <v>120</v>
      </c>
      <c r="O361" s="1">
        <v>45735</v>
      </c>
      <c r="P361">
        <v>46</v>
      </c>
      <c r="Q361" t="s">
        <v>48</v>
      </c>
      <c r="R361">
        <v>1887.31</v>
      </c>
    </row>
    <row r="362" spans="1:18" x14ac:dyDescent="0.25">
      <c r="A362" t="s">
        <v>803</v>
      </c>
      <c r="B362" t="s">
        <v>804</v>
      </c>
      <c r="C362" t="s">
        <v>775</v>
      </c>
      <c r="D362" t="s">
        <v>776</v>
      </c>
      <c r="E362" t="s">
        <v>215</v>
      </c>
      <c r="F362" t="s">
        <v>23</v>
      </c>
      <c r="G362" s="1">
        <v>45643</v>
      </c>
      <c r="H362" t="s">
        <v>66</v>
      </c>
      <c r="I362">
        <v>10657.82</v>
      </c>
      <c r="J362">
        <v>1713.61</v>
      </c>
      <c r="K362" t="s">
        <v>86</v>
      </c>
      <c r="L362" t="s">
        <v>26</v>
      </c>
      <c r="M362" t="s">
        <v>42</v>
      </c>
      <c r="N362">
        <v>166</v>
      </c>
      <c r="O362" s="1">
        <v>45756</v>
      </c>
      <c r="P362">
        <v>113</v>
      </c>
      <c r="Q362" t="s">
        <v>28</v>
      </c>
      <c r="R362">
        <v>1713.61</v>
      </c>
    </row>
    <row r="363" spans="1:18" x14ac:dyDescent="0.25">
      <c r="A363" t="s">
        <v>805</v>
      </c>
      <c r="B363" t="s">
        <v>806</v>
      </c>
      <c r="C363" t="s">
        <v>775</v>
      </c>
      <c r="D363" t="s">
        <v>776</v>
      </c>
      <c r="E363" t="s">
        <v>215</v>
      </c>
      <c r="F363" t="s">
        <v>23</v>
      </c>
      <c r="G363" s="1">
        <v>45771</v>
      </c>
      <c r="H363" t="s">
        <v>77</v>
      </c>
      <c r="I363">
        <v>40491.120000000003</v>
      </c>
      <c r="J363">
        <v>30629.200000000001</v>
      </c>
      <c r="K363" t="s">
        <v>31</v>
      </c>
      <c r="L363" t="s">
        <v>52</v>
      </c>
      <c r="M363" t="s">
        <v>27</v>
      </c>
      <c r="N363">
        <v>38</v>
      </c>
      <c r="O363" s="1">
        <v>45782</v>
      </c>
      <c r="P363">
        <v>11</v>
      </c>
      <c r="Q363" t="s">
        <v>38</v>
      </c>
      <c r="R363">
        <v>0</v>
      </c>
    </row>
    <row r="364" spans="1:18" x14ac:dyDescent="0.25">
      <c r="A364" t="s">
        <v>807</v>
      </c>
      <c r="B364" t="s">
        <v>808</v>
      </c>
      <c r="C364" t="s">
        <v>775</v>
      </c>
      <c r="D364" t="s">
        <v>776</v>
      </c>
      <c r="E364" t="s">
        <v>215</v>
      </c>
      <c r="F364" t="s">
        <v>23</v>
      </c>
      <c r="G364" s="1">
        <v>45585</v>
      </c>
      <c r="H364" t="s">
        <v>66</v>
      </c>
      <c r="I364">
        <v>80225.039999999994</v>
      </c>
      <c r="J364">
        <v>61813.120000000003</v>
      </c>
      <c r="K364" t="s">
        <v>31</v>
      </c>
      <c r="L364" t="s">
        <v>52</v>
      </c>
      <c r="M364" t="s">
        <v>27</v>
      </c>
      <c r="N364">
        <v>224</v>
      </c>
      <c r="O364" s="1">
        <v>45663</v>
      </c>
      <c r="P364">
        <v>78</v>
      </c>
      <c r="Q364" t="s">
        <v>118</v>
      </c>
      <c r="R364">
        <v>0</v>
      </c>
    </row>
    <row r="365" spans="1:18" x14ac:dyDescent="0.25">
      <c r="A365" t="s">
        <v>809</v>
      </c>
      <c r="B365" t="s">
        <v>810</v>
      </c>
      <c r="C365" t="s">
        <v>775</v>
      </c>
      <c r="D365" t="s">
        <v>776</v>
      </c>
      <c r="E365" t="s">
        <v>215</v>
      </c>
      <c r="F365" t="s">
        <v>23</v>
      </c>
      <c r="G365" s="1">
        <v>45615</v>
      </c>
      <c r="H365" t="s">
        <v>24</v>
      </c>
      <c r="I365">
        <v>34148.21</v>
      </c>
      <c r="J365">
        <v>19340.650000000001</v>
      </c>
      <c r="K365" t="s">
        <v>25</v>
      </c>
      <c r="L365" t="s">
        <v>72</v>
      </c>
      <c r="M365" t="s">
        <v>42</v>
      </c>
      <c r="N365">
        <v>194</v>
      </c>
      <c r="O365" s="1">
        <v>45691</v>
      </c>
      <c r="P365">
        <v>76</v>
      </c>
      <c r="Q365" t="s">
        <v>28</v>
      </c>
      <c r="R365">
        <v>19340.650000000001</v>
      </c>
    </row>
    <row r="366" spans="1:18" x14ac:dyDescent="0.25">
      <c r="A366" t="s">
        <v>811</v>
      </c>
      <c r="B366" t="s">
        <v>812</v>
      </c>
      <c r="C366" t="s">
        <v>775</v>
      </c>
      <c r="D366" t="s">
        <v>776</v>
      </c>
      <c r="E366" t="s">
        <v>215</v>
      </c>
      <c r="F366" t="s">
        <v>23</v>
      </c>
      <c r="G366" s="1">
        <v>45518</v>
      </c>
      <c r="H366" t="s">
        <v>59</v>
      </c>
      <c r="I366">
        <v>8076.36</v>
      </c>
      <c r="J366">
        <v>4052.65</v>
      </c>
      <c r="K366" t="s">
        <v>56</v>
      </c>
      <c r="L366" t="s">
        <v>46</v>
      </c>
      <c r="M366" t="s">
        <v>27</v>
      </c>
      <c r="N366">
        <v>291</v>
      </c>
      <c r="O366" s="1">
        <v>45534</v>
      </c>
      <c r="P366">
        <v>16</v>
      </c>
      <c r="Q366" t="s">
        <v>38</v>
      </c>
      <c r="R366">
        <v>0</v>
      </c>
    </row>
    <row r="367" spans="1:18" x14ac:dyDescent="0.25">
      <c r="A367" t="s">
        <v>813</v>
      </c>
      <c r="B367" t="s">
        <v>814</v>
      </c>
      <c r="C367" t="s">
        <v>775</v>
      </c>
      <c r="D367" t="s">
        <v>776</v>
      </c>
      <c r="E367" t="s">
        <v>215</v>
      </c>
      <c r="F367" t="s">
        <v>23</v>
      </c>
      <c r="G367" s="1">
        <v>45736</v>
      </c>
      <c r="H367" t="s">
        <v>35</v>
      </c>
      <c r="I367">
        <v>36461</v>
      </c>
      <c r="J367">
        <v>3950.73</v>
      </c>
      <c r="K367" t="s">
        <v>31</v>
      </c>
      <c r="L367" t="s">
        <v>36</v>
      </c>
      <c r="M367" t="s">
        <v>27</v>
      </c>
      <c r="N367">
        <v>73</v>
      </c>
      <c r="O367" s="1">
        <v>45750</v>
      </c>
      <c r="P367">
        <v>14</v>
      </c>
      <c r="Q367" t="s">
        <v>118</v>
      </c>
      <c r="R367">
        <v>0</v>
      </c>
    </row>
    <row r="368" spans="1:18" x14ac:dyDescent="0.25">
      <c r="A368" t="s">
        <v>815</v>
      </c>
      <c r="B368" t="s">
        <v>816</v>
      </c>
      <c r="C368" t="s">
        <v>775</v>
      </c>
      <c r="D368" t="s">
        <v>776</v>
      </c>
      <c r="E368" t="s">
        <v>215</v>
      </c>
      <c r="F368" t="s">
        <v>23</v>
      </c>
      <c r="G368" s="1">
        <v>45465</v>
      </c>
      <c r="H368" t="s">
        <v>35</v>
      </c>
      <c r="I368">
        <v>65714.759999999995</v>
      </c>
      <c r="J368">
        <v>46985.41</v>
      </c>
      <c r="K368" t="s">
        <v>31</v>
      </c>
      <c r="L368" t="s">
        <v>46</v>
      </c>
      <c r="M368" t="s">
        <v>27</v>
      </c>
      <c r="N368">
        <v>344</v>
      </c>
      <c r="O368" s="1">
        <v>45476</v>
      </c>
      <c r="P368">
        <v>11</v>
      </c>
      <c r="Q368" t="s">
        <v>28</v>
      </c>
      <c r="R368">
        <v>46985.41</v>
      </c>
    </row>
    <row r="369" spans="1:18" x14ac:dyDescent="0.25">
      <c r="A369" t="s">
        <v>817</v>
      </c>
      <c r="B369" t="s">
        <v>818</v>
      </c>
      <c r="C369" t="s">
        <v>775</v>
      </c>
      <c r="D369" t="s">
        <v>776</v>
      </c>
      <c r="E369" t="s">
        <v>215</v>
      </c>
      <c r="F369" t="s">
        <v>23</v>
      </c>
      <c r="G369" s="1">
        <v>45753</v>
      </c>
      <c r="H369" t="s">
        <v>51</v>
      </c>
      <c r="I369">
        <v>73439.289999999994</v>
      </c>
      <c r="J369">
        <v>6323.9</v>
      </c>
      <c r="K369" t="s">
        <v>31</v>
      </c>
      <c r="L369" t="s">
        <v>36</v>
      </c>
      <c r="M369" t="s">
        <v>42</v>
      </c>
      <c r="N369">
        <v>56</v>
      </c>
      <c r="O369" s="1">
        <v>45787</v>
      </c>
      <c r="P369">
        <v>34</v>
      </c>
      <c r="Q369" t="s">
        <v>118</v>
      </c>
      <c r="R369">
        <v>0</v>
      </c>
    </row>
    <row r="370" spans="1:18" x14ac:dyDescent="0.25">
      <c r="A370" t="s">
        <v>819</v>
      </c>
      <c r="B370" t="s">
        <v>820</v>
      </c>
      <c r="C370" t="s">
        <v>775</v>
      </c>
      <c r="D370" t="s">
        <v>776</v>
      </c>
      <c r="E370" t="s">
        <v>215</v>
      </c>
      <c r="F370" t="s">
        <v>23</v>
      </c>
      <c r="G370" s="1">
        <v>45629</v>
      </c>
      <c r="H370" t="s">
        <v>59</v>
      </c>
      <c r="I370">
        <v>56872.28</v>
      </c>
      <c r="J370">
        <v>7169.97</v>
      </c>
      <c r="K370" t="s">
        <v>31</v>
      </c>
      <c r="L370" t="s">
        <v>46</v>
      </c>
      <c r="M370" t="s">
        <v>27</v>
      </c>
      <c r="N370">
        <v>180</v>
      </c>
      <c r="O370" s="1">
        <v>45641</v>
      </c>
      <c r="P370">
        <v>12</v>
      </c>
      <c r="Q370" t="s">
        <v>48</v>
      </c>
      <c r="R370">
        <v>812.82</v>
      </c>
    </row>
    <row r="371" spans="1:18" x14ac:dyDescent="0.25">
      <c r="A371" t="s">
        <v>821</v>
      </c>
      <c r="B371" t="s">
        <v>822</v>
      </c>
      <c r="C371" t="s">
        <v>775</v>
      </c>
      <c r="D371" t="s">
        <v>776</v>
      </c>
      <c r="E371" t="s">
        <v>215</v>
      </c>
      <c r="F371" t="s">
        <v>23</v>
      </c>
      <c r="G371" s="1">
        <v>45798</v>
      </c>
      <c r="H371" t="s">
        <v>66</v>
      </c>
      <c r="I371">
        <v>35278.11</v>
      </c>
      <c r="J371">
        <v>26943.54</v>
      </c>
      <c r="K371" t="s">
        <v>25</v>
      </c>
      <c r="L371" t="s">
        <v>32</v>
      </c>
      <c r="M371" t="s">
        <v>37</v>
      </c>
      <c r="N371">
        <v>11</v>
      </c>
      <c r="Q371" t="s">
        <v>38</v>
      </c>
      <c r="R371">
        <v>0</v>
      </c>
    </row>
    <row r="372" spans="1:18" x14ac:dyDescent="0.25">
      <c r="A372" t="s">
        <v>823</v>
      </c>
      <c r="B372" t="s">
        <v>824</v>
      </c>
      <c r="C372" t="s">
        <v>775</v>
      </c>
      <c r="D372" t="s">
        <v>776</v>
      </c>
      <c r="E372" t="s">
        <v>215</v>
      </c>
      <c r="F372" t="s">
        <v>23</v>
      </c>
      <c r="G372" s="1">
        <v>45770</v>
      </c>
      <c r="H372" t="s">
        <v>59</v>
      </c>
      <c r="I372">
        <v>56969.39</v>
      </c>
      <c r="J372">
        <v>41222.660000000003</v>
      </c>
      <c r="K372" t="s">
        <v>25</v>
      </c>
      <c r="L372" t="s">
        <v>67</v>
      </c>
      <c r="M372" t="s">
        <v>47</v>
      </c>
      <c r="N372">
        <v>39</v>
      </c>
      <c r="O372" s="1">
        <v>45800</v>
      </c>
      <c r="P372">
        <v>30</v>
      </c>
      <c r="Q372" t="s">
        <v>38</v>
      </c>
      <c r="R372">
        <v>0</v>
      </c>
    </row>
    <row r="373" spans="1:18" x14ac:dyDescent="0.25">
      <c r="A373" t="s">
        <v>825</v>
      </c>
      <c r="B373" t="s">
        <v>826</v>
      </c>
      <c r="C373" t="s">
        <v>775</v>
      </c>
      <c r="D373" t="s">
        <v>776</v>
      </c>
      <c r="E373" t="s">
        <v>215</v>
      </c>
      <c r="F373" t="s">
        <v>23</v>
      </c>
      <c r="G373" s="1">
        <v>45724</v>
      </c>
      <c r="H373" t="s">
        <v>35</v>
      </c>
      <c r="I373">
        <v>62695.17</v>
      </c>
      <c r="J373">
        <v>23551.46</v>
      </c>
      <c r="K373" t="s">
        <v>25</v>
      </c>
      <c r="L373" t="s">
        <v>46</v>
      </c>
      <c r="M373" t="s">
        <v>42</v>
      </c>
      <c r="N373">
        <v>85</v>
      </c>
      <c r="O373" s="1">
        <v>45779</v>
      </c>
      <c r="P373">
        <v>55</v>
      </c>
      <c r="Q373" t="s">
        <v>48</v>
      </c>
      <c r="R373">
        <v>9157.17</v>
      </c>
    </row>
    <row r="374" spans="1:18" x14ac:dyDescent="0.25">
      <c r="A374" t="s">
        <v>827</v>
      </c>
      <c r="B374" t="s">
        <v>828</v>
      </c>
      <c r="C374" t="s">
        <v>775</v>
      </c>
      <c r="D374" t="s">
        <v>776</v>
      </c>
      <c r="E374" t="s">
        <v>215</v>
      </c>
      <c r="F374" t="s">
        <v>23</v>
      </c>
      <c r="G374" s="1">
        <v>45532</v>
      </c>
      <c r="H374" t="s">
        <v>77</v>
      </c>
      <c r="I374">
        <v>30200.15</v>
      </c>
      <c r="J374">
        <v>7886.54</v>
      </c>
      <c r="K374" t="s">
        <v>25</v>
      </c>
      <c r="L374" t="s">
        <v>32</v>
      </c>
      <c r="M374" t="s">
        <v>27</v>
      </c>
      <c r="N374">
        <v>277</v>
      </c>
      <c r="O374" s="1">
        <v>45642</v>
      </c>
      <c r="P374">
        <v>110</v>
      </c>
      <c r="Q374" t="s">
        <v>43</v>
      </c>
      <c r="R374">
        <v>1835.22</v>
      </c>
    </row>
    <row r="375" spans="1:18" x14ac:dyDescent="0.25">
      <c r="A375" t="s">
        <v>829</v>
      </c>
      <c r="B375" t="s">
        <v>830</v>
      </c>
      <c r="C375" t="s">
        <v>775</v>
      </c>
      <c r="D375" t="s">
        <v>776</v>
      </c>
      <c r="E375" t="s">
        <v>215</v>
      </c>
      <c r="F375" t="s">
        <v>23</v>
      </c>
      <c r="G375" s="1">
        <v>45807</v>
      </c>
      <c r="H375" t="s">
        <v>59</v>
      </c>
      <c r="I375">
        <v>45622.57</v>
      </c>
      <c r="J375">
        <v>12359.71</v>
      </c>
      <c r="K375" t="s">
        <v>86</v>
      </c>
      <c r="L375" t="s">
        <v>67</v>
      </c>
      <c r="M375" t="s">
        <v>37</v>
      </c>
      <c r="N375">
        <v>2</v>
      </c>
      <c r="Q375" t="s">
        <v>38</v>
      </c>
      <c r="R375">
        <v>0</v>
      </c>
    </row>
    <row r="376" spans="1:18" x14ac:dyDescent="0.25">
      <c r="A376" t="s">
        <v>831</v>
      </c>
      <c r="B376" t="s">
        <v>832</v>
      </c>
      <c r="C376" t="s">
        <v>775</v>
      </c>
      <c r="D376" t="s">
        <v>776</v>
      </c>
      <c r="E376" t="s">
        <v>215</v>
      </c>
      <c r="F376" t="s">
        <v>23</v>
      </c>
      <c r="G376" s="1">
        <v>45795</v>
      </c>
      <c r="H376" t="s">
        <v>51</v>
      </c>
      <c r="I376">
        <v>24660.53</v>
      </c>
      <c r="J376">
        <v>13036.62</v>
      </c>
      <c r="K376" t="s">
        <v>56</v>
      </c>
      <c r="L376" t="s">
        <v>26</v>
      </c>
      <c r="M376" t="s">
        <v>37</v>
      </c>
      <c r="N376">
        <v>14</v>
      </c>
      <c r="Q376" t="s">
        <v>38</v>
      </c>
      <c r="R376">
        <v>0</v>
      </c>
    </row>
    <row r="377" spans="1:18" x14ac:dyDescent="0.25">
      <c r="A377" t="s">
        <v>833</v>
      </c>
      <c r="B377" t="s">
        <v>834</v>
      </c>
      <c r="C377" t="s">
        <v>835</v>
      </c>
      <c r="D377" t="s">
        <v>836</v>
      </c>
      <c r="E377" t="s">
        <v>280</v>
      </c>
      <c r="F377" t="s">
        <v>442</v>
      </c>
      <c r="G377" s="1">
        <v>45558</v>
      </c>
      <c r="H377" t="s">
        <v>51</v>
      </c>
      <c r="I377">
        <v>90013.36</v>
      </c>
      <c r="J377">
        <v>22391.119999999999</v>
      </c>
      <c r="K377" t="s">
        <v>31</v>
      </c>
      <c r="L377" t="s">
        <v>36</v>
      </c>
      <c r="M377" t="s">
        <v>27</v>
      </c>
      <c r="N377">
        <v>251</v>
      </c>
      <c r="O377" s="1">
        <v>45609</v>
      </c>
      <c r="P377">
        <v>51</v>
      </c>
      <c r="Q377" t="s">
        <v>28</v>
      </c>
      <c r="R377">
        <v>22391.119999999999</v>
      </c>
    </row>
    <row r="378" spans="1:18" x14ac:dyDescent="0.25">
      <c r="A378" t="s">
        <v>837</v>
      </c>
      <c r="B378" t="s">
        <v>838</v>
      </c>
      <c r="C378" t="s">
        <v>835</v>
      </c>
      <c r="D378" t="s">
        <v>836</v>
      </c>
      <c r="E378" t="s">
        <v>280</v>
      </c>
      <c r="F378" t="s">
        <v>442</v>
      </c>
      <c r="G378" s="1">
        <v>45580</v>
      </c>
      <c r="H378" t="s">
        <v>35</v>
      </c>
      <c r="I378">
        <v>9238.61</v>
      </c>
      <c r="J378">
        <v>3508.87</v>
      </c>
      <c r="K378" t="s">
        <v>31</v>
      </c>
      <c r="L378" t="s">
        <v>72</v>
      </c>
      <c r="M378" t="s">
        <v>27</v>
      </c>
      <c r="N378">
        <v>229</v>
      </c>
      <c r="O378" s="1">
        <v>45672</v>
      </c>
      <c r="P378">
        <v>92</v>
      </c>
      <c r="Q378" t="s">
        <v>48</v>
      </c>
      <c r="R378">
        <v>471.18</v>
      </c>
    </row>
    <row r="379" spans="1:18" x14ac:dyDescent="0.25">
      <c r="A379" t="s">
        <v>839</v>
      </c>
      <c r="B379" t="s">
        <v>840</v>
      </c>
      <c r="C379" t="s">
        <v>835</v>
      </c>
      <c r="D379" t="s">
        <v>836</v>
      </c>
      <c r="E379" t="s">
        <v>280</v>
      </c>
      <c r="F379" t="s">
        <v>442</v>
      </c>
      <c r="G379" s="1">
        <v>45632</v>
      </c>
      <c r="H379" t="s">
        <v>66</v>
      </c>
      <c r="I379">
        <v>81777.11</v>
      </c>
      <c r="J379">
        <v>29479.83</v>
      </c>
      <c r="K379" t="s">
        <v>86</v>
      </c>
      <c r="L379" t="s">
        <v>72</v>
      </c>
      <c r="M379" t="s">
        <v>42</v>
      </c>
      <c r="N379">
        <v>177</v>
      </c>
      <c r="O379" s="1">
        <v>45739</v>
      </c>
      <c r="P379">
        <v>107</v>
      </c>
      <c r="Q379" t="s">
        <v>43</v>
      </c>
      <c r="R379">
        <v>22975.89</v>
      </c>
    </row>
    <row r="380" spans="1:18" x14ac:dyDescent="0.25">
      <c r="A380" t="s">
        <v>841</v>
      </c>
      <c r="B380" t="s">
        <v>842</v>
      </c>
      <c r="C380" t="s">
        <v>835</v>
      </c>
      <c r="D380" t="s">
        <v>836</v>
      </c>
      <c r="E380" t="s">
        <v>280</v>
      </c>
      <c r="F380" t="s">
        <v>442</v>
      </c>
      <c r="G380" s="1">
        <v>45457</v>
      </c>
      <c r="H380" t="s">
        <v>51</v>
      </c>
      <c r="I380">
        <v>87354.93</v>
      </c>
      <c r="J380">
        <v>35476.43</v>
      </c>
      <c r="K380" t="s">
        <v>86</v>
      </c>
      <c r="L380" t="s">
        <v>41</v>
      </c>
      <c r="M380" t="s">
        <v>53</v>
      </c>
      <c r="N380">
        <v>352</v>
      </c>
      <c r="Q380" t="s">
        <v>38</v>
      </c>
      <c r="R380">
        <v>0</v>
      </c>
    </row>
    <row r="381" spans="1:18" x14ac:dyDescent="0.25">
      <c r="A381" t="s">
        <v>843</v>
      </c>
      <c r="B381" t="s">
        <v>844</v>
      </c>
      <c r="C381" t="s">
        <v>835</v>
      </c>
      <c r="D381" t="s">
        <v>836</v>
      </c>
      <c r="E381" t="s">
        <v>280</v>
      </c>
      <c r="F381" t="s">
        <v>442</v>
      </c>
      <c r="G381" s="1">
        <v>45791</v>
      </c>
      <c r="H381" t="s">
        <v>24</v>
      </c>
      <c r="I381">
        <v>52699.64</v>
      </c>
      <c r="J381">
        <v>38225.230000000003</v>
      </c>
      <c r="K381" t="s">
        <v>86</v>
      </c>
      <c r="L381" t="s">
        <v>36</v>
      </c>
      <c r="M381" t="s">
        <v>37</v>
      </c>
      <c r="N381">
        <v>18</v>
      </c>
      <c r="Q381" t="s">
        <v>38</v>
      </c>
      <c r="R381">
        <v>0</v>
      </c>
    </row>
    <row r="382" spans="1:18" x14ac:dyDescent="0.25">
      <c r="A382" t="s">
        <v>845</v>
      </c>
      <c r="B382" t="s">
        <v>846</v>
      </c>
      <c r="C382" t="s">
        <v>835</v>
      </c>
      <c r="D382" t="s">
        <v>836</v>
      </c>
      <c r="E382" t="s">
        <v>280</v>
      </c>
      <c r="F382" t="s">
        <v>442</v>
      </c>
      <c r="G382" s="1">
        <v>45579</v>
      </c>
      <c r="H382" t="s">
        <v>66</v>
      </c>
      <c r="I382">
        <v>21423.5</v>
      </c>
      <c r="J382">
        <v>16887.63</v>
      </c>
      <c r="K382" t="s">
        <v>56</v>
      </c>
      <c r="L382" t="s">
        <v>36</v>
      </c>
      <c r="M382" t="s">
        <v>37</v>
      </c>
      <c r="N382">
        <v>230</v>
      </c>
      <c r="Q382" t="s">
        <v>38</v>
      </c>
      <c r="R382">
        <v>0</v>
      </c>
    </row>
    <row r="383" spans="1:18" x14ac:dyDescent="0.25">
      <c r="A383" t="s">
        <v>847</v>
      </c>
      <c r="B383" t="s">
        <v>848</v>
      </c>
      <c r="C383" t="s">
        <v>835</v>
      </c>
      <c r="D383" t="s">
        <v>836</v>
      </c>
      <c r="E383" t="s">
        <v>280</v>
      </c>
      <c r="F383" t="s">
        <v>442</v>
      </c>
      <c r="G383" s="1">
        <v>45768</v>
      </c>
      <c r="H383" t="s">
        <v>24</v>
      </c>
      <c r="I383">
        <v>98886.59</v>
      </c>
      <c r="J383">
        <v>37235.24</v>
      </c>
      <c r="K383" t="s">
        <v>56</v>
      </c>
      <c r="L383" t="s">
        <v>36</v>
      </c>
      <c r="M383" t="s">
        <v>47</v>
      </c>
      <c r="N383">
        <v>41</v>
      </c>
      <c r="O383" s="1">
        <v>45787</v>
      </c>
      <c r="P383">
        <v>19</v>
      </c>
      <c r="Q383" t="s">
        <v>28</v>
      </c>
      <c r="R383">
        <v>37235.24</v>
      </c>
    </row>
    <row r="384" spans="1:18" x14ac:dyDescent="0.25">
      <c r="A384" t="s">
        <v>849</v>
      </c>
      <c r="B384" t="s">
        <v>850</v>
      </c>
      <c r="C384" t="s">
        <v>835</v>
      </c>
      <c r="D384" t="s">
        <v>836</v>
      </c>
      <c r="E384" t="s">
        <v>280</v>
      </c>
      <c r="F384" t="s">
        <v>442</v>
      </c>
      <c r="G384" s="1">
        <v>45774</v>
      </c>
      <c r="H384" t="s">
        <v>35</v>
      </c>
      <c r="I384">
        <v>13267.61</v>
      </c>
      <c r="J384">
        <v>6199.6</v>
      </c>
      <c r="K384" t="s">
        <v>31</v>
      </c>
      <c r="L384" t="s">
        <v>67</v>
      </c>
      <c r="M384" t="s">
        <v>42</v>
      </c>
      <c r="N384">
        <v>35</v>
      </c>
      <c r="O384" s="1">
        <v>45777</v>
      </c>
      <c r="P384">
        <v>3</v>
      </c>
      <c r="Q384" t="s">
        <v>48</v>
      </c>
      <c r="R384">
        <v>2165.04</v>
      </c>
    </row>
    <row r="385" spans="1:18" x14ac:dyDescent="0.25">
      <c r="A385" t="s">
        <v>851</v>
      </c>
      <c r="B385" t="s">
        <v>852</v>
      </c>
      <c r="C385" t="s">
        <v>835</v>
      </c>
      <c r="D385" t="s">
        <v>836</v>
      </c>
      <c r="E385" t="s">
        <v>280</v>
      </c>
      <c r="F385" t="s">
        <v>442</v>
      </c>
      <c r="G385" s="1">
        <v>45541</v>
      </c>
      <c r="H385" t="s">
        <v>59</v>
      </c>
      <c r="I385">
        <v>79260.14</v>
      </c>
      <c r="J385">
        <v>10651.7</v>
      </c>
      <c r="K385" t="s">
        <v>25</v>
      </c>
      <c r="L385" t="s">
        <v>26</v>
      </c>
      <c r="M385" t="s">
        <v>42</v>
      </c>
      <c r="N385">
        <v>268</v>
      </c>
      <c r="O385" s="1">
        <v>45616</v>
      </c>
      <c r="P385">
        <v>75</v>
      </c>
      <c r="Q385" t="s">
        <v>48</v>
      </c>
      <c r="R385">
        <v>4412.9799999999996</v>
      </c>
    </row>
    <row r="386" spans="1:18" x14ac:dyDescent="0.25">
      <c r="A386" t="s">
        <v>853</v>
      </c>
      <c r="B386" t="s">
        <v>854</v>
      </c>
      <c r="C386" t="s">
        <v>835</v>
      </c>
      <c r="D386" t="s">
        <v>836</v>
      </c>
      <c r="E386" t="s">
        <v>280</v>
      </c>
      <c r="F386" t="s">
        <v>442</v>
      </c>
      <c r="G386" s="1">
        <v>45534</v>
      </c>
      <c r="H386" t="s">
        <v>24</v>
      </c>
      <c r="I386">
        <v>88612.9</v>
      </c>
      <c r="J386">
        <v>62775.17</v>
      </c>
      <c r="K386" t="s">
        <v>31</v>
      </c>
      <c r="L386" t="s">
        <v>67</v>
      </c>
      <c r="M386" t="s">
        <v>27</v>
      </c>
      <c r="N386">
        <v>275</v>
      </c>
      <c r="O386" s="1">
        <v>45597</v>
      </c>
      <c r="P386">
        <v>63</v>
      </c>
      <c r="Q386" t="s">
        <v>28</v>
      </c>
      <c r="R386">
        <v>62775.17</v>
      </c>
    </row>
    <row r="387" spans="1:18" x14ac:dyDescent="0.25">
      <c r="A387" t="s">
        <v>855</v>
      </c>
      <c r="B387" t="s">
        <v>856</v>
      </c>
      <c r="C387" t="s">
        <v>835</v>
      </c>
      <c r="D387" t="s">
        <v>836</v>
      </c>
      <c r="E387" t="s">
        <v>280</v>
      </c>
      <c r="F387" t="s">
        <v>442</v>
      </c>
      <c r="G387" s="1">
        <v>45667</v>
      </c>
      <c r="H387" t="s">
        <v>51</v>
      </c>
      <c r="I387">
        <v>43282.53</v>
      </c>
      <c r="J387">
        <v>22233.52</v>
      </c>
      <c r="K387" t="s">
        <v>86</v>
      </c>
      <c r="L387" t="s">
        <v>72</v>
      </c>
      <c r="M387" t="s">
        <v>27</v>
      </c>
      <c r="N387">
        <v>142</v>
      </c>
      <c r="O387" s="1">
        <v>45782</v>
      </c>
      <c r="P387">
        <v>115</v>
      </c>
      <c r="Q387" t="s">
        <v>28</v>
      </c>
      <c r="R387">
        <v>22233.52</v>
      </c>
    </row>
    <row r="388" spans="1:18" x14ac:dyDescent="0.25">
      <c r="A388" t="s">
        <v>857</v>
      </c>
      <c r="B388" t="s">
        <v>858</v>
      </c>
      <c r="C388" t="s">
        <v>835</v>
      </c>
      <c r="D388" t="s">
        <v>836</v>
      </c>
      <c r="E388" t="s">
        <v>280</v>
      </c>
      <c r="F388" t="s">
        <v>442</v>
      </c>
      <c r="G388" s="1">
        <v>45687</v>
      </c>
      <c r="H388" t="s">
        <v>35</v>
      </c>
      <c r="I388">
        <v>9682.64</v>
      </c>
      <c r="J388">
        <v>3935.16</v>
      </c>
      <c r="K388" t="s">
        <v>31</v>
      </c>
      <c r="L388" t="s">
        <v>72</v>
      </c>
      <c r="M388" t="s">
        <v>27</v>
      </c>
      <c r="N388">
        <v>122</v>
      </c>
      <c r="O388" s="1">
        <v>45791</v>
      </c>
      <c r="P388">
        <v>104</v>
      </c>
      <c r="Q388" t="s">
        <v>28</v>
      </c>
      <c r="R388">
        <v>3935.16</v>
      </c>
    </row>
    <row r="389" spans="1:18" x14ac:dyDescent="0.25">
      <c r="A389" t="s">
        <v>859</v>
      </c>
      <c r="B389" t="s">
        <v>860</v>
      </c>
      <c r="C389" t="s">
        <v>835</v>
      </c>
      <c r="D389" t="s">
        <v>836</v>
      </c>
      <c r="E389" t="s">
        <v>280</v>
      </c>
      <c r="F389" t="s">
        <v>442</v>
      </c>
      <c r="G389" s="1">
        <v>45665</v>
      </c>
      <c r="H389" t="s">
        <v>66</v>
      </c>
      <c r="I389">
        <v>85070.42</v>
      </c>
      <c r="J389">
        <v>59011.32</v>
      </c>
      <c r="K389" t="s">
        <v>86</v>
      </c>
      <c r="L389" t="s">
        <v>36</v>
      </c>
      <c r="M389" t="s">
        <v>27</v>
      </c>
      <c r="N389">
        <v>144</v>
      </c>
      <c r="O389" s="1">
        <v>45763</v>
      </c>
      <c r="P389">
        <v>98</v>
      </c>
      <c r="Q389" t="s">
        <v>43</v>
      </c>
      <c r="R389">
        <v>41042.019999999997</v>
      </c>
    </row>
    <row r="390" spans="1:18" x14ac:dyDescent="0.25">
      <c r="A390" t="s">
        <v>861</v>
      </c>
      <c r="B390" t="s">
        <v>862</v>
      </c>
      <c r="C390" t="s">
        <v>835</v>
      </c>
      <c r="D390" t="s">
        <v>836</v>
      </c>
      <c r="E390" t="s">
        <v>280</v>
      </c>
      <c r="F390" t="s">
        <v>442</v>
      </c>
      <c r="G390" s="1">
        <v>45671</v>
      </c>
      <c r="H390" t="s">
        <v>51</v>
      </c>
      <c r="I390">
        <v>74235.94</v>
      </c>
      <c r="J390">
        <v>37395.19</v>
      </c>
      <c r="K390" t="s">
        <v>25</v>
      </c>
      <c r="L390" t="s">
        <v>46</v>
      </c>
      <c r="M390" t="s">
        <v>42</v>
      </c>
      <c r="N390">
        <v>138</v>
      </c>
      <c r="O390" s="1">
        <v>45726</v>
      </c>
      <c r="P390">
        <v>55</v>
      </c>
      <c r="Q390" t="s">
        <v>48</v>
      </c>
      <c r="R390">
        <v>15100.08</v>
      </c>
    </row>
    <row r="391" spans="1:18" x14ac:dyDescent="0.25">
      <c r="A391" t="s">
        <v>863</v>
      </c>
      <c r="B391" t="s">
        <v>864</v>
      </c>
      <c r="C391" t="s">
        <v>835</v>
      </c>
      <c r="D391" t="s">
        <v>836</v>
      </c>
      <c r="E391" t="s">
        <v>280</v>
      </c>
      <c r="F391" t="s">
        <v>442</v>
      </c>
      <c r="G391" s="1">
        <v>45617</v>
      </c>
      <c r="H391" t="s">
        <v>35</v>
      </c>
      <c r="I391">
        <v>82996.649999999994</v>
      </c>
      <c r="J391">
        <v>36224.080000000002</v>
      </c>
      <c r="K391" t="s">
        <v>25</v>
      </c>
      <c r="L391" t="s">
        <v>32</v>
      </c>
      <c r="M391" t="s">
        <v>27</v>
      </c>
      <c r="N391">
        <v>192</v>
      </c>
      <c r="O391" s="1">
        <v>45728</v>
      </c>
      <c r="P391">
        <v>111</v>
      </c>
      <c r="Q391" t="s">
        <v>43</v>
      </c>
      <c r="R391">
        <v>19604.59</v>
      </c>
    </row>
    <row r="392" spans="1:18" x14ac:dyDescent="0.25">
      <c r="A392" t="s">
        <v>865</v>
      </c>
      <c r="B392" t="s">
        <v>866</v>
      </c>
      <c r="C392" t="s">
        <v>835</v>
      </c>
      <c r="D392" t="s">
        <v>836</v>
      </c>
      <c r="E392" t="s">
        <v>280</v>
      </c>
      <c r="F392" t="s">
        <v>442</v>
      </c>
      <c r="G392" s="1">
        <v>45720</v>
      </c>
      <c r="H392" t="s">
        <v>66</v>
      </c>
      <c r="I392">
        <v>23312.53</v>
      </c>
      <c r="J392">
        <v>15728.9</v>
      </c>
      <c r="K392" t="s">
        <v>86</v>
      </c>
      <c r="L392" t="s">
        <v>72</v>
      </c>
      <c r="M392" t="s">
        <v>27</v>
      </c>
      <c r="N392">
        <v>89</v>
      </c>
      <c r="O392" s="1">
        <v>45769</v>
      </c>
      <c r="P392">
        <v>49</v>
      </c>
      <c r="Q392" t="s">
        <v>48</v>
      </c>
      <c r="R392">
        <v>3296.64</v>
      </c>
    </row>
    <row r="393" spans="1:18" x14ac:dyDescent="0.25">
      <c r="A393" t="s">
        <v>867</v>
      </c>
      <c r="B393" t="s">
        <v>868</v>
      </c>
      <c r="C393" t="s">
        <v>835</v>
      </c>
      <c r="D393" t="s">
        <v>836</v>
      </c>
      <c r="E393" t="s">
        <v>280</v>
      </c>
      <c r="F393" t="s">
        <v>442</v>
      </c>
      <c r="G393" s="1">
        <v>45571</v>
      </c>
      <c r="H393" t="s">
        <v>77</v>
      </c>
      <c r="I393">
        <v>52987.01</v>
      </c>
      <c r="J393">
        <v>27900.7</v>
      </c>
      <c r="K393" t="s">
        <v>25</v>
      </c>
      <c r="L393" t="s">
        <v>46</v>
      </c>
      <c r="M393" t="s">
        <v>27</v>
      </c>
      <c r="N393">
        <v>238</v>
      </c>
      <c r="O393" s="1">
        <v>45650</v>
      </c>
      <c r="P393">
        <v>79</v>
      </c>
      <c r="Q393" t="s">
        <v>43</v>
      </c>
      <c r="R393">
        <v>21659.65</v>
      </c>
    </row>
    <row r="394" spans="1:18" x14ac:dyDescent="0.25">
      <c r="A394" t="s">
        <v>869</v>
      </c>
      <c r="B394" t="s">
        <v>870</v>
      </c>
      <c r="C394" t="s">
        <v>835</v>
      </c>
      <c r="D394" t="s">
        <v>836</v>
      </c>
      <c r="E394" t="s">
        <v>280</v>
      </c>
      <c r="F394" t="s">
        <v>442</v>
      </c>
      <c r="G394" s="1">
        <v>45566</v>
      </c>
      <c r="H394" t="s">
        <v>35</v>
      </c>
      <c r="I394">
        <v>60753.62</v>
      </c>
      <c r="J394">
        <v>18974.57</v>
      </c>
      <c r="K394" t="s">
        <v>25</v>
      </c>
      <c r="L394" t="s">
        <v>26</v>
      </c>
      <c r="M394" t="s">
        <v>27</v>
      </c>
      <c r="N394">
        <v>243</v>
      </c>
      <c r="O394" s="1">
        <v>45618</v>
      </c>
      <c r="P394">
        <v>52</v>
      </c>
      <c r="Q394" t="s">
        <v>28</v>
      </c>
      <c r="R394">
        <v>18974.57</v>
      </c>
    </row>
    <row r="395" spans="1:18" x14ac:dyDescent="0.25">
      <c r="A395" t="s">
        <v>871</v>
      </c>
      <c r="B395" t="s">
        <v>872</v>
      </c>
      <c r="C395" t="s">
        <v>835</v>
      </c>
      <c r="D395" t="s">
        <v>836</v>
      </c>
      <c r="E395" t="s">
        <v>280</v>
      </c>
      <c r="F395" t="s">
        <v>442</v>
      </c>
      <c r="G395" s="1">
        <v>45516</v>
      </c>
      <c r="H395" t="s">
        <v>66</v>
      </c>
      <c r="I395">
        <v>79083.86</v>
      </c>
      <c r="J395">
        <v>16666.05</v>
      </c>
      <c r="K395" t="s">
        <v>25</v>
      </c>
      <c r="L395" t="s">
        <v>46</v>
      </c>
      <c r="M395" t="s">
        <v>27</v>
      </c>
      <c r="N395">
        <v>293</v>
      </c>
      <c r="O395" s="1">
        <v>45571</v>
      </c>
      <c r="P395">
        <v>55</v>
      </c>
      <c r="Q395" t="s">
        <v>43</v>
      </c>
      <c r="R395">
        <v>11979.19</v>
      </c>
    </row>
    <row r="396" spans="1:18" x14ac:dyDescent="0.25">
      <c r="A396" t="s">
        <v>873</v>
      </c>
      <c r="B396" t="s">
        <v>874</v>
      </c>
      <c r="C396" t="s">
        <v>835</v>
      </c>
      <c r="D396" t="s">
        <v>836</v>
      </c>
      <c r="E396" t="s">
        <v>280</v>
      </c>
      <c r="F396" t="s">
        <v>442</v>
      </c>
      <c r="G396" s="1">
        <v>45459</v>
      </c>
      <c r="H396" t="s">
        <v>59</v>
      </c>
      <c r="I396">
        <v>5845.31</v>
      </c>
      <c r="J396">
        <v>4288.33</v>
      </c>
      <c r="K396" t="s">
        <v>31</v>
      </c>
      <c r="L396" t="s">
        <v>72</v>
      </c>
      <c r="M396" t="s">
        <v>27</v>
      </c>
      <c r="N396">
        <v>350</v>
      </c>
      <c r="O396" s="1">
        <v>45539</v>
      </c>
      <c r="P396">
        <v>80</v>
      </c>
      <c r="Q396" t="s">
        <v>118</v>
      </c>
      <c r="R396">
        <v>0</v>
      </c>
    </row>
    <row r="397" spans="1:18" x14ac:dyDescent="0.25">
      <c r="A397" t="s">
        <v>875</v>
      </c>
      <c r="B397" t="s">
        <v>876</v>
      </c>
      <c r="C397" t="s">
        <v>835</v>
      </c>
      <c r="D397" t="s">
        <v>836</v>
      </c>
      <c r="E397" t="s">
        <v>280</v>
      </c>
      <c r="F397" t="s">
        <v>442</v>
      </c>
      <c r="G397" s="1">
        <v>45652</v>
      </c>
      <c r="H397" t="s">
        <v>51</v>
      </c>
      <c r="I397">
        <v>72710.350000000006</v>
      </c>
      <c r="J397">
        <v>42319.32</v>
      </c>
      <c r="K397" t="s">
        <v>31</v>
      </c>
      <c r="L397" t="s">
        <v>52</v>
      </c>
      <c r="M397" t="s">
        <v>27</v>
      </c>
      <c r="N397">
        <v>157</v>
      </c>
      <c r="O397" s="1">
        <v>45682</v>
      </c>
      <c r="P397">
        <v>30</v>
      </c>
      <c r="Q397" t="s">
        <v>43</v>
      </c>
      <c r="R397">
        <v>25658.95</v>
      </c>
    </row>
    <row r="398" spans="1:18" x14ac:dyDescent="0.25">
      <c r="A398" t="s">
        <v>877</v>
      </c>
      <c r="B398" t="s">
        <v>878</v>
      </c>
      <c r="C398" t="s">
        <v>835</v>
      </c>
      <c r="D398" t="s">
        <v>836</v>
      </c>
      <c r="E398" t="s">
        <v>280</v>
      </c>
      <c r="F398" t="s">
        <v>442</v>
      </c>
      <c r="G398" s="1">
        <v>45489</v>
      </c>
      <c r="H398" t="s">
        <v>24</v>
      </c>
      <c r="I398">
        <v>42729.49</v>
      </c>
      <c r="J398">
        <v>5415.28</v>
      </c>
      <c r="K398" t="s">
        <v>31</v>
      </c>
      <c r="L398" t="s">
        <v>52</v>
      </c>
      <c r="M398" t="s">
        <v>27</v>
      </c>
      <c r="N398">
        <v>320</v>
      </c>
      <c r="O398" s="1">
        <v>45568</v>
      </c>
      <c r="P398">
        <v>79</v>
      </c>
      <c r="Q398" t="s">
        <v>43</v>
      </c>
      <c r="R398">
        <v>2052.85</v>
      </c>
    </row>
    <row r="399" spans="1:18" x14ac:dyDescent="0.25">
      <c r="A399" t="s">
        <v>879</v>
      </c>
      <c r="B399" t="s">
        <v>880</v>
      </c>
      <c r="C399" t="s">
        <v>835</v>
      </c>
      <c r="D399" t="s">
        <v>836</v>
      </c>
      <c r="E399" t="s">
        <v>280</v>
      </c>
      <c r="F399" t="s">
        <v>442</v>
      </c>
      <c r="G399" s="1">
        <v>45753</v>
      </c>
      <c r="H399" t="s">
        <v>35</v>
      </c>
      <c r="I399">
        <v>50765.15</v>
      </c>
      <c r="J399">
        <v>15341.88</v>
      </c>
      <c r="K399" t="s">
        <v>31</v>
      </c>
      <c r="L399" t="s">
        <v>41</v>
      </c>
      <c r="M399" t="s">
        <v>53</v>
      </c>
      <c r="N399">
        <v>56</v>
      </c>
      <c r="Q399" t="s">
        <v>38</v>
      </c>
      <c r="R399">
        <v>0</v>
      </c>
    </row>
    <row r="400" spans="1:18" x14ac:dyDescent="0.25">
      <c r="A400" t="s">
        <v>881</v>
      </c>
      <c r="B400" t="s">
        <v>882</v>
      </c>
      <c r="C400" t="s">
        <v>835</v>
      </c>
      <c r="D400" t="s">
        <v>836</v>
      </c>
      <c r="E400" t="s">
        <v>280</v>
      </c>
      <c r="F400" t="s">
        <v>442</v>
      </c>
      <c r="G400" s="1">
        <v>45444</v>
      </c>
      <c r="H400" t="s">
        <v>59</v>
      </c>
      <c r="I400">
        <v>95457.84</v>
      </c>
      <c r="J400">
        <v>51413.58</v>
      </c>
      <c r="K400" t="s">
        <v>25</v>
      </c>
      <c r="L400" t="s">
        <v>46</v>
      </c>
      <c r="M400" t="s">
        <v>42</v>
      </c>
      <c r="N400">
        <v>365</v>
      </c>
      <c r="O400" s="1">
        <v>45550</v>
      </c>
      <c r="P400">
        <v>106</v>
      </c>
      <c r="Q400" t="s">
        <v>118</v>
      </c>
      <c r="R400">
        <v>0</v>
      </c>
    </row>
    <row r="401" spans="1:18" x14ac:dyDescent="0.25">
      <c r="A401" t="s">
        <v>883</v>
      </c>
      <c r="B401" t="s">
        <v>884</v>
      </c>
      <c r="C401" t="s">
        <v>835</v>
      </c>
      <c r="D401" t="s">
        <v>836</v>
      </c>
      <c r="E401" t="s">
        <v>280</v>
      </c>
      <c r="F401" t="s">
        <v>442</v>
      </c>
      <c r="G401" s="1">
        <v>45501</v>
      </c>
      <c r="H401" t="s">
        <v>77</v>
      </c>
      <c r="I401">
        <v>43389.35</v>
      </c>
      <c r="J401">
        <v>12569.43</v>
      </c>
      <c r="K401" t="s">
        <v>25</v>
      </c>
      <c r="L401" t="s">
        <v>67</v>
      </c>
      <c r="M401" t="s">
        <v>42</v>
      </c>
      <c r="N401">
        <v>308</v>
      </c>
      <c r="O401" s="1">
        <v>45537</v>
      </c>
      <c r="P401">
        <v>36</v>
      </c>
      <c r="Q401" t="s">
        <v>118</v>
      </c>
      <c r="R401">
        <v>0</v>
      </c>
    </row>
    <row r="402" spans="1:18" x14ac:dyDescent="0.25">
      <c r="A402" t="s">
        <v>885</v>
      </c>
      <c r="B402" t="s">
        <v>886</v>
      </c>
      <c r="C402" t="s">
        <v>835</v>
      </c>
      <c r="D402" t="s">
        <v>836</v>
      </c>
      <c r="E402" t="s">
        <v>280</v>
      </c>
      <c r="F402" t="s">
        <v>442</v>
      </c>
      <c r="G402" s="1">
        <v>45601</v>
      </c>
      <c r="H402" t="s">
        <v>59</v>
      </c>
      <c r="I402">
        <v>41886.120000000003</v>
      </c>
      <c r="J402">
        <v>3203.84</v>
      </c>
      <c r="K402" t="s">
        <v>86</v>
      </c>
      <c r="L402" t="s">
        <v>46</v>
      </c>
      <c r="M402" t="s">
        <v>27</v>
      </c>
      <c r="N402">
        <v>208</v>
      </c>
      <c r="O402" s="1">
        <v>45695</v>
      </c>
      <c r="P402">
        <v>94</v>
      </c>
      <c r="Q402" t="s">
        <v>28</v>
      </c>
      <c r="R402">
        <v>3203.84</v>
      </c>
    </row>
    <row r="403" spans="1:18" x14ac:dyDescent="0.25">
      <c r="A403" t="s">
        <v>887</v>
      </c>
      <c r="B403" t="s">
        <v>888</v>
      </c>
      <c r="C403" t="s">
        <v>835</v>
      </c>
      <c r="D403" t="s">
        <v>836</v>
      </c>
      <c r="E403" t="s">
        <v>280</v>
      </c>
      <c r="F403" t="s">
        <v>442</v>
      </c>
      <c r="G403" s="1">
        <v>45535</v>
      </c>
      <c r="H403" t="s">
        <v>35</v>
      </c>
      <c r="I403">
        <v>65639.789999999994</v>
      </c>
      <c r="J403">
        <v>26702.36</v>
      </c>
      <c r="K403" t="s">
        <v>56</v>
      </c>
      <c r="L403" t="s">
        <v>41</v>
      </c>
      <c r="M403" t="s">
        <v>42</v>
      </c>
      <c r="N403">
        <v>274</v>
      </c>
      <c r="O403" s="1">
        <v>45645</v>
      </c>
      <c r="P403">
        <v>110</v>
      </c>
      <c r="Q403" t="s">
        <v>48</v>
      </c>
      <c r="R403">
        <v>8632.85</v>
      </c>
    </row>
    <row r="404" spans="1:18" x14ac:dyDescent="0.25">
      <c r="A404" t="s">
        <v>889</v>
      </c>
      <c r="B404" t="s">
        <v>890</v>
      </c>
      <c r="C404" t="s">
        <v>835</v>
      </c>
      <c r="D404" t="s">
        <v>836</v>
      </c>
      <c r="E404" t="s">
        <v>280</v>
      </c>
      <c r="F404" t="s">
        <v>442</v>
      </c>
      <c r="G404" s="1">
        <v>45658</v>
      </c>
      <c r="H404" t="s">
        <v>59</v>
      </c>
      <c r="I404">
        <v>14272.29</v>
      </c>
      <c r="J404">
        <v>2083.16</v>
      </c>
      <c r="K404" t="s">
        <v>31</v>
      </c>
      <c r="L404" t="s">
        <v>36</v>
      </c>
      <c r="M404" t="s">
        <v>42</v>
      </c>
      <c r="N404">
        <v>151</v>
      </c>
      <c r="O404" s="1">
        <v>45776</v>
      </c>
      <c r="P404">
        <v>118</v>
      </c>
      <c r="Q404" t="s">
        <v>28</v>
      </c>
      <c r="R404">
        <v>2083.16</v>
      </c>
    </row>
    <row r="405" spans="1:18" x14ac:dyDescent="0.25">
      <c r="A405" t="s">
        <v>891</v>
      </c>
      <c r="B405" t="s">
        <v>892</v>
      </c>
      <c r="C405" t="s">
        <v>835</v>
      </c>
      <c r="D405" t="s">
        <v>836</v>
      </c>
      <c r="E405" t="s">
        <v>280</v>
      </c>
      <c r="F405" t="s">
        <v>442</v>
      </c>
      <c r="G405" s="1">
        <v>45763</v>
      </c>
      <c r="H405" t="s">
        <v>51</v>
      </c>
      <c r="I405">
        <v>26114.080000000002</v>
      </c>
      <c r="J405">
        <v>5679.71</v>
      </c>
      <c r="K405" t="s">
        <v>86</v>
      </c>
      <c r="L405" t="s">
        <v>52</v>
      </c>
      <c r="M405" t="s">
        <v>27</v>
      </c>
      <c r="N405">
        <v>46</v>
      </c>
      <c r="O405" s="1">
        <v>45803</v>
      </c>
      <c r="P405">
        <v>40</v>
      </c>
      <c r="Q405" t="s">
        <v>28</v>
      </c>
      <c r="R405">
        <v>5679.71</v>
      </c>
    </row>
    <row r="406" spans="1:18" x14ac:dyDescent="0.25">
      <c r="A406" t="s">
        <v>893</v>
      </c>
      <c r="B406" t="s">
        <v>894</v>
      </c>
      <c r="C406" t="s">
        <v>835</v>
      </c>
      <c r="D406" t="s">
        <v>836</v>
      </c>
      <c r="E406" t="s">
        <v>280</v>
      </c>
      <c r="F406" t="s">
        <v>442</v>
      </c>
      <c r="G406" s="1">
        <v>45748</v>
      </c>
      <c r="H406" t="s">
        <v>59</v>
      </c>
      <c r="I406">
        <v>49700.97</v>
      </c>
      <c r="J406">
        <v>34780.49</v>
      </c>
      <c r="K406" t="s">
        <v>31</v>
      </c>
      <c r="L406" t="s">
        <v>26</v>
      </c>
      <c r="M406" t="s">
        <v>27</v>
      </c>
      <c r="N406">
        <v>61</v>
      </c>
      <c r="O406" s="1">
        <v>45763</v>
      </c>
      <c r="P406">
        <v>15</v>
      </c>
      <c r="Q406" t="s">
        <v>43</v>
      </c>
      <c r="R406">
        <v>25059.3</v>
      </c>
    </row>
    <row r="407" spans="1:18" x14ac:dyDescent="0.25">
      <c r="A407" t="s">
        <v>895</v>
      </c>
      <c r="B407" t="s">
        <v>896</v>
      </c>
      <c r="C407" t="s">
        <v>835</v>
      </c>
      <c r="D407" t="s">
        <v>836</v>
      </c>
      <c r="E407" t="s">
        <v>280</v>
      </c>
      <c r="F407" t="s">
        <v>442</v>
      </c>
      <c r="G407" s="1">
        <v>45613</v>
      </c>
      <c r="H407" t="s">
        <v>66</v>
      </c>
      <c r="I407">
        <v>55334.66</v>
      </c>
      <c r="J407">
        <v>19911.099999999999</v>
      </c>
      <c r="K407" t="s">
        <v>86</v>
      </c>
      <c r="L407" t="s">
        <v>36</v>
      </c>
      <c r="M407" t="s">
        <v>42</v>
      </c>
      <c r="N407">
        <v>196</v>
      </c>
      <c r="O407" s="1">
        <v>45659</v>
      </c>
      <c r="P407">
        <v>46</v>
      </c>
      <c r="Q407" t="s">
        <v>43</v>
      </c>
      <c r="R407">
        <v>10784.69</v>
      </c>
    </row>
    <row r="408" spans="1:18" x14ac:dyDescent="0.25">
      <c r="A408" t="s">
        <v>897</v>
      </c>
      <c r="B408" t="s">
        <v>898</v>
      </c>
      <c r="C408" t="s">
        <v>835</v>
      </c>
      <c r="D408" t="s">
        <v>836</v>
      </c>
      <c r="E408" t="s">
        <v>280</v>
      </c>
      <c r="F408" t="s">
        <v>442</v>
      </c>
      <c r="G408" s="1">
        <v>45574</v>
      </c>
      <c r="H408" t="s">
        <v>77</v>
      </c>
      <c r="I408">
        <v>18606.29</v>
      </c>
      <c r="J408">
        <v>12964.78</v>
      </c>
      <c r="K408" t="s">
        <v>25</v>
      </c>
      <c r="L408" t="s">
        <v>67</v>
      </c>
      <c r="M408" t="s">
        <v>27</v>
      </c>
      <c r="N408">
        <v>235</v>
      </c>
      <c r="O408" s="1">
        <v>45599</v>
      </c>
      <c r="P408">
        <v>25</v>
      </c>
      <c r="Q408" t="s">
        <v>28</v>
      </c>
      <c r="R408">
        <v>12964.78</v>
      </c>
    </row>
    <row r="409" spans="1:18" x14ac:dyDescent="0.25">
      <c r="A409" t="s">
        <v>899</v>
      </c>
      <c r="B409" t="s">
        <v>900</v>
      </c>
      <c r="C409" t="s">
        <v>835</v>
      </c>
      <c r="D409" t="s">
        <v>836</v>
      </c>
      <c r="E409" t="s">
        <v>280</v>
      </c>
      <c r="F409" t="s">
        <v>442</v>
      </c>
      <c r="G409" s="1">
        <v>45779</v>
      </c>
      <c r="H409" t="s">
        <v>66</v>
      </c>
      <c r="I409">
        <v>5447.78</v>
      </c>
      <c r="J409">
        <v>1389.98</v>
      </c>
      <c r="K409" t="s">
        <v>86</v>
      </c>
      <c r="L409" t="s">
        <v>36</v>
      </c>
      <c r="M409" t="s">
        <v>53</v>
      </c>
      <c r="N409">
        <v>30</v>
      </c>
      <c r="Q409" t="s">
        <v>38</v>
      </c>
      <c r="R409">
        <v>0</v>
      </c>
    </row>
    <row r="410" spans="1:18" x14ac:dyDescent="0.25">
      <c r="A410" t="s">
        <v>901</v>
      </c>
      <c r="B410" t="s">
        <v>902</v>
      </c>
      <c r="C410" t="s">
        <v>835</v>
      </c>
      <c r="D410" t="s">
        <v>836</v>
      </c>
      <c r="E410" t="s">
        <v>280</v>
      </c>
      <c r="F410" t="s">
        <v>442</v>
      </c>
      <c r="G410" s="1">
        <v>45763</v>
      </c>
      <c r="H410" t="s">
        <v>51</v>
      </c>
      <c r="I410">
        <v>17293.57</v>
      </c>
      <c r="J410">
        <v>6489.99</v>
      </c>
      <c r="K410" t="s">
        <v>31</v>
      </c>
      <c r="L410" t="s">
        <v>67</v>
      </c>
      <c r="M410" t="s">
        <v>27</v>
      </c>
      <c r="N410">
        <v>46</v>
      </c>
      <c r="O410" s="1">
        <v>45768</v>
      </c>
      <c r="P410">
        <v>5</v>
      </c>
      <c r="Q410" t="s">
        <v>43</v>
      </c>
      <c r="R410">
        <v>4143.18</v>
      </c>
    </row>
    <row r="411" spans="1:18" x14ac:dyDescent="0.25">
      <c r="A411" t="s">
        <v>903</v>
      </c>
      <c r="B411" t="s">
        <v>904</v>
      </c>
      <c r="C411" t="s">
        <v>835</v>
      </c>
      <c r="D411" t="s">
        <v>836</v>
      </c>
      <c r="E411" t="s">
        <v>280</v>
      </c>
      <c r="F411" t="s">
        <v>442</v>
      </c>
      <c r="G411" s="1">
        <v>45801</v>
      </c>
      <c r="H411" t="s">
        <v>77</v>
      </c>
      <c r="I411">
        <v>89740.61</v>
      </c>
      <c r="J411">
        <v>55427.01</v>
      </c>
      <c r="K411" t="s">
        <v>31</v>
      </c>
      <c r="L411" t="s">
        <v>72</v>
      </c>
      <c r="M411" t="s">
        <v>37</v>
      </c>
      <c r="N411">
        <v>8</v>
      </c>
      <c r="Q411" t="s">
        <v>38</v>
      </c>
      <c r="R411">
        <v>0</v>
      </c>
    </row>
    <row r="412" spans="1:18" x14ac:dyDescent="0.25">
      <c r="A412" t="s">
        <v>905</v>
      </c>
      <c r="B412" t="s">
        <v>906</v>
      </c>
      <c r="C412" t="s">
        <v>907</v>
      </c>
      <c r="D412" t="s">
        <v>908</v>
      </c>
      <c r="E412" t="s">
        <v>22</v>
      </c>
      <c r="F412" t="s">
        <v>909</v>
      </c>
      <c r="G412" s="1">
        <v>45453</v>
      </c>
      <c r="H412" t="s">
        <v>59</v>
      </c>
      <c r="I412">
        <v>88313.59</v>
      </c>
      <c r="J412">
        <v>25087.17</v>
      </c>
      <c r="K412" t="s">
        <v>25</v>
      </c>
      <c r="L412" t="s">
        <v>41</v>
      </c>
      <c r="M412" t="s">
        <v>27</v>
      </c>
      <c r="N412">
        <v>356</v>
      </c>
      <c r="O412" s="1">
        <v>45561</v>
      </c>
      <c r="P412">
        <v>108</v>
      </c>
      <c r="Q412" t="s">
        <v>28</v>
      </c>
      <c r="R412">
        <v>25087.17</v>
      </c>
    </row>
    <row r="413" spans="1:18" x14ac:dyDescent="0.25">
      <c r="A413" t="s">
        <v>910</v>
      </c>
      <c r="B413" t="s">
        <v>911</v>
      </c>
      <c r="C413" t="s">
        <v>907</v>
      </c>
      <c r="D413" t="s">
        <v>908</v>
      </c>
      <c r="E413" t="s">
        <v>22</v>
      </c>
      <c r="F413" t="s">
        <v>909</v>
      </c>
      <c r="G413" s="1">
        <v>45660</v>
      </c>
      <c r="H413" t="s">
        <v>51</v>
      </c>
      <c r="I413">
        <v>48313</v>
      </c>
      <c r="J413">
        <v>21268.17</v>
      </c>
      <c r="K413" t="s">
        <v>31</v>
      </c>
      <c r="L413" t="s">
        <v>36</v>
      </c>
      <c r="M413" t="s">
        <v>27</v>
      </c>
      <c r="N413">
        <v>149</v>
      </c>
      <c r="O413" s="1">
        <v>45778</v>
      </c>
      <c r="P413">
        <v>118</v>
      </c>
      <c r="Q413" t="s">
        <v>43</v>
      </c>
      <c r="R413">
        <v>13825.79</v>
      </c>
    </row>
    <row r="414" spans="1:18" x14ac:dyDescent="0.25">
      <c r="A414" t="s">
        <v>912</v>
      </c>
      <c r="B414" t="s">
        <v>913</v>
      </c>
      <c r="C414" t="s">
        <v>907</v>
      </c>
      <c r="D414" t="s">
        <v>908</v>
      </c>
      <c r="E414" t="s">
        <v>22</v>
      </c>
      <c r="F414" t="s">
        <v>909</v>
      </c>
      <c r="G414" s="1">
        <v>45724</v>
      </c>
      <c r="H414" t="s">
        <v>66</v>
      </c>
      <c r="I414">
        <v>95068.01</v>
      </c>
      <c r="J414">
        <v>70222.37</v>
      </c>
      <c r="K414" t="s">
        <v>31</v>
      </c>
      <c r="L414" t="s">
        <v>46</v>
      </c>
      <c r="M414" t="s">
        <v>47</v>
      </c>
      <c r="N414">
        <v>85</v>
      </c>
      <c r="O414" s="1">
        <v>45743</v>
      </c>
      <c r="P414">
        <v>19</v>
      </c>
      <c r="Q414" t="s">
        <v>28</v>
      </c>
      <c r="R414">
        <v>70222.37</v>
      </c>
    </row>
    <row r="415" spans="1:18" x14ac:dyDescent="0.25">
      <c r="A415" t="s">
        <v>914</v>
      </c>
      <c r="B415" t="s">
        <v>915</v>
      </c>
      <c r="C415" t="s">
        <v>907</v>
      </c>
      <c r="D415" t="s">
        <v>908</v>
      </c>
      <c r="E415" t="s">
        <v>22</v>
      </c>
      <c r="F415" t="s">
        <v>909</v>
      </c>
      <c r="G415" s="1">
        <v>45797</v>
      </c>
      <c r="H415" t="s">
        <v>24</v>
      </c>
      <c r="I415">
        <v>61020.82</v>
      </c>
      <c r="J415">
        <v>10784.73</v>
      </c>
      <c r="K415" t="s">
        <v>31</v>
      </c>
      <c r="L415" t="s">
        <v>72</v>
      </c>
      <c r="M415" t="s">
        <v>53</v>
      </c>
      <c r="N415">
        <v>12</v>
      </c>
      <c r="Q415" t="s">
        <v>38</v>
      </c>
      <c r="R415">
        <v>0</v>
      </c>
    </row>
    <row r="416" spans="1:18" x14ac:dyDescent="0.25">
      <c r="A416" t="s">
        <v>916</v>
      </c>
      <c r="B416" t="s">
        <v>917</v>
      </c>
      <c r="C416" t="s">
        <v>907</v>
      </c>
      <c r="D416" t="s">
        <v>908</v>
      </c>
      <c r="E416" t="s">
        <v>22</v>
      </c>
      <c r="F416" t="s">
        <v>909</v>
      </c>
      <c r="G416" s="1">
        <v>45481</v>
      </c>
      <c r="H416" t="s">
        <v>77</v>
      </c>
      <c r="I416">
        <v>29299.97</v>
      </c>
      <c r="J416">
        <v>13215.75</v>
      </c>
      <c r="K416" t="s">
        <v>25</v>
      </c>
      <c r="L416" t="s">
        <v>26</v>
      </c>
      <c r="M416" t="s">
        <v>47</v>
      </c>
      <c r="N416">
        <v>328</v>
      </c>
      <c r="O416" s="1">
        <v>45486</v>
      </c>
      <c r="P416">
        <v>5</v>
      </c>
      <c r="Q416" t="s">
        <v>28</v>
      </c>
      <c r="R416">
        <v>13215.75</v>
      </c>
    </row>
    <row r="417" spans="1:18" x14ac:dyDescent="0.25">
      <c r="A417" t="s">
        <v>918</v>
      </c>
      <c r="B417" t="s">
        <v>919</v>
      </c>
      <c r="C417" t="s">
        <v>907</v>
      </c>
      <c r="D417" t="s">
        <v>908</v>
      </c>
      <c r="E417" t="s">
        <v>22</v>
      </c>
      <c r="F417" t="s">
        <v>909</v>
      </c>
      <c r="G417" s="1">
        <v>45749</v>
      </c>
      <c r="H417" t="s">
        <v>51</v>
      </c>
      <c r="I417">
        <v>44593.68</v>
      </c>
      <c r="J417">
        <v>14947.37</v>
      </c>
      <c r="K417" t="s">
        <v>31</v>
      </c>
      <c r="L417" t="s">
        <v>36</v>
      </c>
      <c r="M417" t="s">
        <v>53</v>
      </c>
      <c r="N417">
        <v>60</v>
      </c>
      <c r="Q417" t="s">
        <v>38</v>
      </c>
      <c r="R417">
        <v>0</v>
      </c>
    </row>
    <row r="418" spans="1:18" x14ac:dyDescent="0.25">
      <c r="A418" t="s">
        <v>920</v>
      </c>
      <c r="B418" t="s">
        <v>921</v>
      </c>
      <c r="C418" t="s">
        <v>907</v>
      </c>
      <c r="D418" t="s">
        <v>908</v>
      </c>
      <c r="E418" t="s">
        <v>22</v>
      </c>
      <c r="F418" t="s">
        <v>909</v>
      </c>
      <c r="G418" s="1">
        <v>45457</v>
      </c>
      <c r="H418" t="s">
        <v>24</v>
      </c>
      <c r="I418">
        <v>64879.58</v>
      </c>
      <c r="J418">
        <v>17896.21</v>
      </c>
      <c r="K418" t="s">
        <v>86</v>
      </c>
      <c r="L418" t="s">
        <v>41</v>
      </c>
      <c r="M418" t="s">
        <v>27</v>
      </c>
      <c r="N418">
        <v>352</v>
      </c>
      <c r="O418" s="1">
        <v>45549</v>
      </c>
      <c r="P418">
        <v>92</v>
      </c>
      <c r="Q418" t="s">
        <v>28</v>
      </c>
      <c r="R418">
        <v>17896.21</v>
      </c>
    </row>
    <row r="419" spans="1:18" x14ac:dyDescent="0.25">
      <c r="A419" t="s">
        <v>922</v>
      </c>
      <c r="B419" t="s">
        <v>923</v>
      </c>
      <c r="C419" t="s">
        <v>907</v>
      </c>
      <c r="D419" t="s">
        <v>908</v>
      </c>
      <c r="E419" t="s">
        <v>22</v>
      </c>
      <c r="F419" t="s">
        <v>909</v>
      </c>
      <c r="G419" s="1">
        <v>45755</v>
      </c>
      <c r="H419" t="s">
        <v>77</v>
      </c>
      <c r="I419">
        <v>53600.55</v>
      </c>
      <c r="J419">
        <v>27511.74</v>
      </c>
      <c r="K419" t="s">
        <v>31</v>
      </c>
      <c r="L419" t="s">
        <v>67</v>
      </c>
      <c r="M419" t="s">
        <v>53</v>
      </c>
      <c r="N419">
        <v>54</v>
      </c>
      <c r="Q419" t="s">
        <v>38</v>
      </c>
      <c r="R419">
        <v>0</v>
      </c>
    </row>
    <row r="420" spans="1:18" x14ac:dyDescent="0.25">
      <c r="A420" t="s">
        <v>924</v>
      </c>
      <c r="B420" t="s">
        <v>925</v>
      </c>
      <c r="C420" t="s">
        <v>907</v>
      </c>
      <c r="D420" t="s">
        <v>908</v>
      </c>
      <c r="E420" t="s">
        <v>22</v>
      </c>
      <c r="F420" t="s">
        <v>909</v>
      </c>
      <c r="G420" s="1">
        <v>45706</v>
      </c>
      <c r="H420" t="s">
        <v>35</v>
      </c>
      <c r="I420">
        <v>78906.100000000006</v>
      </c>
      <c r="J420">
        <v>53153.05</v>
      </c>
      <c r="K420" t="s">
        <v>56</v>
      </c>
      <c r="L420" t="s">
        <v>32</v>
      </c>
      <c r="M420" t="s">
        <v>27</v>
      </c>
      <c r="N420">
        <v>103</v>
      </c>
      <c r="O420" s="1">
        <v>45714</v>
      </c>
      <c r="P420">
        <v>8</v>
      </c>
      <c r="Q420" t="s">
        <v>43</v>
      </c>
      <c r="R420">
        <v>39663.550000000003</v>
      </c>
    </row>
    <row r="421" spans="1:18" x14ac:dyDescent="0.25">
      <c r="A421" t="s">
        <v>926</v>
      </c>
      <c r="B421" t="s">
        <v>927</v>
      </c>
      <c r="C421" t="s">
        <v>907</v>
      </c>
      <c r="D421" t="s">
        <v>908</v>
      </c>
      <c r="E421" t="s">
        <v>22</v>
      </c>
      <c r="F421" t="s">
        <v>909</v>
      </c>
      <c r="G421" s="1">
        <v>45456</v>
      </c>
      <c r="H421" t="s">
        <v>24</v>
      </c>
      <c r="I421">
        <v>93646.81</v>
      </c>
      <c r="J421">
        <v>27902.32</v>
      </c>
      <c r="K421" t="s">
        <v>25</v>
      </c>
      <c r="L421" t="s">
        <v>26</v>
      </c>
      <c r="M421" t="s">
        <v>42</v>
      </c>
      <c r="N421">
        <v>353</v>
      </c>
      <c r="O421" s="1">
        <v>45565</v>
      </c>
      <c r="P421">
        <v>109</v>
      </c>
      <c r="Q421" t="s">
        <v>43</v>
      </c>
      <c r="R421">
        <v>13852.45</v>
      </c>
    </row>
    <row r="422" spans="1:18" x14ac:dyDescent="0.25">
      <c r="A422" t="s">
        <v>928</v>
      </c>
      <c r="B422" t="s">
        <v>929</v>
      </c>
      <c r="C422" t="s">
        <v>907</v>
      </c>
      <c r="D422" t="s">
        <v>908</v>
      </c>
      <c r="E422" t="s">
        <v>22</v>
      </c>
      <c r="F422" t="s">
        <v>909</v>
      </c>
      <c r="G422" s="1">
        <v>45762</v>
      </c>
      <c r="H422" t="s">
        <v>35</v>
      </c>
      <c r="I422">
        <v>79054.990000000005</v>
      </c>
      <c r="J422">
        <v>8402.4500000000007</v>
      </c>
      <c r="K422" t="s">
        <v>86</v>
      </c>
      <c r="L422" t="s">
        <v>46</v>
      </c>
      <c r="M422" t="s">
        <v>27</v>
      </c>
      <c r="N422">
        <v>47</v>
      </c>
      <c r="O422" s="1">
        <v>45783</v>
      </c>
      <c r="P422">
        <v>21</v>
      </c>
      <c r="Q422" t="s">
        <v>28</v>
      </c>
      <c r="R422">
        <v>8402.4500000000007</v>
      </c>
    </row>
    <row r="423" spans="1:18" x14ac:dyDescent="0.25">
      <c r="A423" t="s">
        <v>930</v>
      </c>
      <c r="B423" t="s">
        <v>931</v>
      </c>
      <c r="C423" t="s">
        <v>907</v>
      </c>
      <c r="D423" t="s">
        <v>908</v>
      </c>
      <c r="E423" t="s">
        <v>22</v>
      </c>
      <c r="F423" t="s">
        <v>909</v>
      </c>
      <c r="G423" s="1">
        <v>45783</v>
      </c>
      <c r="H423" t="s">
        <v>35</v>
      </c>
      <c r="I423">
        <v>14481.85</v>
      </c>
      <c r="J423">
        <v>2621.6</v>
      </c>
      <c r="K423" t="s">
        <v>25</v>
      </c>
      <c r="L423" t="s">
        <v>52</v>
      </c>
      <c r="M423" t="s">
        <v>47</v>
      </c>
      <c r="N423">
        <v>26</v>
      </c>
      <c r="O423" s="1">
        <v>45796</v>
      </c>
      <c r="P423">
        <v>13</v>
      </c>
      <c r="Q423" t="s">
        <v>43</v>
      </c>
      <c r="R423">
        <v>706.63</v>
      </c>
    </row>
    <row r="424" spans="1:18" x14ac:dyDescent="0.25">
      <c r="A424" t="s">
        <v>932</v>
      </c>
      <c r="B424" t="s">
        <v>933</v>
      </c>
      <c r="C424" t="s">
        <v>907</v>
      </c>
      <c r="D424" t="s">
        <v>908</v>
      </c>
      <c r="E424" t="s">
        <v>22</v>
      </c>
      <c r="F424" t="s">
        <v>909</v>
      </c>
      <c r="G424" s="1">
        <v>45785</v>
      </c>
      <c r="H424" t="s">
        <v>35</v>
      </c>
      <c r="I424">
        <v>5918.87</v>
      </c>
      <c r="J424">
        <v>910.3</v>
      </c>
      <c r="K424" t="s">
        <v>31</v>
      </c>
      <c r="L424" t="s">
        <v>52</v>
      </c>
      <c r="M424" t="s">
        <v>47</v>
      </c>
      <c r="N424">
        <v>24</v>
      </c>
      <c r="O424" s="1">
        <v>45807</v>
      </c>
      <c r="P424">
        <v>22</v>
      </c>
      <c r="Q424" t="s">
        <v>28</v>
      </c>
      <c r="R424">
        <v>910.3</v>
      </c>
    </row>
    <row r="425" spans="1:18" x14ac:dyDescent="0.25">
      <c r="A425" t="s">
        <v>934</v>
      </c>
      <c r="B425" t="s">
        <v>935</v>
      </c>
      <c r="C425" t="s">
        <v>907</v>
      </c>
      <c r="D425" t="s">
        <v>908</v>
      </c>
      <c r="E425" t="s">
        <v>22</v>
      </c>
      <c r="F425" t="s">
        <v>909</v>
      </c>
      <c r="G425" s="1">
        <v>45761</v>
      </c>
      <c r="H425" t="s">
        <v>51</v>
      </c>
      <c r="I425">
        <v>40399.1</v>
      </c>
      <c r="J425">
        <v>12404.22</v>
      </c>
      <c r="K425" t="s">
        <v>25</v>
      </c>
      <c r="L425" t="s">
        <v>67</v>
      </c>
      <c r="M425" t="s">
        <v>53</v>
      </c>
      <c r="N425">
        <v>48</v>
      </c>
      <c r="Q425" t="s">
        <v>38</v>
      </c>
      <c r="R425">
        <v>0</v>
      </c>
    </row>
    <row r="426" spans="1:18" x14ac:dyDescent="0.25">
      <c r="A426" t="s">
        <v>936</v>
      </c>
      <c r="B426" t="s">
        <v>937</v>
      </c>
      <c r="C426" t="s">
        <v>907</v>
      </c>
      <c r="D426" t="s">
        <v>908</v>
      </c>
      <c r="E426" t="s">
        <v>22</v>
      </c>
      <c r="F426" t="s">
        <v>909</v>
      </c>
      <c r="G426" s="1">
        <v>45611</v>
      </c>
      <c r="H426" t="s">
        <v>66</v>
      </c>
      <c r="I426">
        <v>70540.73</v>
      </c>
      <c r="J426">
        <v>28828.85</v>
      </c>
      <c r="K426" t="s">
        <v>31</v>
      </c>
      <c r="L426" t="s">
        <v>26</v>
      </c>
      <c r="M426" t="s">
        <v>27</v>
      </c>
      <c r="N426">
        <v>198</v>
      </c>
      <c r="O426" s="1">
        <v>45706</v>
      </c>
      <c r="P426">
        <v>95</v>
      </c>
      <c r="Q426" t="s">
        <v>28</v>
      </c>
      <c r="R426">
        <v>28828.85</v>
      </c>
    </row>
    <row r="427" spans="1:18" x14ac:dyDescent="0.25">
      <c r="A427" t="s">
        <v>938</v>
      </c>
      <c r="B427" t="s">
        <v>939</v>
      </c>
      <c r="C427" t="s">
        <v>907</v>
      </c>
      <c r="D427" t="s">
        <v>908</v>
      </c>
      <c r="E427" t="s">
        <v>22</v>
      </c>
      <c r="F427" t="s">
        <v>909</v>
      </c>
      <c r="G427" s="1">
        <v>45727</v>
      </c>
      <c r="H427" t="s">
        <v>59</v>
      </c>
      <c r="I427">
        <v>14852.75</v>
      </c>
      <c r="J427">
        <v>10893.3</v>
      </c>
      <c r="K427" t="s">
        <v>31</v>
      </c>
      <c r="L427" t="s">
        <v>67</v>
      </c>
      <c r="M427" t="s">
        <v>53</v>
      </c>
      <c r="N427">
        <v>82</v>
      </c>
      <c r="Q427" t="s">
        <v>38</v>
      </c>
      <c r="R427">
        <v>0</v>
      </c>
    </row>
    <row r="428" spans="1:18" x14ac:dyDescent="0.25">
      <c r="A428" t="s">
        <v>940</v>
      </c>
      <c r="B428" t="s">
        <v>941</v>
      </c>
      <c r="C428" t="s">
        <v>907</v>
      </c>
      <c r="D428" t="s">
        <v>908</v>
      </c>
      <c r="E428" t="s">
        <v>22</v>
      </c>
      <c r="F428" t="s">
        <v>909</v>
      </c>
      <c r="G428" s="1">
        <v>45614</v>
      </c>
      <c r="H428" t="s">
        <v>24</v>
      </c>
      <c r="I428">
        <v>79020.61</v>
      </c>
      <c r="J428">
        <v>40183.47</v>
      </c>
      <c r="K428" t="s">
        <v>86</v>
      </c>
      <c r="L428" t="s">
        <v>36</v>
      </c>
      <c r="M428" t="s">
        <v>27</v>
      </c>
      <c r="N428">
        <v>195</v>
      </c>
      <c r="O428" s="1">
        <v>45679</v>
      </c>
      <c r="P428">
        <v>65</v>
      </c>
      <c r="Q428" t="s">
        <v>28</v>
      </c>
      <c r="R428">
        <v>40183.47</v>
      </c>
    </row>
    <row r="429" spans="1:18" x14ac:dyDescent="0.25">
      <c r="A429" t="s">
        <v>942</v>
      </c>
      <c r="B429" t="s">
        <v>943</v>
      </c>
      <c r="C429" t="s">
        <v>907</v>
      </c>
      <c r="D429" t="s">
        <v>908</v>
      </c>
      <c r="E429" t="s">
        <v>22</v>
      </c>
      <c r="F429" t="s">
        <v>909</v>
      </c>
      <c r="G429" s="1">
        <v>45598</v>
      </c>
      <c r="H429" t="s">
        <v>77</v>
      </c>
      <c r="I429">
        <v>46865.35</v>
      </c>
      <c r="J429">
        <v>4569.47</v>
      </c>
      <c r="K429" t="s">
        <v>86</v>
      </c>
      <c r="L429" t="s">
        <v>46</v>
      </c>
      <c r="M429" t="s">
        <v>42</v>
      </c>
      <c r="N429">
        <v>211</v>
      </c>
      <c r="O429" s="1">
        <v>45686</v>
      </c>
      <c r="P429">
        <v>88</v>
      </c>
      <c r="Q429" t="s">
        <v>118</v>
      </c>
      <c r="R429">
        <v>0</v>
      </c>
    </row>
    <row r="430" spans="1:18" x14ac:dyDescent="0.25">
      <c r="A430" t="s">
        <v>944</v>
      </c>
      <c r="B430" t="s">
        <v>945</v>
      </c>
      <c r="C430" t="s">
        <v>907</v>
      </c>
      <c r="D430" t="s">
        <v>908</v>
      </c>
      <c r="E430" t="s">
        <v>22</v>
      </c>
      <c r="F430" t="s">
        <v>909</v>
      </c>
      <c r="G430" s="1">
        <v>45543</v>
      </c>
      <c r="H430" t="s">
        <v>24</v>
      </c>
      <c r="I430">
        <v>54694.8</v>
      </c>
      <c r="J430">
        <v>31473.31</v>
      </c>
      <c r="K430" t="s">
        <v>25</v>
      </c>
      <c r="L430" t="s">
        <v>46</v>
      </c>
      <c r="M430" t="s">
        <v>27</v>
      </c>
      <c r="N430">
        <v>266</v>
      </c>
      <c r="O430" s="1">
        <v>45630</v>
      </c>
      <c r="P430">
        <v>87</v>
      </c>
      <c r="Q430" t="s">
        <v>48</v>
      </c>
      <c r="R430">
        <v>7992.67</v>
      </c>
    </row>
    <row r="431" spans="1:18" x14ac:dyDescent="0.25">
      <c r="A431" t="s">
        <v>946</v>
      </c>
      <c r="B431" t="s">
        <v>947</v>
      </c>
      <c r="C431" t="s">
        <v>907</v>
      </c>
      <c r="D431" t="s">
        <v>908</v>
      </c>
      <c r="E431" t="s">
        <v>22</v>
      </c>
      <c r="F431" t="s">
        <v>909</v>
      </c>
      <c r="G431" s="1">
        <v>45523</v>
      </c>
      <c r="H431" t="s">
        <v>66</v>
      </c>
      <c r="I431">
        <v>89745.88</v>
      </c>
      <c r="J431">
        <v>45742.17</v>
      </c>
      <c r="K431" t="s">
        <v>25</v>
      </c>
      <c r="L431" t="s">
        <v>67</v>
      </c>
      <c r="M431" t="s">
        <v>42</v>
      </c>
      <c r="N431">
        <v>286</v>
      </c>
      <c r="O431" s="1">
        <v>45637</v>
      </c>
      <c r="P431">
        <v>114</v>
      </c>
      <c r="Q431" t="s">
        <v>28</v>
      </c>
      <c r="R431">
        <v>45742.17</v>
      </c>
    </row>
    <row r="432" spans="1:18" x14ac:dyDescent="0.25">
      <c r="A432" t="s">
        <v>948</v>
      </c>
      <c r="B432" t="s">
        <v>949</v>
      </c>
      <c r="C432" t="s">
        <v>907</v>
      </c>
      <c r="D432" t="s">
        <v>908</v>
      </c>
      <c r="E432" t="s">
        <v>22</v>
      </c>
      <c r="F432" t="s">
        <v>909</v>
      </c>
      <c r="G432" s="1">
        <v>45557</v>
      </c>
      <c r="H432" t="s">
        <v>59</v>
      </c>
      <c r="I432">
        <v>35460.21</v>
      </c>
      <c r="J432">
        <v>10573.21</v>
      </c>
      <c r="K432" t="s">
        <v>31</v>
      </c>
      <c r="L432" t="s">
        <v>46</v>
      </c>
      <c r="M432" t="s">
        <v>27</v>
      </c>
      <c r="N432">
        <v>252</v>
      </c>
      <c r="O432" s="1">
        <v>45608</v>
      </c>
      <c r="P432">
        <v>51</v>
      </c>
      <c r="Q432" t="s">
        <v>43</v>
      </c>
      <c r="R432">
        <v>3605.46</v>
      </c>
    </row>
    <row r="433" spans="1:18" x14ac:dyDescent="0.25">
      <c r="A433" t="s">
        <v>950</v>
      </c>
      <c r="B433" t="s">
        <v>951</v>
      </c>
      <c r="C433" t="s">
        <v>907</v>
      </c>
      <c r="D433" t="s">
        <v>908</v>
      </c>
      <c r="E433" t="s">
        <v>22</v>
      </c>
      <c r="F433" t="s">
        <v>909</v>
      </c>
      <c r="G433" s="1">
        <v>45573</v>
      </c>
      <c r="H433" t="s">
        <v>51</v>
      </c>
      <c r="I433">
        <v>47197.94</v>
      </c>
      <c r="J433">
        <v>22644.45</v>
      </c>
      <c r="K433" t="s">
        <v>25</v>
      </c>
      <c r="L433" t="s">
        <v>67</v>
      </c>
      <c r="M433" t="s">
        <v>27</v>
      </c>
      <c r="N433">
        <v>236</v>
      </c>
      <c r="O433" s="1">
        <v>45639</v>
      </c>
      <c r="P433">
        <v>66</v>
      </c>
      <c r="Q433" t="s">
        <v>48</v>
      </c>
      <c r="R433">
        <v>2425.39</v>
      </c>
    </row>
    <row r="434" spans="1:18" x14ac:dyDescent="0.25">
      <c r="A434" t="s">
        <v>952</v>
      </c>
      <c r="B434" t="s">
        <v>953</v>
      </c>
      <c r="C434" t="s">
        <v>907</v>
      </c>
      <c r="D434" t="s">
        <v>908</v>
      </c>
      <c r="E434" t="s">
        <v>22</v>
      </c>
      <c r="F434" t="s">
        <v>909</v>
      </c>
      <c r="G434" s="1">
        <v>45602</v>
      </c>
      <c r="H434" t="s">
        <v>77</v>
      </c>
      <c r="I434">
        <v>44172.160000000003</v>
      </c>
      <c r="J434">
        <v>20665.87</v>
      </c>
      <c r="K434" t="s">
        <v>25</v>
      </c>
      <c r="L434" t="s">
        <v>41</v>
      </c>
      <c r="M434" t="s">
        <v>42</v>
      </c>
      <c r="N434">
        <v>207</v>
      </c>
      <c r="O434" s="1">
        <v>45676</v>
      </c>
      <c r="P434">
        <v>74</v>
      </c>
      <c r="Q434" t="s">
        <v>28</v>
      </c>
      <c r="R434">
        <v>20665.87</v>
      </c>
    </row>
    <row r="435" spans="1:18" x14ac:dyDescent="0.25">
      <c r="A435" t="s">
        <v>954</v>
      </c>
      <c r="B435" t="s">
        <v>955</v>
      </c>
      <c r="C435" t="s">
        <v>907</v>
      </c>
      <c r="D435" t="s">
        <v>908</v>
      </c>
      <c r="E435" t="s">
        <v>22</v>
      </c>
      <c r="F435" t="s">
        <v>909</v>
      </c>
      <c r="G435" s="1">
        <v>45465</v>
      </c>
      <c r="H435" t="s">
        <v>66</v>
      </c>
      <c r="I435">
        <v>48339.75</v>
      </c>
      <c r="J435">
        <v>14774.59</v>
      </c>
      <c r="K435" t="s">
        <v>86</v>
      </c>
      <c r="L435" t="s">
        <v>67</v>
      </c>
      <c r="M435" t="s">
        <v>27</v>
      </c>
      <c r="N435">
        <v>344</v>
      </c>
      <c r="O435" s="1">
        <v>45566</v>
      </c>
      <c r="P435">
        <v>101</v>
      </c>
      <c r="Q435" t="s">
        <v>43</v>
      </c>
      <c r="R435">
        <v>7149.13</v>
      </c>
    </row>
    <row r="436" spans="1:18" x14ac:dyDescent="0.25">
      <c r="A436" t="s">
        <v>956</v>
      </c>
      <c r="B436" t="s">
        <v>957</v>
      </c>
      <c r="C436" t="s">
        <v>907</v>
      </c>
      <c r="D436" t="s">
        <v>908</v>
      </c>
      <c r="E436" t="s">
        <v>22</v>
      </c>
      <c r="F436" t="s">
        <v>909</v>
      </c>
      <c r="G436" s="1">
        <v>45472</v>
      </c>
      <c r="H436" t="s">
        <v>24</v>
      </c>
      <c r="I436">
        <v>39512.980000000003</v>
      </c>
      <c r="J436">
        <v>15386.33</v>
      </c>
      <c r="K436" t="s">
        <v>25</v>
      </c>
      <c r="L436" t="s">
        <v>46</v>
      </c>
      <c r="M436" t="s">
        <v>37</v>
      </c>
      <c r="N436">
        <v>337</v>
      </c>
      <c r="Q436" t="s">
        <v>38</v>
      </c>
      <c r="R436">
        <v>0</v>
      </c>
    </row>
    <row r="437" spans="1:18" x14ac:dyDescent="0.25">
      <c r="A437" t="s">
        <v>958</v>
      </c>
      <c r="B437" t="s">
        <v>959</v>
      </c>
      <c r="C437" t="s">
        <v>907</v>
      </c>
      <c r="D437" t="s">
        <v>908</v>
      </c>
      <c r="E437" t="s">
        <v>22</v>
      </c>
      <c r="F437" t="s">
        <v>909</v>
      </c>
      <c r="G437" s="1">
        <v>45627</v>
      </c>
      <c r="H437" t="s">
        <v>59</v>
      </c>
      <c r="I437">
        <v>83838.97</v>
      </c>
      <c r="J437">
        <v>64834.79</v>
      </c>
      <c r="K437" t="s">
        <v>31</v>
      </c>
      <c r="L437" t="s">
        <v>52</v>
      </c>
      <c r="M437" t="s">
        <v>47</v>
      </c>
      <c r="N437">
        <v>182</v>
      </c>
      <c r="O437" s="1">
        <v>45635</v>
      </c>
      <c r="P437">
        <v>8</v>
      </c>
      <c r="Q437" t="s">
        <v>118</v>
      </c>
      <c r="R437">
        <v>0</v>
      </c>
    </row>
    <row r="438" spans="1:18" x14ac:dyDescent="0.25">
      <c r="A438" t="s">
        <v>960</v>
      </c>
      <c r="B438" t="s">
        <v>961</v>
      </c>
      <c r="C438" t="s">
        <v>907</v>
      </c>
      <c r="D438" t="s">
        <v>908</v>
      </c>
      <c r="E438" t="s">
        <v>22</v>
      </c>
      <c r="F438" t="s">
        <v>909</v>
      </c>
      <c r="G438" s="1">
        <v>45556</v>
      </c>
      <c r="H438" t="s">
        <v>77</v>
      </c>
      <c r="I438">
        <v>18342.669999999998</v>
      </c>
      <c r="J438">
        <v>10778.92</v>
      </c>
      <c r="K438" t="s">
        <v>86</v>
      </c>
      <c r="L438" t="s">
        <v>41</v>
      </c>
      <c r="M438" t="s">
        <v>27</v>
      </c>
      <c r="N438">
        <v>253</v>
      </c>
      <c r="O438" s="1">
        <v>45583</v>
      </c>
      <c r="P438">
        <v>27</v>
      </c>
      <c r="Q438" t="s">
        <v>28</v>
      </c>
      <c r="R438">
        <v>10778.92</v>
      </c>
    </row>
    <row r="439" spans="1:18" x14ac:dyDescent="0.25">
      <c r="A439" t="s">
        <v>962</v>
      </c>
      <c r="B439" t="s">
        <v>963</v>
      </c>
      <c r="C439" t="s">
        <v>964</v>
      </c>
      <c r="D439" t="s">
        <v>965</v>
      </c>
      <c r="E439" t="s">
        <v>93</v>
      </c>
      <c r="F439" t="s">
        <v>442</v>
      </c>
      <c r="G439" s="1">
        <v>45574</v>
      </c>
      <c r="H439" t="s">
        <v>51</v>
      </c>
      <c r="I439">
        <v>83332.639999999999</v>
      </c>
      <c r="J439">
        <v>16077.71</v>
      </c>
      <c r="K439" t="s">
        <v>31</v>
      </c>
      <c r="L439" t="s">
        <v>72</v>
      </c>
      <c r="M439" t="s">
        <v>42</v>
      </c>
      <c r="N439">
        <v>235</v>
      </c>
      <c r="O439" s="1">
        <v>45684</v>
      </c>
      <c r="P439">
        <v>110</v>
      </c>
      <c r="Q439" t="s">
        <v>48</v>
      </c>
      <c r="R439">
        <v>2400.1999999999998</v>
      </c>
    </row>
    <row r="440" spans="1:18" x14ac:dyDescent="0.25">
      <c r="A440" t="s">
        <v>966</v>
      </c>
      <c r="B440" t="s">
        <v>967</v>
      </c>
      <c r="C440" t="s">
        <v>964</v>
      </c>
      <c r="D440" t="s">
        <v>965</v>
      </c>
      <c r="E440" t="s">
        <v>93</v>
      </c>
      <c r="F440" t="s">
        <v>442</v>
      </c>
      <c r="G440" s="1">
        <v>45578</v>
      </c>
      <c r="H440" t="s">
        <v>51</v>
      </c>
      <c r="I440">
        <v>48451.85</v>
      </c>
      <c r="J440">
        <v>23837.69</v>
      </c>
      <c r="K440" t="s">
        <v>31</v>
      </c>
      <c r="L440" t="s">
        <v>72</v>
      </c>
      <c r="M440" t="s">
        <v>27</v>
      </c>
      <c r="N440">
        <v>231</v>
      </c>
      <c r="O440" s="1">
        <v>45587</v>
      </c>
      <c r="P440">
        <v>9</v>
      </c>
      <c r="Q440" t="s">
        <v>43</v>
      </c>
      <c r="R440">
        <v>10957.86</v>
      </c>
    </row>
    <row r="441" spans="1:18" x14ac:dyDescent="0.25">
      <c r="A441" t="s">
        <v>968</v>
      </c>
      <c r="B441" t="s">
        <v>969</v>
      </c>
      <c r="C441" t="s">
        <v>964</v>
      </c>
      <c r="D441" t="s">
        <v>965</v>
      </c>
      <c r="E441" t="s">
        <v>93</v>
      </c>
      <c r="F441" t="s">
        <v>442</v>
      </c>
      <c r="G441" s="1">
        <v>45509</v>
      </c>
      <c r="H441" t="s">
        <v>66</v>
      </c>
      <c r="I441">
        <v>50878.54</v>
      </c>
      <c r="J441">
        <v>21941.35</v>
      </c>
      <c r="K441" t="s">
        <v>56</v>
      </c>
      <c r="L441" t="s">
        <v>36</v>
      </c>
      <c r="M441" t="s">
        <v>47</v>
      </c>
      <c r="N441">
        <v>300</v>
      </c>
      <c r="O441" s="1">
        <v>45528</v>
      </c>
      <c r="P441">
        <v>19</v>
      </c>
      <c r="Q441" t="s">
        <v>28</v>
      </c>
      <c r="R441">
        <v>21941.35</v>
      </c>
    </row>
    <row r="442" spans="1:18" x14ac:dyDescent="0.25">
      <c r="A442" t="s">
        <v>970</v>
      </c>
      <c r="B442" t="s">
        <v>971</v>
      </c>
      <c r="C442" t="s">
        <v>964</v>
      </c>
      <c r="D442" t="s">
        <v>965</v>
      </c>
      <c r="E442" t="s">
        <v>93</v>
      </c>
      <c r="F442" t="s">
        <v>442</v>
      </c>
      <c r="G442" s="1">
        <v>45472</v>
      </c>
      <c r="H442" t="s">
        <v>51</v>
      </c>
      <c r="I442">
        <v>62051.87</v>
      </c>
      <c r="J442">
        <v>44182.29</v>
      </c>
      <c r="K442" t="s">
        <v>31</v>
      </c>
      <c r="L442" t="s">
        <v>32</v>
      </c>
      <c r="M442" t="s">
        <v>42</v>
      </c>
      <c r="N442">
        <v>337</v>
      </c>
      <c r="O442" s="1">
        <v>45592</v>
      </c>
      <c r="P442">
        <v>120</v>
      </c>
      <c r="Q442" t="s">
        <v>48</v>
      </c>
      <c r="R442">
        <v>8805.33</v>
      </c>
    </row>
    <row r="443" spans="1:18" x14ac:dyDescent="0.25">
      <c r="A443" t="s">
        <v>972</v>
      </c>
      <c r="B443" t="s">
        <v>973</v>
      </c>
      <c r="C443" t="s">
        <v>964</v>
      </c>
      <c r="D443" t="s">
        <v>965</v>
      </c>
      <c r="E443" t="s">
        <v>93</v>
      </c>
      <c r="F443" t="s">
        <v>442</v>
      </c>
      <c r="G443" s="1">
        <v>45605</v>
      </c>
      <c r="H443" t="s">
        <v>66</v>
      </c>
      <c r="I443">
        <v>96541.39</v>
      </c>
      <c r="J443">
        <v>75096.53</v>
      </c>
      <c r="K443" t="s">
        <v>31</v>
      </c>
      <c r="L443" t="s">
        <v>36</v>
      </c>
      <c r="M443" t="s">
        <v>27</v>
      </c>
      <c r="N443">
        <v>204</v>
      </c>
      <c r="O443" s="1">
        <v>45697</v>
      </c>
      <c r="P443">
        <v>92</v>
      </c>
      <c r="Q443" t="s">
        <v>118</v>
      </c>
      <c r="R443">
        <v>0</v>
      </c>
    </row>
    <row r="444" spans="1:18" x14ac:dyDescent="0.25">
      <c r="A444" t="s">
        <v>974</v>
      </c>
      <c r="B444" t="s">
        <v>975</v>
      </c>
      <c r="C444" t="s">
        <v>964</v>
      </c>
      <c r="D444" t="s">
        <v>965</v>
      </c>
      <c r="E444" t="s">
        <v>93</v>
      </c>
      <c r="F444" t="s">
        <v>442</v>
      </c>
      <c r="G444" s="1">
        <v>45546</v>
      </c>
      <c r="H444" t="s">
        <v>24</v>
      </c>
      <c r="I444">
        <v>33396.75</v>
      </c>
      <c r="J444">
        <v>19240.560000000001</v>
      </c>
      <c r="K444" t="s">
        <v>86</v>
      </c>
      <c r="L444" t="s">
        <v>46</v>
      </c>
      <c r="M444" t="s">
        <v>27</v>
      </c>
      <c r="N444">
        <v>263</v>
      </c>
      <c r="O444" s="1">
        <v>45628</v>
      </c>
      <c r="P444">
        <v>82</v>
      </c>
      <c r="Q444" t="s">
        <v>48</v>
      </c>
      <c r="R444">
        <v>7208.37</v>
      </c>
    </row>
    <row r="445" spans="1:18" x14ac:dyDescent="0.25">
      <c r="A445" t="s">
        <v>976</v>
      </c>
      <c r="B445" t="s">
        <v>977</v>
      </c>
      <c r="C445" t="s">
        <v>964</v>
      </c>
      <c r="D445" t="s">
        <v>965</v>
      </c>
      <c r="E445" t="s">
        <v>93</v>
      </c>
      <c r="F445" t="s">
        <v>442</v>
      </c>
      <c r="G445" s="1">
        <v>45464</v>
      </c>
      <c r="H445" t="s">
        <v>66</v>
      </c>
      <c r="I445">
        <v>17603.810000000001</v>
      </c>
      <c r="J445">
        <v>10259.450000000001</v>
      </c>
      <c r="K445" t="s">
        <v>56</v>
      </c>
      <c r="L445" t="s">
        <v>52</v>
      </c>
      <c r="M445" t="s">
        <v>47</v>
      </c>
      <c r="N445">
        <v>345</v>
      </c>
      <c r="O445" s="1">
        <v>45564</v>
      </c>
      <c r="P445">
        <v>100</v>
      </c>
      <c r="Q445" t="s">
        <v>28</v>
      </c>
      <c r="R445">
        <v>10259.450000000001</v>
      </c>
    </row>
    <row r="446" spans="1:18" x14ac:dyDescent="0.25">
      <c r="A446" t="s">
        <v>978</v>
      </c>
      <c r="B446" t="s">
        <v>979</v>
      </c>
      <c r="C446" t="s">
        <v>964</v>
      </c>
      <c r="D446" t="s">
        <v>965</v>
      </c>
      <c r="E446" t="s">
        <v>93</v>
      </c>
      <c r="F446" t="s">
        <v>442</v>
      </c>
      <c r="G446" s="1">
        <v>45563</v>
      </c>
      <c r="H446" t="s">
        <v>24</v>
      </c>
      <c r="I446">
        <v>60366.6</v>
      </c>
      <c r="J446">
        <v>45697.83</v>
      </c>
      <c r="K446" t="s">
        <v>86</v>
      </c>
      <c r="L446" t="s">
        <v>41</v>
      </c>
      <c r="M446" t="s">
        <v>42</v>
      </c>
      <c r="N446">
        <v>246</v>
      </c>
      <c r="O446" s="1">
        <v>45620</v>
      </c>
      <c r="P446">
        <v>57</v>
      </c>
      <c r="Q446" t="s">
        <v>118</v>
      </c>
      <c r="R446">
        <v>0</v>
      </c>
    </row>
    <row r="447" spans="1:18" x14ac:dyDescent="0.25">
      <c r="A447" t="s">
        <v>980</v>
      </c>
      <c r="B447" t="s">
        <v>981</v>
      </c>
      <c r="C447" t="s">
        <v>964</v>
      </c>
      <c r="D447" t="s">
        <v>965</v>
      </c>
      <c r="E447" t="s">
        <v>93</v>
      </c>
      <c r="F447" t="s">
        <v>442</v>
      </c>
      <c r="G447" s="1">
        <v>45541</v>
      </c>
      <c r="H447" t="s">
        <v>77</v>
      </c>
      <c r="I447">
        <v>15114.69</v>
      </c>
      <c r="J447">
        <v>5073.29</v>
      </c>
      <c r="K447" t="s">
        <v>25</v>
      </c>
      <c r="L447" t="s">
        <v>46</v>
      </c>
      <c r="M447" t="s">
        <v>27</v>
      </c>
      <c r="N447">
        <v>268</v>
      </c>
      <c r="O447" s="1">
        <v>45644</v>
      </c>
      <c r="P447">
        <v>103</v>
      </c>
      <c r="Q447" t="s">
        <v>28</v>
      </c>
      <c r="R447">
        <v>5073.29</v>
      </c>
    </row>
    <row r="448" spans="1:18" x14ac:dyDescent="0.25">
      <c r="A448" t="s">
        <v>982</v>
      </c>
      <c r="B448" t="s">
        <v>983</v>
      </c>
      <c r="C448" t="s">
        <v>964</v>
      </c>
      <c r="D448" t="s">
        <v>965</v>
      </c>
      <c r="E448" t="s">
        <v>93</v>
      </c>
      <c r="F448" t="s">
        <v>442</v>
      </c>
      <c r="G448" s="1">
        <v>45662</v>
      </c>
      <c r="H448" t="s">
        <v>35</v>
      </c>
      <c r="I448">
        <v>69922.080000000002</v>
      </c>
      <c r="J448">
        <v>11175.04</v>
      </c>
      <c r="K448" t="s">
        <v>25</v>
      </c>
      <c r="L448" t="s">
        <v>46</v>
      </c>
      <c r="M448" t="s">
        <v>47</v>
      </c>
      <c r="N448">
        <v>147</v>
      </c>
      <c r="O448" s="1">
        <v>45669</v>
      </c>
      <c r="P448">
        <v>7</v>
      </c>
      <c r="Q448" t="s">
        <v>28</v>
      </c>
      <c r="R448">
        <v>11175.04</v>
      </c>
    </row>
    <row r="449" spans="1:18" x14ac:dyDescent="0.25">
      <c r="A449" t="s">
        <v>984</v>
      </c>
      <c r="B449" t="s">
        <v>985</v>
      </c>
      <c r="C449" t="s">
        <v>964</v>
      </c>
      <c r="D449" t="s">
        <v>965</v>
      </c>
      <c r="E449" t="s">
        <v>93</v>
      </c>
      <c r="F449" t="s">
        <v>442</v>
      </c>
      <c r="G449" s="1">
        <v>45577</v>
      </c>
      <c r="H449" t="s">
        <v>66</v>
      </c>
      <c r="I449">
        <v>14735.6</v>
      </c>
      <c r="J449">
        <v>10330.049999999999</v>
      </c>
      <c r="K449" t="s">
        <v>86</v>
      </c>
      <c r="L449" t="s">
        <v>32</v>
      </c>
      <c r="M449" t="s">
        <v>27</v>
      </c>
      <c r="N449">
        <v>232</v>
      </c>
      <c r="O449" s="1">
        <v>45680</v>
      </c>
      <c r="P449">
        <v>103</v>
      </c>
      <c r="Q449" t="s">
        <v>48</v>
      </c>
      <c r="R449">
        <v>3909.42</v>
      </c>
    </row>
    <row r="450" spans="1:18" x14ac:dyDescent="0.25">
      <c r="A450" t="s">
        <v>986</v>
      </c>
      <c r="B450" t="s">
        <v>987</v>
      </c>
      <c r="C450" t="s">
        <v>964</v>
      </c>
      <c r="D450" t="s">
        <v>965</v>
      </c>
      <c r="E450" t="s">
        <v>93</v>
      </c>
      <c r="F450" t="s">
        <v>442</v>
      </c>
      <c r="G450" s="1">
        <v>45454</v>
      </c>
      <c r="H450" t="s">
        <v>24</v>
      </c>
      <c r="I450">
        <v>68126.89</v>
      </c>
      <c r="J450">
        <v>50745.24</v>
      </c>
      <c r="K450" t="s">
        <v>31</v>
      </c>
      <c r="L450" t="s">
        <v>52</v>
      </c>
      <c r="M450" t="s">
        <v>42</v>
      </c>
      <c r="N450">
        <v>355</v>
      </c>
      <c r="O450" s="1">
        <v>45463</v>
      </c>
      <c r="P450">
        <v>9</v>
      </c>
      <c r="Q450" t="s">
        <v>28</v>
      </c>
      <c r="R450">
        <v>50745.24</v>
      </c>
    </row>
    <row r="451" spans="1:18" x14ac:dyDescent="0.25">
      <c r="A451" t="s">
        <v>988</v>
      </c>
      <c r="B451" t="s">
        <v>989</v>
      </c>
      <c r="C451" t="s">
        <v>964</v>
      </c>
      <c r="D451" t="s">
        <v>965</v>
      </c>
      <c r="E451" t="s">
        <v>93</v>
      </c>
      <c r="F451" t="s">
        <v>442</v>
      </c>
      <c r="G451" s="1">
        <v>45680</v>
      </c>
      <c r="H451" t="s">
        <v>51</v>
      </c>
      <c r="I451">
        <v>24293.29</v>
      </c>
      <c r="J451">
        <v>17045.080000000002</v>
      </c>
      <c r="K451" t="s">
        <v>86</v>
      </c>
      <c r="L451" t="s">
        <v>46</v>
      </c>
      <c r="M451" t="s">
        <v>42</v>
      </c>
      <c r="N451">
        <v>129</v>
      </c>
      <c r="O451" s="1">
        <v>45773</v>
      </c>
      <c r="P451">
        <v>93</v>
      </c>
      <c r="Q451" t="s">
        <v>48</v>
      </c>
      <c r="R451">
        <v>4211.78</v>
      </c>
    </row>
    <row r="452" spans="1:18" x14ac:dyDescent="0.25">
      <c r="A452" t="s">
        <v>990</v>
      </c>
      <c r="B452" t="s">
        <v>991</v>
      </c>
      <c r="C452" t="s">
        <v>964</v>
      </c>
      <c r="D452" t="s">
        <v>965</v>
      </c>
      <c r="E452" t="s">
        <v>93</v>
      </c>
      <c r="F452" t="s">
        <v>442</v>
      </c>
      <c r="G452" s="1">
        <v>45507</v>
      </c>
      <c r="H452" t="s">
        <v>66</v>
      </c>
      <c r="I452">
        <v>56928.44</v>
      </c>
      <c r="J452">
        <v>28608.83</v>
      </c>
      <c r="K452" t="s">
        <v>86</v>
      </c>
      <c r="L452" t="s">
        <v>41</v>
      </c>
      <c r="M452" t="s">
        <v>27</v>
      </c>
      <c r="N452">
        <v>302</v>
      </c>
      <c r="O452" s="1">
        <v>45597</v>
      </c>
      <c r="P452">
        <v>90</v>
      </c>
      <c r="Q452" t="s">
        <v>28</v>
      </c>
      <c r="R452">
        <v>28608.83</v>
      </c>
    </row>
    <row r="453" spans="1:18" x14ac:dyDescent="0.25">
      <c r="A453" t="s">
        <v>992</v>
      </c>
      <c r="B453" t="s">
        <v>993</v>
      </c>
      <c r="C453" t="s">
        <v>964</v>
      </c>
      <c r="D453" t="s">
        <v>965</v>
      </c>
      <c r="E453" t="s">
        <v>93</v>
      </c>
      <c r="F453" t="s">
        <v>442</v>
      </c>
      <c r="G453" s="1">
        <v>45720</v>
      </c>
      <c r="H453" t="s">
        <v>35</v>
      </c>
      <c r="I453">
        <v>74832.55</v>
      </c>
      <c r="J453">
        <v>10440.290000000001</v>
      </c>
      <c r="K453" t="s">
        <v>25</v>
      </c>
      <c r="L453" t="s">
        <v>41</v>
      </c>
      <c r="M453" t="s">
        <v>37</v>
      </c>
      <c r="N453">
        <v>89</v>
      </c>
      <c r="Q453" t="s">
        <v>38</v>
      </c>
      <c r="R453">
        <v>0</v>
      </c>
    </row>
    <row r="454" spans="1:18" x14ac:dyDescent="0.25">
      <c r="A454" t="s">
        <v>994</v>
      </c>
      <c r="B454" t="s">
        <v>995</v>
      </c>
      <c r="C454" t="s">
        <v>964</v>
      </c>
      <c r="D454" t="s">
        <v>965</v>
      </c>
      <c r="E454" t="s">
        <v>93</v>
      </c>
      <c r="F454" t="s">
        <v>442</v>
      </c>
      <c r="G454" s="1">
        <v>45509</v>
      </c>
      <c r="H454" t="s">
        <v>66</v>
      </c>
      <c r="I454">
        <v>85371.35</v>
      </c>
      <c r="J454">
        <v>4630.0200000000004</v>
      </c>
      <c r="K454" t="s">
        <v>31</v>
      </c>
      <c r="L454" t="s">
        <v>72</v>
      </c>
      <c r="M454" t="s">
        <v>27</v>
      </c>
      <c r="N454">
        <v>300</v>
      </c>
      <c r="O454" s="1">
        <v>45553</v>
      </c>
      <c r="P454">
        <v>44</v>
      </c>
      <c r="Q454" t="s">
        <v>43</v>
      </c>
      <c r="R454">
        <v>3075.24</v>
      </c>
    </row>
    <row r="455" spans="1:18" x14ac:dyDescent="0.25">
      <c r="A455" t="s">
        <v>996</v>
      </c>
      <c r="B455" t="s">
        <v>997</v>
      </c>
      <c r="C455" t="s">
        <v>964</v>
      </c>
      <c r="D455" t="s">
        <v>965</v>
      </c>
      <c r="E455" t="s">
        <v>93</v>
      </c>
      <c r="F455" t="s">
        <v>442</v>
      </c>
      <c r="G455" s="1">
        <v>45488</v>
      </c>
      <c r="H455" t="s">
        <v>59</v>
      </c>
      <c r="I455">
        <v>63482.82</v>
      </c>
      <c r="J455">
        <v>34688.129999999997</v>
      </c>
      <c r="K455" t="s">
        <v>31</v>
      </c>
      <c r="L455" t="s">
        <v>52</v>
      </c>
      <c r="M455" t="s">
        <v>53</v>
      </c>
      <c r="N455">
        <v>321</v>
      </c>
      <c r="Q455" t="s">
        <v>38</v>
      </c>
      <c r="R455">
        <v>0</v>
      </c>
    </row>
    <row r="456" spans="1:18" x14ac:dyDescent="0.25">
      <c r="A456" t="s">
        <v>998</v>
      </c>
      <c r="B456" t="s">
        <v>999</v>
      </c>
      <c r="C456" t="s">
        <v>964</v>
      </c>
      <c r="D456" t="s">
        <v>965</v>
      </c>
      <c r="E456" t="s">
        <v>93</v>
      </c>
      <c r="F456" t="s">
        <v>442</v>
      </c>
      <c r="G456" s="1">
        <v>45446</v>
      </c>
      <c r="H456" t="s">
        <v>77</v>
      </c>
      <c r="I456">
        <v>35196.61</v>
      </c>
      <c r="J456">
        <v>7566.27</v>
      </c>
      <c r="K456" t="s">
        <v>25</v>
      </c>
      <c r="L456" t="s">
        <v>36</v>
      </c>
      <c r="M456" t="s">
        <v>27</v>
      </c>
      <c r="N456">
        <v>363</v>
      </c>
      <c r="O456" s="1">
        <v>45517</v>
      </c>
      <c r="P456">
        <v>71</v>
      </c>
      <c r="Q456" t="s">
        <v>43</v>
      </c>
      <c r="R456">
        <v>3099.46</v>
      </c>
    </row>
    <row r="457" spans="1:18" x14ac:dyDescent="0.25">
      <c r="A457" t="s">
        <v>1000</v>
      </c>
      <c r="B457" t="s">
        <v>1001</v>
      </c>
      <c r="C457" t="s">
        <v>964</v>
      </c>
      <c r="D457" t="s">
        <v>965</v>
      </c>
      <c r="E457" t="s">
        <v>93</v>
      </c>
      <c r="F457" t="s">
        <v>442</v>
      </c>
      <c r="G457" s="1">
        <v>45699</v>
      </c>
      <c r="H457" t="s">
        <v>59</v>
      </c>
      <c r="I457">
        <v>68016.78</v>
      </c>
      <c r="J457">
        <v>20289.400000000001</v>
      </c>
      <c r="K457" t="s">
        <v>31</v>
      </c>
      <c r="L457" t="s">
        <v>67</v>
      </c>
      <c r="M457" t="s">
        <v>42</v>
      </c>
      <c r="N457">
        <v>110</v>
      </c>
      <c r="O457" s="1">
        <v>45807</v>
      </c>
      <c r="P457">
        <v>108</v>
      </c>
      <c r="Q457" t="s">
        <v>48</v>
      </c>
      <c r="R457">
        <v>7298.5</v>
      </c>
    </row>
    <row r="458" spans="1:18" x14ac:dyDescent="0.25">
      <c r="A458" t="s">
        <v>1002</v>
      </c>
      <c r="B458" t="s">
        <v>1003</v>
      </c>
      <c r="C458" t="s">
        <v>964</v>
      </c>
      <c r="D458" t="s">
        <v>965</v>
      </c>
      <c r="E458" t="s">
        <v>93</v>
      </c>
      <c r="F458" t="s">
        <v>442</v>
      </c>
      <c r="G458" s="1">
        <v>45750</v>
      </c>
      <c r="H458" t="s">
        <v>59</v>
      </c>
      <c r="I458">
        <v>68549.149999999994</v>
      </c>
      <c r="J458">
        <v>26340.04</v>
      </c>
      <c r="K458" t="s">
        <v>56</v>
      </c>
      <c r="L458" t="s">
        <v>46</v>
      </c>
      <c r="M458" t="s">
        <v>42</v>
      </c>
      <c r="N458">
        <v>59</v>
      </c>
      <c r="O458" s="1">
        <v>45796</v>
      </c>
      <c r="P458">
        <v>46</v>
      </c>
      <c r="Q458" t="s">
        <v>118</v>
      </c>
      <c r="R458">
        <v>0</v>
      </c>
    </row>
    <row r="459" spans="1:18" x14ac:dyDescent="0.25">
      <c r="A459" t="s">
        <v>1004</v>
      </c>
      <c r="B459" t="s">
        <v>1005</v>
      </c>
      <c r="C459" t="s">
        <v>964</v>
      </c>
      <c r="D459" t="s">
        <v>965</v>
      </c>
      <c r="E459" t="s">
        <v>93</v>
      </c>
      <c r="F459" t="s">
        <v>442</v>
      </c>
      <c r="G459" s="1">
        <v>45613</v>
      </c>
      <c r="H459" t="s">
        <v>59</v>
      </c>
      <c r="I459">
        <v>92013.58</v>
      </c>
      <c r="J459">
        <v>69814.45</v>
      </c>
      <c r="K459" t="s">
        <v>31</v>
      </c>
      <c r="L459" t="s">
        <v>41</v>
      </c>
      <c r="M459" t="s">
        <v>37</v>
      </c>
      <c r="N459">
        <v>196</v>
      </c>
      <c r="Q459" t="s">
        <v>38</v>
      </c>
      <c r="R459">
        <v>0</v>
      </c>
    </row>
    <row r="460" spans="1:18" x14ac:dyDescent="0.25">
      <c r="A460" t="s">
        <v>1006</v>
      </c>
      <c r="B460" t="s">
        <v>1007</v>
      </c>
      <c r="C460" t="s">
        <v>964</v>
      </c>
      <c r="D460" t="s">
        <v>965</v>
      </c>
      <c r="E460" t="s">
        <v>93</v>
      </c>
      <c r="F460" t="s">
        <v>442</v>
      </c>
      <c r="G460" s="1">
        <v>45544</v>
      </c>
      <c r="H460" t="s">
        <v>51</v>
      </c>
      <c r="I460">
        <v>83100.36</v>
      </c>
      <c r="J460">
        <v>27524.38</v>
      </c>
      <c r="K460" t="s">
        <v>86</v>
      </c>
      <c r="L460" t="s">
        <v>67</v>
      </c>
      <c r="M460" t="s">
        <v>37</v>
      </c>
      <c r="N460">
        <v>265</v>
      </c>
      <c r="Q460" t="s">
        <v>38</v>
      </c>
      <c r="R460">
        <v>0</v>
      </c>
    </row>
    <row r="461" spans="1:18" x14ac:dyDescent="0.25">
      <c r="A461" t="s">
        <v>1008</v>
      </c>
      <c r="B461" t="s">
        <v>1009</v>
      </c>
      <c r="C461" t="s">
        <v>964</v>
      </c>
      <c r="D461" t="s">
        <v>965</v>
      </c>
      <c r="E461" t="s">
        <v>93</v>
      </c>
      <c r="F461" t="s">
        <v>442</v>
      </c>
      <c r="G461" s="1">
        <v>45475</v>
      </c>
      <c r="H461" t="s">
        <v>66</v>
      </c>
      <c r="I461">
        <v>23288.68</v>
      </c>
      <c r="J461">
        <v>10140.379999999999</v>
      </c>
      <c r="K461" t="s">
        <v>56</v>
      </c>
      <c r="L461" t="s">
        <v>72</v>
      </c>
      <c r="M461" t="s">
        <v>27</v>
      </c>
      <c r="N461">
        <v>334</v>
      </c>
      <c r="O461" s="1">
        <v>45504</v>
      </c>
      <c r="P461">
        <v>29</v>
      </c>
      <c r="Q461" t="s">
        <v>48</v>
      </c>
      <c r="R461">
        <v>4151.8100000000004</v>
      </c>
    </row>
    <row r="462" spans="1:18" x14ac:dyDescent="0.25">
      <c r="A462" t="s">
        <v>1010</v>
      </c>
      <c r="B462" t="s">
        <v>1011</v>
      </c>
      <c r="C462" t="s">
        <v>964</v>
      </c>
      <c r="D462" t="s">
        <v>965</v>
      </c>
      <c r="E462" t="s">
        <v>93</v>
      </c>
      <c r="F462" t="s">
        <v>442</v>
      </c>
      <c r="G462" s="1">
        <v>45458</v>
      </c>
      <c r="H462" t="s">
        <v>24</v>
      </c>
      <c r="I462">
        <v>45299.9</v>
      </c>
      <c r="J462">
        <v>5795.9</v>
      </c>
      <c r="K462" t="s">
        <v>31</v>
      </c>
      <c r="L462" t="s">
        <v>32</v>
      </c>
      <c r="M462" t="s">
        <v>27</v>
      </c>
      <c r="N462">
        <v>351</v>
      </c>
      <c r="O462" s="1">
        <v>45470</v>
      </c>
      <c r="P462">
        <v>12</v>
      </c>
      <c r="Q462" t="s">
        <v>48</v>
      </c>
      <c r="R462">
        <v>936.05</v>
      </c>
    </row>
    <row r="463" spans="1:18" x14ac:dyDescent="0.25">
      <c r="A463" t="s">
        <v>1012</v>
      </c>
      <c r="B463" t="s">
        <v>1013</v>
      </c>
      <c r="C463" t="s">
        <v>964</v>
      </c>
      <c r="D463" t="s">
        <v>965</v>
      </c>
      <c r="E463" t="s">
        <v>93</v>
      </c>
      <c r="F463" t="s">
        <v>442</v>
      </c>
      <c r="G463" s="1">
        <v>45573</v>
      </c>
      <c r="H463" t="s">
        <v>66</v>
      </c>
      <c r="I463">
        <v>73102.490000000005</v>
      </c>
      <c r="J463">
        <v>5732.31</v>
      </c>
      <c r="K463" t="s">
        <v>25</v>
      </c>
      <c r="L463" t="s">
        <v>41</v>
      </c>
      <c r="M463" t="s">
        <v>27</v>
      </c>
      <c r="N463">
        <v>236</v>
      </c>
      <c r="O463" s="1">
        <v>45649</v>
      </c>
      <c r="P463">
        <v>76</v>
      </c>
      <c r="Q463" t="s">
        <v>118</v>
      </c>
      <c r="R463">
        <v>0</v>
      </c>
    </row>
    <row r="464" spans="1:18" x14ac:dyDescent="0.25">
      <c r="A464" t="s">
        <v>1014</v>
      </c>
      <c r="B464" t="s">
        <v>1015</v>
      </c>
      <c r="C464" t="s">
        <v>964</v>
      </c>
      <c r="D464" t="s">
        <v>965</v>
      </c>
      <c r="E464" t="s">
        <v>93</v>
      </c>
      <c r="F464" t="s">
        <v>442</v>
      </c>
      <c r="G464" s="1">
        <v>45676</v>
      </c>
      <c r="H464" t="s">
        <v>35</v>
      </c>
      <c r="I464">
        <v>43725.11</v>
      </c>
      <c r="J464">
        <v>16980.39</v>
      </c>
      <c r="K464" t="s">
        <v>31</v>
      </c>
      <c r="L464" t="s">
        <v>72</v>
      </c>
      <c r="M464" t="s">
        <v>27</v>
      </c>
      <c r="N464">
        <v>133</v>
      </c>
      <c r="O464" s="1">
        <v>45694</v>
      </c>
      <c r="P464">
        <v>18</v>
      </c>
      <c r="Q464" t="s">
        <v>43</v>
      </c>
      <c r="R464">
        <v>9931.0400000000009</v>
      </c>
    </row>
    <row r="465" spans="1:18" x14ac:dyDescent="0.25">
      <c r="A465" t="s">
        <v>1016</v>
      </c>
      <c r="B465" t="s">
        <v>1017</v>
      </c>
      <c r="C465" t="s">
        <v>1018</v>
      </c>
      <c r="D465" t="s">
        <v>1019</v>
      </c>
      <c r="E465" t="s">
        <v>151</v>
      </c>
      <c r="F465" t="s">
        <v>281</v>
      </c>
      <c r="G465" s="1">
        <v>45509</v>
      </c>
      <c r="H465" t="s">
        <v>59</v>
      </c>
      <c r="I465">
        <v>9324.1</v>
      </c>
      <c r="J465">
        <v>6398.09</v>
      </c>
      <c r="K465" t="s">
        <v>31</v>
      </c>
      <c r="L465" t="s">
        <v>26</v>
      </c>
      <c r="M465" t="s">
        <v>27</v>
      </c>
      <c r="N465">
        <v>300</v>
      </c>
      <c r="O465" s="1">
        <v>45599</v>
      </c>
      <c r="P465">
        <v>90</v>
      </c>
      <c r="Q465" t="s">
        <v>28</v>
      </c>
      <c r="R465">
        <v>6398.09</v>
      </c>
    </row>
    <row r="466" spans="1:18" x14ac:dyDescent="0.25">
      <c r="A466" t="s">
        <v>1020</v>
      </c>
      <c r="B466" t="s">
        <v>1021</v>
      </c>
      <c r="C466" t="s">
        <v>1018</v>
      </c>
      <c r="D466" t="s">
        <v>1019</v>
      </c>
      <c r="E466" t="s">
        <v>151</v>
      </c>
      <c r="F466" t="s">
        <v>281</v>
      </c>
      <c r="G466" s="1">
        <v>45764</v>
      </c>
      <c r="H466" t="s">
        <v>24</v>
      </c>
      <c r="I466">
        <v>31744.16</v>
      </c>
      <c r="J466">
        <v>23649.98</v>
      </c>
      <c r="K466" t="s">
        <v>31</v>
      </c>
      <c r="L466" t="s">
        <v>72</v>
      </c>
      <c r="M466" t="s">
        <v>27</v>
      </c>
      <c r="N466">
        <v>45</v>
      </c>
      <c r="O466" s="1">
        <v>45801</v>
      </c>
      <c r="P466">
        <v>37</v>
      </c>
      <c r="Q466" t="s">
        <v>28</v>
      </c>
      <c r="R466">
        <v>23649.98</v>
      </c>
    </row>
    <row r="467" spans="1:18" x14ac:dyDescent="0.25">
      <c r="A467" t="s">
        <v>1022</v>
      </c>
      <c r="B467" t="s">
        <v>1023</v>
      </c>
      <c r="C467" t="s">
        <v>1018</v>
      </c>
      <c r="D467" t="s">
        <v>1019</v>
      </c>
      <c r="E467" t="s">
        <v>151</v>
      </c>
      <c r="F467" t="s">
        <v>281</v>
      </c>
      <c r="G467" s="1">
        <v>45608</v>
      </c>
      <c r="H467" t="s">
        <v>24</v>
      </c>
      <c r="I467">
        <v>80693.19</v>
      </c>
      <c r="J467">
        <v>55444.34</v>
      </c>
      <c r="K467" t="s">
        <v>31</v>
      </c>
      <c r="L467" t="s">
        <v>36</v>
      </c>
      <c r="M467" t="s">
        <v>27</v>
      </c>
      <c r="N467">
        <v>201</v>
      </c>
      <c r="O467" s="1">
        <v>45724</v>
      </c>
      <c r="P467">
        <v>116</v>
      </c>
      <c r="Q467" t="s">
        <v>118</v>
      </c>
      <c r="R467">
        <v>0</v>
      </c>
    </row>
    <row r="468" spans="1:18" x14ac:dyDescent="0.25">
      <c r="A468" t="s">
        <v>1024</v>
      </c>
      <c r="B468" t="s">
        <v>1025</v>
      </c>
      <c r="C468" t="s">
        <v>1018</v>
      </c>
      <c r="D468" t="s">
        <v>1019</v>
      </c>
      <c r="E468" t="s">
        <v>151</v>
      </c>
      <c r="F468" t="s">
        <v>281</v>
      </c>
      <c r="G468" s="1">
        <v>45477</v>
      </c>
      <c r="H468" t="s">
        <v>59</v>
      </c>
      <c r="I468">
        <v>40447.4</v>
      </c>
      <c r="J468">
        <v>30824.92</v>
      </c>
      <c r="K468" t="s">
        <v>31</v>
      </c>
      <c r="L468" t="s">
        <v>36</v>
      </c>
      <c r="M468" t="s">
        <v>27</v>
      </c>
      <c r="N468">
        <v>332</v>
      </c>
      <c r="O468" s="1">
        <v>45480</v>
      </c>
      <c r="P468">
        <v>3</v>
      </c>
      <c r="Q468" t="s">
        <v>43</v>
      </c>
      <c r="R468">
        <v>13453.51</v>
      </c>
    </row>
    <row r="469" spans="1:18" x14ac:dyDescent="0.25">
      <c r="A469" t="s">
        <v>1026</v>
      </c>
      <c r="B469" t="s">
        <v>1027</v>
      </c>
      <c r="C469" t="s">
        <v>1018</v>
      </c>
      <c r="D469" t="s">
        <v>1019</v>
      </c>
      <c r="E469" t="s">
        <v>151</v>
      </c>
      <c r="F469" t="s">
        <v>281</v>
      </c>
      <c r="G469" s="1">
        <v>45528</v>
      </c>
      <c r="H469" t="s">
        <v>24</v>
      </c>
      <c r="I469">
        <v>94963.04</v>
      </c>
      <c r="J469">
        <v>26448.95</v>
      </c>
      <c r="K469" t="s">
        <v>86</v>
      </c>
      <c r="L469" t="s">
        <v>52</v>
      </c>
      <c r="M469" t="s">
        <v>27</v>
      </c>
      <c r="N469">
        <v>281</v>
      </c>
      <c r="O469" s="1">
        <v>45646</v>
      </c>
      <c r="P469">
        <v>118</v>
      </c>
      <c r="Q469" t="s">
        <v>43</v>
      </c>
      <c r="R469">
        <v>13423.68</v>
      </c>
    </row>
    <row r="470" spans="1:18" x14ac:dyDescent="0.25">
      <c r="A470" t="s">
        <v>1028</v>
      </c>
      <c r="B470" t="s">
        <v>1029</v>
      </c>
      <c r="C470" t="s">
        <v>1018</v>
      </c>
      <c r="D470" t="s">
        <v>1019</v>
      </c>
      <c r="E470" t="s">
        <v>151</v>
      </c>
      <c r="F470" t="s">
        <v>281</v>
      </c>
      <c r="G470" s="1">
        <v>45726</v>
      </c>
      <c r="H470" t="s">
        <v>77</v>
      </c>
      <c r="I470">
        <v>22479.31</v>
      </c>
      <c r="J470">
        <v>11524.33</v>
      </c>
      <c r="K470" t="s">
        <v>31</v>
      </c>
      <c r="L470" t="s">
        <v>36</v>
      </c>
      <c r="M470" t="s">
        <v>27</v>
      </c>
      <c r="N470">
        <v>83</v>
      </c>
      <c r="O470" s="1">
        <v>45801</v>
      </c>
      <c r="P470">
        <v>75</v>
      </c>
      <c r="Q470" t="s">
        <v>118</v>
      </c>
      <c r="R470">
        <v>0</v>
      </c>
    </row>
    <row r="471" spans="1:18" x14ac:dyDescent="0.25">
      <c r="A471" t="s">
        <v>1030</v>
      </c>
      <c r="B471" t="s">
        <v>1031</v>
      </c>
      <c r="C471" t="s">
        <v>1018</v>
      </c>
      <c r="D471" t="s">
        <v>1019</v>
      </c>
      <c r="E471" t="s">
        <v>151</v>
      </c>
      <c r="F471" t="s">
        <v>281</v>
      </c>
      <c r="G471" s="1">
        <v>45527</v>
      </c>
      <c r="H471" t="s">
        <v>77</v>
      </c>
      <c r="I471">
        <v>48820.19</v>
      </c>
      <c r="J471">
        <v>22567.06</v>
      </c>
      <c r="K471" t="s">
        <v>31</v>
      </c>
      <c r="L471" t="s">
        <v>41</v>
      </c>
      <c r="M471" t="s">
        <v>53</v>
      </c>
      <c r="N471">
        <v>282</v>
      </c>
      <c r="Q471" t="s">
        <v>38</v>
      </c>
      <c r="R471">
        <v>0</v>
      </c>
    </row>
    <row r="472" spans="1:18" x14ac:dyDescent="0.25">
      <c r="A472" t="s">
        <v>1032</v>
      </c>
      <c r="B472" t="s">
        <v>1033</v>
      </c>
      <c r="C472" t="s">
        <v>1018</v>
      </c>
      <c r="D472" t="s">
        <v>1019</v>
      </c>
      <c r="E472" t="s">
        <v>151</v>
      </c>
      <c r="F472" t="s">
        <v>281</v>
      </c>
      <c r="G472" s="1">
        <v>45511</v>
      </c>
      <c r="H472" t="s">
        <v>24</v>
      </c>
      <c r="I472">
        <v>51283.09</v>
      </c>
      <c r="J472">
        <v>15289.45</v>
      </c>
      <c r="K472" t="s">
        <v>25</v>
      </c>
      <c r="L472" t="s">
        <v>46</v>
      </c>
      <c r="M472" t="s">
        <v>27</v>
      </c>
      <c r="N472">
        <v>298</v>
      </c>
      <c r="O472" s="1">
        <v>45593</v>
      </c>
      <c r="P472">
        <v>82</v>
      </c>
      <c r="Q472" t="s">
        <v>28</v>
      </c>
      <c r="R472">
        <v>15289.45</v>
      </c>
    </row>
    <row r="473" spans="1:18" x14ac:dyDescent="0.25">
      <c r="A473" t="s">
        <v>1034</v>
      </c>
      <c r="B473" t="s">
        <v>1035</v>
      </c>
      <c r="C473" t="s">
        <v>1018</v>
      </c>
      <c r="D473" t="s">
        <v>1019</v>
      </c>
      <c r="E473" t="s">
        <v>151</v>
      </c>
      <c r="F473" t="s">
        <v>281</v>
      </c>
      <c r="G473" s="1">
        <v>45709</v>
      </c>
      <c r="H473" t="s">
        <v>35</v>
      </c>
      <c r="I473">
        <v>35189.660000000003</v>
      </c>
      <c r="J473">
        <v>13653.04</v>
      </c>
      <c r="K473" t="s">
        <v>31</v>
      </c>
      <c r="L473" t="s">
        <v>36</v>
      </c>
      <c r="M473" t="s">
        <v>27</v>
      </c>
      <c r="N473">
        <v>100</v>
      </c>
      <c r="O473" s="1">
        <v>45758</v>
      </c>
      <c r="P473">
        <v>49</v>
      </c>
      <c r="Q473" t="s">
        <v>118</v>
      </c>
      <c r="R473">
        <v>0</v>
      </c>
    </row>
    <row r="474" spans="1:18" x14ac:dyDescent="0.25">
      <c r="A474" t="s">
        <v>1036</v>
      </c>
      <c r="B474" t="s">
        <v>1037</v>
      </c>
      <c r="C474" t="s">
        <v>1018</v>
      </c>
      <c r="D474" t="s">
        <v>1019</v>
      </c>
      <c r="E474" t="s">
        <v>151</v>
      </c>
      <c r="F474" t="s">
        <v>281</v>
      </c>
      <c r="G474" s="1">
        <v>45589</v>
      </c>
      <c r="H474" t="s">
        <v>24</v>
      </c>
      <c r="I474">
        <v>21020.75</v>
      </c>
      <c r="J474">
        <v>5989.04</v>
      </c>
      <c r="K474" t="s">
        <v>86</v>
      </c>
      <c r="L474" t="s">
        <v>32</v>
      </c>
      <c r="M474" t="s">
        <v>27</v>
      </c>
      <c r="N474">
        <v>220</v>
      </c>
      <c r="O474" s="1">
        <v>45638</v>
      </c>
      <c r="P474">
        <v>49</v>
      </c>
      <c r="Q474" t="s">
        <v>28</v>
      </c>
      <c r="R474">
        <v>5989.04</v>
      </c>
    </row>
    <row r="475" spans="1:18" x14ac:dyDescent="0.25">
      <c r="A475" t="s">
        <v>1038</v>
      </c>
      <c r="B475" t="s">
        <v>1039</v>
      </c>
      <c r="C475" t="s">
        <v>1018</v>
      </c>
      <c r="D475" t="s">
        <v>1019</v>
      </c>
      <c r="E475" t="s">
        <v>151</v>
      </c>
      <c r="F475" t="s">
        <v>281</v>
      </c>
      <c r="G475" s="1">
        <v>45639</v>
      </c>
      <c r="H475" t="s">
        <v>35</v>
      </c>
      <c r="I475">
        <v>88399.15</v>
      </c>
      <c r="J475">
        <v>35106.51</v>
      </c>
      <c r="K475" t="s">
        <v>31</v>
      </c>
      <c r="L475" t="s">
        <v>67</v>
      </c>
      <c r="M475" t="s">
        <v>27</v>
      </c>
      <c r="N475">
        <v>170</v>
      </c>
      <c r="O475" s="1">
        <v>45664</v>
      </c>
      <c r="P475">
        <v>25</v>
      </c>
      <c r="Q475" t="s">
        <v>43</v>
      </c>
      <c r="R475">
        <v>8747.99</v>
      </c>
    </row>
    <row r="476" spans="1:18" x14ac:dyDescent="0.25">
      <c r="A476" t="s">
        <v>1040</v>
      </c>
      <c r="B476" t="s">
        <v>1041</v>
      </c>
      <c r="C476" t="s">
        <v>1018</v>
      </c>
      <c r="D476" t="s">
        <v>1019</v>
      </c>
      <c r="E476" t="s">
        <v>151</v>
      </c>
      <c r="F476" t="s">
        <v>281</v>
      </c>
      <c r="G476" s="1">
        <v>45665</v>
      </c>
      <c r="H476" t="s">
        <v>35</v>
      </c>
      <c r="I476">
        <v>86577.8</v>
      </c>
      <c r="J476">
        <v>13419.67</v>
      </c>
      <c r="K476" t="s">
        <v>31</v>
      </c>
      <c r="L476" t="s">
        <v>26</v>
      </c>
      <c r="M476" t="s">
        <v>47</v>
      </c>
      <c r="N476">
        <v>144</v>
      </c>
      <c r="O476" s="1">
        <v>45782</v>
      </c>
      <c r="P476">
        <v>117</v>
      </c>
      <c r="Q476" t="s">
        <v>28</v>
      </c>
      <c r="R476">
        <v>13419.67</v>
      </c>
    </row>
    <row r="477" spans="1:18" x14ac:dyDescent="0.25">
      <c r="A477" t="s">
        <v>1042</v>
      </c>
      <c r="B477" t="s">
        <v>1043</v>
      </c>
      <c r="C477" t="s">
        <v>1018</v>
      </c>
      <c r="D477" t="s">
        <v>1019</v>
      </c>
      <c r="E477" t="s">
        <v>151</v>
      </c>
      <c r="F477" t="s">
        <v>281</v>
      </c>
      <c r="G477" s="1">
        <v>45549</v>
      </c>
      <c r="H477" t="s">
        <v>59</v>
      </c>
      <c r="I477">
        <v>65004.52</v>
      </c>
      <c r="J477">
        <v>42869.3</v>
      </c>
      <c r="K477" t="s">
        <v>31</v>
      </c>
      <c r="L477" t="s">
        <v>46</v>
      </c>
      <c r="M477" t="s">
        <v>42</v>
      </c>
      <c r="N477">
        <v>260</v>
      </c>
      <c r="O477" s="1">
        <v>45622</v>
      </c>
      <c r="P477">
        <v>73</v>
      </c>
      <c r="Q477" t="s">
        <v>28</v>
      </c>
      <c r="R477">
        <v>42869.3</v>
      </c>
    </row>
    <row r="478" spans="1:18" x14ac:dyDescent="0.25">
      <c r="A478" t="s">
        <v>1044</v>
      </c>
      <c r="B478" t="s">
        <v>1045</v>
      </c>
      <c r="C478" t="s">
        <v>1018</v>
      </c>
      <c r="D478" t="s">
        <v>1019</v>
      </c>
      <c r="E478" t="s">
        <v>151</v>
      </c>
      <c r="F478" t="s">
        <v>281</v>
      </c>
      <c r="G478" s="1">
        <v>45532</v>
      </c>
      <c r="H478" t="s">
        <v>66</v>
      </c>
      <c r="I478">
        <v>49849.88</v>
      </c>
      <c r="J478">
        <v>31475.11</v>
      </c>
      <c r="K478" t="s">
        <v>31</v>
      </c>
      <c r="L478" t="s">
        <v>41</v>
      </c>
      <c r="M478" t="s">
        <v>27</v>
      </c>
      <c r="N478">
        <v>277</v>
      </c>
      <c r="O478" s="1">
        <v>45599</v>
      </c>
      <c r="P478">
        <v>67</v>
      </c>
      <c r="Q478" t="s">
        <v>43</v>
      </c>
      <c r="R478">
        <v>13788.34</v>
      </c>
    </row>
    <row r="479" spans="1:18" x14ac:dyDescent="0.25">
      <c r="A479" t="s">
        <v>1046</v>
      </c>
      <c r="B479" t="s">
        <v>1047</v>
      </c>
      <c r="C479" t="s">
        <v>1018</v>
      </c>
      <c r="D479" t="s">
        <v>1019</v>
      </c>
      <c r="E479" t="s">
        <v>151</v>
      </c>
      <c r="F479" t="s">
        <v>281</v>
      </c>
      <c r="G479" s="1">
        <v>45551</v>
      </c>
      <c r="H479" t="s">
        <v>59</v>
      </c>
      <c r="I479">
        <v>6006.21</v>
      </c>
      <c r="J479">
        <v>1376.39</v>
      </c>
      <c r="K479" t="s">
        <v>56</v>
      </c>
      <c r="L479" t="s">
        <v>36</v>
      </c>
      <c r="M479" t="s">
        <v>47</v>
      </c>
      <c r="N479">
        <v>258</v>
      </c>
      <c r="O479" s="1">
        <v>45571</v>
      </c>
      <c r="P479">
        <v>20</v>
      </c>
      <c r="Q479" t="s">
        <v>43</v>
      </c>
      <c r="R479">
        <v>423.22</v>
      </c>
    </row>
    <row r="480" spans="1:18" x14ac:dyDescent="0.25">
      <c r="A480" t="s">
        <v>1048</v>
      </c>
      <c r="B480" t="s">
        <v>1049</v>
      </c>
      <c r="C480" t="s">
        <v>1018</v>
      </c>
      <c r="D480" t="s">
        <v>1019</v>
      </c>
      <c r="E480" t="s">
        <v>151</v>
      </c>
      <c r="F480" t="s">
        <v>281</v>
      </c>
      <c r="G480" s="1">
        <v>45519</v>
      </c>
      <c r="H480" t="s">
        <v>51</v>
      </c>
      <c r="I480">
        <v>67644.259999999995</v>
      </c>
      <c r="J480">
        <v>52478.53</v>
      </c>
      <c r="K480" t="s">
        <v>86</v>
      </c>
      <c r="L480" t="s">
        <v>52</v>
      </c>
      <c r="M480" t="s">
        <v>37</v>
      </c>
      <c r="N480">
        <v>290</v>
      </c>
      <c r="Q480" t="s">
        <v>38</v>
      </c>
      <c r="R480">
        <v>0</v>
      </c>
    </row>
    <row r="481" spans="1:18" x14ac:dyDescent="0.25">
      <c r="A481" t="s">
        <v>1050</v>
      </c>
      <c r="B481" t="s">
        <v>1051</v>
      </c>
      <c r="C481" t="s">
        <v>1018</v>
      </c>
      <c r="D481" t="s">
        <v>1019</v>
      </c>
      <c r="E481" t="s">
        <v>151</v>
      </c>
      <c r="F481" t="s">
        <v>281</v>
      </c>
      <c r="G481" s="1">
        <v>45559</v>
      </c>
      <c r="H481" t="s">
        <v>24</v>
      </c>
      <c r="I481">
        <v>27016.240000000002</v>
      </c>
      <c r="J481">
        <v>6707.26</v>
      </c>
      <c r="K481" t="s">
        <v>25</v>
      </c>
      <c r="L481" t="s">
        <v>46</v>
      </c>
      <c r="M481" t="s">
        <v>27</v>
      </c>
      <c r="N481">
        <v>250</v>
      </c>
      <c r="O481" s="1">
        <v>45663</v>
      </c>
      <c r="P481">
        <v>104</v>
      </c>
      <c r="Q481" t="s">
        <v>28</v>
      </c>
      <c r="R481">
        <v>6707.26</v>
      </c>
    </row>
    <row r="482" spans="1:18" x14ac:dyDescent="0.25">
      <c r="A482" t="s">
        <v>1052</v>
      </c>
      <c r="B482" t="s">
        <v>1053</v>
      </c>
      <c r="C482" t="s">
        <v>1018</v>
      </c>
      <c r="D482" t="s">
        <v>1019</v>
      </c>
      <c r="E482" t="s">
        <v>151</v>
      </c>
      <c r="F482" t="s">
        <v>281</v>
      </c>
      <c r="G482" s="1">
        <v>45568</v>
      </c>
      <c r="H482" t="s">
        <v>24</v>
      </c>
      <c r="I482">
        <v>92200.68</v>
      </c>
      <c r="J482">
        <v>65569.8</v>
      </c>
      <c r="K482" t="s">
        <v>25</v>
      </c>
      <c r="L482" t="s">
        <v>52</v>
      </c>
      <c r="M482" t="s">
        <v>27</v>
      </c>
      <c r="N482">
        <v>241</v>
      </c>
      <c r="O482" s="1">
        <v>45637</v>
      </c>
      <c r="P482">
        <v>69</v>
      </c>
      <c r="Q482" t="s">
        <v>43</v>
      </c>
      <c r="R482">
        <v>23873.78</v>
      </c>
    </row>
    <row r="483" spans="1:18" x14ac:dyDescent="0.25">
      <c r="A483" t="s">
        <v>1054</v>
      </c>
      <c r="B483" t="s">
        <v>1055</v>
      </c>
      <c r="C483" t="s">
        <v>1018</v>
      </c>
      <c r="D483" t="s">
        <v>1019</v>
      </c>
      <c r="E483" t="s">
        <v>151</v>
      </c>
      <c r="F483" t="s">
        <v>281</v>
      </c>
      <c r="G483" s="1">
        <v>45674</v>
      </c>
      <c r="H483" t="s">
        <v>51</v>
      </c>
      <c r="I483">
        <v>59969.99</v>
      </c>
      <c r="J483">
        <v>28642.87</v>
      </c>
      <c r="K483" t="s">
        <v>31</v>
      </c>
      <c r="L483" t="s">
        <v>52</v>
      </c>
      <c r="M483" t="s">
        <v>27</v>
      </c>
      <c r="N483">
        <v>135</v>
      </c>
      <c r="O483" s="1">
        <v>45791</v>
      </c>
      <c r="P483">
        <v>117</v>
      </c>
      <c r="Q483" t="s">
        <v>118</v>
      </c>
      <c r="R483">
        <v>0</v>
      </c>
    </row>
    <row r="484" spans="1:18" x14ac:dyDescent="0.25">
      <c r="A484" t="s">
        <v>1056</v>
      </c>
      <c r="B484" t="s">
        <v>1057</v>
      </c>
      <c r="C484" t="s">
        <v>1018</v>
      </c>
      <c r="D484" t="s">
        <v>1019</v>
      </c>
      <c r="E484" t="s">
        <v>151</v>
      </c>
      <c r="F484" t="s">
        <v>281</v>
      </c>
      <c r="G484" s="1">
        <v>45544</v>
      </c>
      <c r="H484" t="s">
        <v>51</v>
      </c>
      <c r="I484">
        <v>28900.71</v>
      </c>
      <c r="J484">
        <v>22528.26</v>
      </c>
      <c r="K484" t="s">
        <v>25</v>
      </c>
      <c r="L484" t="s">
        <v>52</v>
      </c>
      <c r="M484" t="s">
        <v>42</v>
      </c>
      <c r="N484">
        <v>265</v>
      </c>
      <c r="O484" s="1">
        <v>45591</v>
      </c>
      <c r="P484">
        <v>47</v>
      </c>
      <c r="Q484" t="s">
        <v>43</v>
      </c>
      <c r="R484">
        <v>11022.31</v>
      </c>
    </row>
    <row r="485" spans="1:18" x14ac:dyDescent="0.25">
      <c r="A485" t="s">
        <v>1058</v>
      </c>
      <c r="B485" t="s">
        <v>1059</v>
      </c>
      <c r="C485" t="s">
        <v>1018</v>
      </c>
      <c r="D485" t="s">
        <v>1019</v>
      </c>
      <c r="E485" t="s">
        <v>151</v>
      </c>
      <c r="F485" t="s">
        <v>281</v>
      </c>
      <c r="G485" s="1">
        <v>45499</v>
      </c>
      <c r="H485" t="s">
        <v>66</v>
      </c>
      <c r="I485">
        <v>5626.78</v>
      </c>
      <c r="J485">
        <v>4003.6</v>
      </c>
      <c r="K485" t="s">
        <v>31</v>
      </c>
      <c r="L485" t="s">
        <v>26</v>
      </c>
      <c r="M485" t="s">
        <v>27</v>
      </c>
      <c r="N485">
        <v>310</v>
      </c>
      <c r="O485" s="1">
        <v>45537</v>
      </c>
      <c r="P485">
        <v>38</v>
      </c>
      <c r="Q485" t="s">
        <v>28</v>
      </c>
      <c r="R485">
        <v>4003.6</v>
      </c>
    </row>
    <row r="486" spans="1:18" x14ac:dyDescent="0.25">
      <c r="A486" t="s">
        <v>1060</v>
      </c>
      <c r="B486" t="s">
        <v>1061</v>
      </c>
      <c r="C486" t="s">
        <v>1018</v>
      </c>
      <c r="D486" t="s">
        <v>1019</v>
      </c>
      <c r="E486" t="s">
        <v>151</v>
      </c>
      <c r="F486" t="s">
        <v>281</v>
      </c>
      <c r="G486" s="1">
        <v>45713</v>
      </c>
      <c r="H486" t="s">
        <v>24</v>
      </c>
      <c r="I486">
        <v>19948.95</v>
      </c>
      <c r="J486">
        <v>10004.700000000001</v>
      </c>
      <c r="K486" t="s">
        <v>86</v>
      </c>
      <c r="L486" t="s">
        <v>46</v>
      </c>
      <c r="M486" t="s">
        <v>27</v>
      </c>
      <c r="N486">
        <v>96</v>
      </c>
      <c r="O486" s="1">
        <v>45758</v>
      </c>
      <c r="P486">
        <v>45</v>
      </c>
      <c r="Q486" t="s">
        <v>48</v>
      </c>
      <c r="R486">
        <v>2927.44</v>
      </c>
    </row>
    <row r="487" spans="1:18" x14ac:dyDescent="0.25">
      <c r="A487" t="s">
        <v>1062</v>
      </c>
      <c r="B487" t="s">
        <v>1063</v>
      </c>
      <c r="C487" t="s">
        <v>1064</v>
      </c>
      <c r="D487" t="s">
        <v>1065</v>
      </c>
      <c r="E487" t="s">
        <v>215</v>
      </c>
      <c r="F487" t="s">
        <v>442</v>
      </c>
      <c r="G487" s="1">
        <v>45701</v>
      </c>
      <c r="H487" t="s">
        <v>66</v>
      </c>
      <c r="I487">
        <v>61125.14</v>
      </c>
      <c r="J487">
        <v>32729.119999999999</v>
      </c>
      <c r="K487" t="s">
        <v>31</v>
      </c>
      <c r="L487" t="s">
        <v>72</v>
      </c>
      <c r="M487" t="s">
        <v>27</v>
      </c>
      <c r="N487">
        <v>108</v>
      </c>
      <c r="O487" s="1">
        <v>45779</v>
      </c>
      <c r="P487">
        <v>78</v>
      </c>
      <c r="Q487" t="s">
        <v>28</v>
      </c>
      <c r="R487">
        <v>32729.119999999999</v>
      </c>
    </row>
    <row r="488" spans="1:18" x14ac:dyDescent="0.25">
      <c r="A488" t="s">
        <v>1066</v>
      </c>
      <c r="B488" t="s">
        <v>1067</v>
      </c>
      <c r="C488" t="s">
        <v>1064</v>
      </c>
      <c r="D488" t="s">
        <v>1065</v>
      </c>
      <c r="E488" t="s">
        <v>215</v>
      </c>
      <c r="F488" t="s">
        <v>442</v>
      </c>
      <c r="G488" s="1">
        <v>45486</v>
      </c>
      <c r="H488" t="s">
        <v>66</v>
      </c>
      <c r="I488">
        <v>53701.07</v>
      </c>
      <c r="J488">
        <v>38562.639999999999</v>
      </c>
      <c r="K488" t="s">
        <v>25</v>
      </c>
      <c r="L488" t="s">
        <v>41</v>
      </c>
      <c r="M488" t="s">
        <v>42</v>
      </c>
      <c r="N488">
        <v>323</v>
      </c>
      <c r="O488" s="1">
        <v>45555</v>
      </c>
      <c r="P488">
        <v>69</v>
      </c>
      <c r="Q488" t="s">
        <v>38</v>
      </c>
      <c r="R488">
        <v>0</v>
      </c>
    </row>
    <row r="489" spans="1:18" x14ac:dyDescent="0.25">
      <c r="A489" t="s">
        <v>1068</v>
      </c>
      <c r="B489" t="s">
        <v>1069</v>
      </c>
      <c r="C489" t="s">
        <v>1064</v>
      </c>
      <c r="D489" t="s">
        <v>1065</v>
      </c>
      <c r="E489" t="s">
        <v>215</v>
      </c>
      <c r="F489" t="s">
        <v>442</v>
      </c>
      <c r="G489" s="1">
        <v>45502</v>
      </c>
      <c r="H489" t="s">
        <v>24</v>
      </c>
      <c r="I489">
        <v>97078.15</v>
      </c>
      <c r="J489">
        <v>51278.33</v>
      </c>
      <c r="K489" t="s">
        <v>86</v>
      </c>
      <c r="L489" t="s">
        <v>41</v>
      </c>
      <c r="M489" t="s">
        <v>42</v>
      </c>
      <c r="N489">
        <v>307</v>
      </c>
      <c r="O489" s="1">
        <v>45532</v>
      </c>
      <c r="P489">
        <v>30</v>
      </c>
      <c r="Q489" t="s">
        <v>43</v>
      </c>
      <c r="R489">
        <v>40800.400000000001</v>
      </c>
    </row>
    <row r="490" spans="1:18" x14ac:dyDescent="0.25">
      <c r="A490" t="s">
        <v>1070</v>
      </c>
      <c r="B490" t="s">
        <v>1071</v>
      </c>
      <c r="C490" t="s">
        <v>1064</v>
      </c>
      <c r="D490" t="s">
        <v>1065</v>
      </c>
      <c r="E490" t="s">
        <v>215</v>
      </c>
      <c r="F490" t="s">
        <v>442</v>
      </c>
      <c r="G490" s="1">
        <v>45562</v>
      </c>
      <c r="H490" t="s">
        <v>59</v>
      </c>
      <c r="I490">
        <v>21203.84</v>
      </c>
      <c r="J490">
        <v>14265.36</v>
      </c>
      <c r="K490" t="s">
        <v>31</v>
      </c>
      <c r="L490" t="s">
        <v>36</v>
      </c>
      <c r="M490" t="s">
        <v>27</v>
      </c>
      <c r="N490">
        <v>247</v>
      </c>
      <c r="O490" s="1">
        <v>45630</v>
      </c>
      <c r="P490">
        <v>68</v>
      </c>
      <c r="Q490" t="s">
        <v>28</v>
      </c>
      <c r="R490">
        <v>14265.36</v>
      </c>
    </row>
    <row r="491" spans="1:18" x14ac:dyDescent="0.25">
      <c r="A491" t="s">
        <v>1072</v>
      </c>
      <c r="B491" t="s">
        <v>1073</v>
      </c>
      <c r="C491" t="s">
        <v>1064</v>
      </c>
      <c r="D491" t="s">
        <v>1065</v>
      </c>
      <c r="E491" t="s">
        <v>215</v>
      </c>
      <c r="F491" t="s">
        <v>442</v>
      </c>
      <c r="G491" s="1">
        <v>45457</v>
      </c>
      <c r="H491" t="s">
        <v>66</v>
      </c>
      <c r="I491">
        <v>37553.769999999997</v>
      </c>
      <c r="J491">
        <v>14649.82</v>
      </c>
      <c r="K491" t="s">
        <v>31</v>
      </c>
      <c r="L491" t="s">
        <v>32</v>
      </c>
      <c r="M491" t="s">
        <v>27</v>
      </c>
      <c r="N491">
        <v>352</v>
      </c>
      <c r="O491" s="1">
        <v>45473</v>
      </c>
      <c r="P491">
        <v>16</v>
      </c>
      <c r="Q491" t="s">
        <v>28</v>
      </c>
      <c r="R491">
        <v>14649.82</v>
      </c>
    </row>
    <row r="492" spans="1:18" x14ac:dyDescent="0.25">
      <c r="A492" t="s">
        <v>1074</v>
      </c>
      <c r="B492" t="s">
        <v>1075</v>
      </c>
      <c r="C492" t="s">
        <v>1064</v>
      </c>
      <c r="D492" t="s">
        <v>1065</v>
      </c>
      <c r="E492" t="s">
        <v>215</v>
      </c>
      <c r="F492" t="s">
        <v>442</v>
      </c>
      <c r="G492" s="1">
        <v>45541</v>
      </c>
      <c r="H492" t="s">
        <v>66</v>
      </c>
      <c r="I492">
        <v>86661.21</v>
      </c>
      <c r="J492">
        <v>37114.370000000003</v>
      </c>
      <c r="K492" t="s">
        <v>31</v>
      </c>
      <c r="L492" t="s">
        <v>26</v>
      </c>
      <c r="M492" t="s">
        <v>27</v>
      </c>
      <c r="N492">
        <v>268</v>
      </c>
      <c r="O492" s="1">
        <v>45659</v>
      </c>
      <c r="P492">
        <v>118</v>
      </c>
      <c r="Q492" t="s">
        <v>43</v>
      </c>
      <c r="R492">
        <v>8292.16</v>
      </c>
    </row>
    <row r="493" spans="1:18" x14ac:dyDescent="0.25">
      <c r="A493" t="s">
        <v>1076</v>
      </c>
      <c r="B493" t="s">
        <v>1077</v>
      </c>
      <c r="C493" t="s">
        <v>1064</v>
      </c>
      <c r="D493" t="s">
        <v>1065</v>
      </c>
      <c r="E493" t="s">
        <v>215</v>
      </c>
      <c r="F493" t="s">
        <v>442</v>
      </c>
      <c r="G493" s="1">
        <v>45536</v>
      </c>
      <c r="H493" t="s">
        <v>66</v>
      </c>
      <c r="I493">
        <v>52816.27</v>
      </c>
      <c r="J493">
        <v>7295.9</v>
      </c>
      <c r="K493" t="s">
        <v>31</v>
      </c>
      <c r="L493" t="s">
        <v>72</v>
      </c>
      <c r="M493" t="s">
        <v>42</v>
      </c>
      <c r="N493">
        <v>273</v>
      </c>
      <c r="O493" s="1">
        <v>45638</v>
      </c>
      <c r="P493">
        <v>102</v>
      </c>
      <c r="Q493" t="s">
        <v>48</v>
      </c>
      <c r="R493">
        <v>1988.85</v>
      </c>
    </row>
    <row r="494" spans="1:18" x14ac:dyDescent="0.25">
      <c r="A494" t="s">
        <v>1078</v>
      </c>
      <c r="B494" t="s">
        <v>1079</v>
      </c>
      <c r="C494" t="s">
        <v>1064</v>
      </c>
      <c r="D494" t="s">
        <v>1065</v>
      </c>
      <c r="E494" t="s">
        <v>215</v>
      </c>
      <c r="F494" t="s">
        <v>442</v>
      </c>
      <c r="G494" s="1">
        <v>45593</v>
      </c>
      <c r="H494" t="s">
        <v>66</v>
      </c>
      <c r="I494">
        <v>40185.86</v>
      </c>
      <c r="J494">
        <v>3318.5</v>
      </c>
      <c r="K494" t="s">
        <v>31</v>
      </c>
      <c r="L494" t="s">
        <v>67</v>
      </c>
      <c r="M494" t="s">
        <v>47</v>
      </c>
      <c r="N494">
        <v>216</v>
      </c>
      <c r="O494" s="1">
        <v>45644</v>
      </c>
      <c r="P494">
        <v>51</v>
      </c>
      <c r="Q494" t="s">
        <v>28</v>
      </c>
      <c r="R494">
        <v>3318.5</v>
      </c>
    </row>
    <row r="495" spans="1:18" x14ac:dyDescent="0.25">
      <c r="A495" t="s">
        <v>1080</v>
      </c>
      <c r="B495" t="s">
        <v>1081</v>
      </c>
      <c r="C495" t="s">
        <v>1064</v>
      </c>
      <c r="D495" t="s">
        <v>1065</v>
      </c>
      <c r="E495" t="s">
        <v>215</v>
      </c>
      <c r="F495" t="s">
        <v>442</v>
      </c>
      <c r="G495" s="1">
        <v>45452</v>
      </c>
      <c r="H495" t="s">
        <v>66</v>
      </c>
      <c r="I495">
        <v>59731.48</v>
      </c>
      <c r="J495">
        <v>22047.91</v>
      </c>
      <c r="K495" t="s">
        <v>31</v>
      </c>
      <c r="L495" t="s">
        <v>26</v>
      </c>
      <c r="M495" t="s">
        <v>27</v>
      </c>
      <c r="N495">
        <v>357</v>
      </c>
      <c r="O495" s="1">
        <v>45567</v>
      </c>
      <c r="P495">
        <v>115</v>
      </c>
      <c r="Q495" t="s">
        <v>43</v>
      </c>
      <c r="R495">
        <v>7820.02</v>
      </c>
    </row>
    <row r="496" spans="1:18" x14ac:dyDescent="0.25">
      <c r="A496" t="s">
        <v>1082</v>
      </c>
      <c r="B496" t="s">
        <v>1083</v>
      </c>
      <c r="C496" t="s">
        <v>1064</v>
      </c>
      <c r="D496" t="s">
        <v>1065</v>
      </c>
      <c r="E496" t="s">
        <v>215</v>
      </c>
      <c r="F496" t="s">
        <v>442</v>
      </c>
      <c r="G496" s="1">
        <v>45806</v>
      </c>
      <c r="H496" t="s">
        <v>77</v>
      </c>
      <c r="I496">
        <v>72369.14</v>
      </c>
      <c r="J496">
        <v>46465.83</v>
      </c>
      <c r="K496" t="s">
        <v>31</v>
      </c>
      <c r="L496" t="s">
        <v>72</v>
      </c>
      <c r="M496" t="s">
        <v>37</v>
      </c>
      <c r="N496">
        <v>3</v>
      </c>
      <c r="Q496" t="s">
        <v>38</v>
      </c>
      <c r="R496">
        <v>0</v>
      </c>
    </row>
    <row r="497" spans="1:18" x14ac:dyDescent="0.25">
      <c r="A497" t="s">
        <v>1084</v>
      </c>
      <c r="B497" t="s">
        <v>1085</v>
      </c>
      <c r="C497" t="s">
        <v>1064</v>
      </c>
      <c r="D497" t="s">
        <v>1065</v>
      </c>
      <c r="E497" t="s">
        <v>215</v>
      </c>
      <c r="F497" t="s">
        <v>442</v>
      </c>
      <c r="G497" s="1">
        <v>45703</v>
      </c>
      <c r="H497" t="s">
        <v>66</v>
      </c>
      <c r="I497">
        <v>70337.84</v>
      </c>
      <c r="J497">
        <v>20181.78</v>
      </c>
      <c r="K497" t="s">
        <v>31</v>
      </c>
      <c r="L497" t="s">
        <v>32</v>
      </c>
      <c r="M497" t="s">
        <v>47</v>
      </c>
      <c r="N497">
        <v>106</v>
      </c>
      <c r="O497" s="1">
        <v>45738</v>
      </c>
      <c r="P497">
        <v>35</v>
      </c>
      <c r="Q497" t="s">
        <v>28</v>
      </c>
      <c r="R497">
        <v>20181.78</v>
      </c>
    </row>
    <row r="498" spans="1:18" x14ac:dyDescent="0.25">
      <c r="A498" t="s">
        <v>1086</v>
      </c>
      <c r="B498" t="s">
        <v>1087</v>
      </c>
      <c r="C498" t="s">
        <v>1064</v>
      </c>
      <c r="D498" t="s">
        <v>1065</v>
      </c>
      <c r="E498" t="s">
        <v>215</v>
      </c>
      <c r="F498" t="s">
        <v>442</v>
      </c>
      <c r="G498" s="1">
        <v>45534</v>
      </c>
      <c r="H498" t="s">
        <v>24</v>
      </c>
      <c r="I498">
        <v>45238.35</v>
      </c>
      <c r="J498">
        <v>14667.77</v>
      </c>
      <c r="K498" t="s">
        <v>31</v>
      </c>
      <c r="L498" t="s">
        <v>32</v>
      </c>
      <c r="M498" t="s">
        <v>47</v>
      </c>
      <c r="N498">
        <v>275</v>
      </c>
      <c r="O498" s="1">
        <v>45589</v>
      </c>
      <c r="P498">
        <v>55</v>
      </c>
      <c r="Q498" t="s">
        <v>43</v>
      </c>
      <c r="R498">
        <v>7840.47</v>
      </c>
    </row>
    <row r="499" spans="1:18" x14ac:dyDescent="0.25">
      <c r="A499" t="s">
        <v>1088</v>
      </c>
      <c r="B499" t="s">
        <v>1089</v>
      </c>
      <c r="C499" t="s">
        <v>1064</v>
      </c>
      <c r="D499" t="s">
        <v>1065</v>
      </c>
      <c r="E499" t="s">
        <v>215</v>
      </c>
      <c r="F499" t="s">
        <v>442</v>
      </c>
      <c r="G499" s="1">
        <v>45717</v>
      </c>
      <c r="H499" t="s">
        <v>35</v>
      </c>
      <c r="I499">
        <v>40170.230000000003</v>
      </c>
      <c r="J499">
        <v>18726.7</v>
      </c>
      <c r="K499" t="s">
        <v>31</v>
      </c>
      <c r="L499" t="s">
        <v>52</v>
      </c>
      <c r="M499" t="s">
        <v>47</v>
      </c>
      <c r="N499">
        <v>92</v>
      </c>
      <c r="O499" s="1">
        <v>45770</v>
      </c>
      <c r="P499">
        <v>53</v>
      </c>
      <c r="Q499" t="s">
        <v>48</v>
      </c>
      <c r="R499">
        <v>8277.19</v>
      </c>
    </row>
    <row r="500" spans="1:18" x14ac:dyDescent="0.25">
      <c r="A500" t="s">
        <v>1090</v>
      </c>
      <c r="B500" t="s">
        <v>1091</v>
      </c>
      <c r="C500" t="s">
        <v>1064</v>
      </c>
      <c r="D500" t="s">
        <v>1065</v>
      </c>
      <c r="E500" t="s">
        <v>215</v>
      </c>
      <c r="F500" t="s">
        <v>442</v>
      </c>
      <c r="G500" s="1">
        <v>45471</v>
      </c>
      <c r="H500" t="s">
        <v>66</v>
      </c>
      <c r="I500">
        <v>16313.15</v>
      </c>
      <c r="J500">
        <v>3626.88</v>
      </c>
      <c r="K500" t="s">
        <v>86</v>
      </c>
      <c r="L500" t="s">
        <v>26</v>
      </c>
      <c r="M500" t="s">
        <v>27</v>
      </c>
      <c r="N500">
        <v>338</v>
      </c>
      <c r="O500" s="1">
        <v>45525</v>
      </c>
      <c r="P500">
        <v>54</v>
      </c>
      <c r="Q500" t="s">
        <v>48</v>
      </c>
      <c r="R500">
        <v>1524.53</v>
      </c>
    </row>
    <row r="501" spans="1:18" x14ac:dyDescent="0.25">
      <c r="A501" t="s">
        <v>1092</v>
      </c>
      <c r="B501" t="s">
        <v>1093</v>
      </c>
      <c r="C501" t="s">
        <v>1064</v>
      </c>
      <c r="D501" t="s">
        <v>1065</v>
      </c>
      <c r="E501" t="s">
        <v>215</v>
      </c>
      <c r="F501" t="s">
        <v>442</v>
      </c>
      <c r="G501" s="1">
        <v>45494</v>
      </c>
      <c r="H501" t="s">
        <v>24</v>
      </c>
      <c r="I501">
        <v>71220.45</v>
      </c>
      <c r="J501">
        <v>41314.449999999997</v>
      </c>
      <c r="K501" t="s">
        <v>25</v>
      </c>
      <c r="L501" t="s">
        <v>72</v>
      </c>
      <c r="M501" t="s">
        <v>42</v>
      </c>
      <c r="N501">
        <v>315</v>
      </c>
      <c r="O501" s="1">
        <v>45602</v>
      </c>
      <c r="P501">
        <v>108</v>
      </c>
      <c r="Q501" t="s">
        <v>28</v>
      </c>
      <c r="R501">
        <v>41314.449999999997</v>
      </c>
    </row>
    <row r="502" spans="1:18" x14ac:dyDescent="0.25">
      <c r="A502" t="s">
        <v>1094</v>
      </c>
      <c r="B502" t="s">
        <v>1095</v>
      </c>
      <c r="C502" t="s">
        <v>1064</v>
      </c>
      <c r="D502" t="s">
        <v>1065</v>
      </c>
      <c r="E502" t="s">
        <v>215</v>
      </c>
      <c r="F502" t="s">
        <v>442</v>
      </c>
      <c r="G502" s="1">
        <v>45501</v>
      </c>
      <c r="H502" t="s">
        <v>77</v>
      </c>
      <c r="I502">
        <v>46360.86</v>
      </c>
      <c r="J502">
        <v>4546.16</v>
      </c>
      <c r="K502" t="s">
        <v>25</v>
      </c>
      <c r="L502" t="s">
        <v>72</v>
      </c>
      <c r="M502" t="s">
        <v>47</v>
      </c>
      <c r="N502">
        <v>308</v>
      </c>
      <c r="O502" s="1">
        <v>45555</v>
      </c>
      <c r="P502">
        <v>54</v>
      </c>
      <c r="Q502" t="s">
        <v>43</v>
      </c>
      <c r="R502">
        <v>2330.38</v>
      </c>
    </row>
    <row r="503" spans="1:18" x14ac:dyDescent="0.25">
      <c r="A503" t="s">
        <v>1096</v>
      </c>
      <c r="B503" t="s">
        <v>1097</v>
      </c>
      <c r="C503" t="s">
        <v>1064</v>
      </c>
      <c r="D503" t="s">
        <v>1065</v>
      </c>
      <c r="E503" t="s">
        <v>215</v>
      </c>
      <c r="F503" t="s">
        <v>442</v>
      </c>
      <c r="G503" s="1">
        <v>45444</v>
      </c>
      <c r="H503" t="s">
        <v>66</v>
      </c>
      <c r="I503">
        <v>96535.33</v>
      </c>
      <c r="J503">
        <v>8987.18</v>
      </c>
      <c r="K503" t="s">
        <v>86</v>
      </c>
      <c r="L503" t="s">
        <v>67</v>
      </c>
      <c r="M503" t="s">
        <v>27</v>
      </c>
      <c r="N503">
        <v>365</v>
      </c>
      <c r="O503" s="1">
        <v>45472</v>
      </c>
      <c r="P503">
        <v>28</v>
      </c>
      <c r="Q503" t="s">
        <v>118</v>
      </c>
      <c r="R503">
        <v>0</v>
      </c>
    </row>
    <row r="504" spans="1:18" x14ac:dyDescent="0.25">
      <c r="A504" t="s">
        <v>1098</v>
      </c>
      <c r="B504" t="s">
        <v>1099</v>
      </c>
      <c r="C504" t="s">
        <v>1064</v>
      </c>
      <c r="D504" t="s">
        <v>1065</v>
      </c>
      <c r="E504" t="s">
        <v>215</v>
      </c>
      <c r="F504" t="s">
        <v>442</v>
      </c>
      <c r="G504" s="1">
        <v>45543</v>
      </c>
      <c r="H504" t="s">
        <v>59</v>
      </c>
      <c r="I504">
        <v>32170.62</v>
      </c>
      <c r="J504">
        <v>2419.46</v>
      </c>
      <c r="K504" t="s">
        <v>31</v>
      </c>
      <c r="L504" t="s">
        <v>46</v>
      </c>
      <c r="M504" t="s">
        <v>27</v>
      </c>
      <c r="N504">
        <v>266</v>
      </c>
      <c r="O504" s="1">
        <v>45632</v>
      </c>
      <c r="P504">
        <v>89</v>
      </c>
      <c r="Q504" t="s">
        <v>28</v>
      </c>
      <c r="R504">
        <v>2419.46</v>
      </c>
    </row>
    <row r="505" spans="1:18" x14ac:dyDescent="0.25">
      <c r="A505" t="s">
        <v>1100</v>
      </c>
      <c r="B505" t="s">
        <v>1101</v>
      </c>
      <c r="C505" t="s">
        <v>1064</v>
      </c>
      <c r="D505" t="s">
        <v>1065</v>
      </c>
      <c r="E505" t="s">
        <v>215</v>
      </c>
      <c r="F505" t="s">
        <v>442</v>
      </c>
      <c r="G505" s="1">
        <v>45686</v>
      </c>
      <c r="H505" t="s">
        <v>35</v>
      </c>
      <c r="I505">
        <v>67226.820000000007</v>
      </c>
      <c r="J505">
        <v>52553.52</v>
      </c>
      <c r="K505" t="s">
        <v>25</v>
      </c>
      <c r="L505" t="s">
        <v>32</v>
      </c>
      <c r="M505" t="s">
        <v>27</v>
      </c>
      <c r="N505">
        <v>123</v>
      </c>
      <c r="O505" s="1">
        <v>45739</v>
      </c>
      <c r="P505">
        <v>53</v>
      </c>
      <c r="Q505" t="s">
        <v>43</v>
      </c>
      <c r="R505">
        <v>16826.91</v>
      </c>
    </row>
    <row r="506" spans="1:18" x14ac:dyDescent="0.25">
      <c r="A506" t="s">
        <v>1102</v>
      </c>
      <c r="B506" t="s">
        <v>1103</v>
      </c>
      <c r="C506" t="s">
        <v>1064</v>
      </c>
      <c r="D506" t="s">
        <v>1065</v>
      </c>
      <c r="E506" t="s">
        <v>215</v>
      </c>
      <c r="F506" t="s">
        <v>442</v>
      </c>
      <c r="G506" s="1">
        <v>45801</v>
      </c>
      <c r="H506" t="s">
        <v>35</v>
      </c>
      <c r="I506">
        <v>75007.929999999993</v>
      </c>
      <c r="J506">
        <v>7610.52</v>
      </c>
      <c r="K506" t="s">
        <v>25</v>
      </c>
      <c r="L506" t="s">
        <v>52</v>
      </c>
      <c r="M506" t="s">
        <v>37</v>
      </c>
      <c r="N506">
        <v>8</v>
      </c>
      <c r="Q506" t="s">
        <v>38</v>
      </c>
      <c r="R506">
        <v>0</v>
      </c>
    </row>
    <row r="507" spans="1:18" x14ac:dyDescent="0.25">
      <c r="A507" t="s">
        <v>1104</v>
      </c>
      <c r="B507" t="s">
        <v>1105</v>
      </c>
      <c r="C507" t="s">
        <v>1064</v>
      </c>
      <c r="D507" t="s">
        <v>1065</v>
      </c>
      <c r="E507" t="s">
        <v>215</v>
      </c>
      <c r="F507" t="s">
        <v>442</v>
      </c>
      <c r="G507" s="1">
        <v>45667</v>
      </c>
      <c r="H507" t="s">
        <v>51</v>
      </c>
      <c r="I507">
        <v>26498.07</v>
      </c>
      <c r="J507">
        <v>20464.27</v>
      </c>
      <c r="K507" t="s">
        <v>31</v>
      </c>
      <c r="L507" t="s">
        <v>72</v>
      </c>
      <c r="M507" t="s">
        <v>27</v>
      </c>
      <c r="N507">
        <v>142</v>
      </c>
      <c r="O507" s="1">
        <v>45722</v>
      </c>
      <c r="P507">
        <v>55</v>
      </c>
      <c r="Q507" t="s">
        <v>43</v>
      </c>
      <c r="R507">
        <v>10952.04</v>
      </c>
    </row>
    <row r="508" spans="1:18" x14ac:dyDescent="0.25">
      <c r="A508" t="s">
        <v>1106</v>
      </c>
      <c r="B508" t="s">
        <v>1107</v>
      </c>
      <c r="C508" t="s">
        <v>1064</v>
      </c>
      <c r="D508" t="s">
        <v>1065</v>
      </c>
      <c r="E508" t="s">
        <v>215</v>
      </c>
      <c r="F508" t="s">
        <v>442</v>
      </c>
      <c r="G508" s="1">
        <v>45551</v>
      </c>
      <c r="H508" t="s">
        <v>35</v>
      </c>
      <c r="I508">
        <v>32953.919999999998</v>
      </c>
      <c r="J508">
        <v>25053.599999999999</v>
      </c>
      <c r="K508" t="s">
        <v>86</v>
      </c>
      <c r="L508" t="s">
        <v>41</v>
      </c>
      <c r="M508" t="s">
        <v>47</v>
      </c>
      <c r="N508">
        <v>258</v>
      </c>
      <c r="O508" s="1">
        <v>45602</v>
      </c>
      <c r="P508">
        <v>51</v>
      </c>
      <c r="Q508" t="s">
        <v>43</v>
      </c>
      <c r="R508">
        <v>16584.990000000002</v>
      </c>
    </row>
    <row r="509" spans="1:18" x14ac:dyDescent="0.25">
      <c r="A509" t="s">
        <v>1108</v>
      </c>
      <c r="B509" t="s">
        <v>1109</v>
      </c>
      <c r="C509" t="s">
        <v>1064</v>
      </c>
      <c r="D509" t="s">
        <v>1065</v>
      </c>
      <c r="E509" t="s">
        <v>215</v>
      </c>
      <c r="F509" t="s">
        <v>442</v>
      </c>
      <c r="G509" s="1">
        <v>45635</v>
      </c>
      <c r="H509" t="s">
        <v>59</v>
      </c>
      <c r="I509">
        <v>96317.68</v>
      </c>
      <c r="J509">
        <v>37962.300000000003</v>
      </c>
      <c r="K509" t="s">
        <v>31</v>
      </c>
      <c r="L509" t="s">
        <v>72</v>
      </c>
      <c r="M509" t="s">
        <v>27</v>
      </c>
      <c r="N509">
        <v>174</v>
      </c>
      <c r="O509" s="1">
        <v>45671</v>
      </c>
      <c r="P509">
        <v>36</v>
      </c>
      <c r="Q509" t="s">
        <v>28</v>
      </c>
      <c r="R509">
        <v>37962.300000000003</v>
      </c>
    </row>
    <row r="510" spans="1:18" x14ac:dyDescent="0.25">
      <c r="A510" t="s">
        <v>1110</v>
      </c>
      <c r="B510" t="s">
        <v>1111</v>
      </c>
      <c r="C510" t="s">
        <v>1064</v>
      </c>
      <c r="D510" t="s">
        <v>1065</v>
      </c>
      <c r="E510" t="s">
        <v>215</v>
      </c>
      <c r="F510" t="s">
        <v>442</v>
      </c>
      <c r="G510" s="1">
        <v>45484</v>
      </c>
      <c r="H510" t="s">
        <v>35</v>
      </c>
      <c r="I510">
        <v>79922.320000000007</v>
      </c>
      <c r="J510">
        <v>17206.22</v>
      </c>
      <c r="K510" t="s">
        <v>86</v>
      </c>
      <c r="L510" t="s">
        <v>32</v>
      </c>
      <c r="M510" t="s">
        <v>42</v>
      </c>
      <c r="N510">
        <v>325</v>
      </c>
      <c r="O510" s="1">
        <v>45553</v>
      </c>
      <c r="P510">
        <v>69</v>
      </c>
      <c r="Q510" t="s">
        <v>43</v>
      </c>
      <c r="R510">
        <v>10676.31</v>
      </c>
    </row>
    <row r="511" spans="1:18" x14ac:dyDescent="0.25">
      <c r="A511" t="s">
        <v>1112</v>
      </c>
      <c r="B511" t="s">
        <v>1113</v>
      </c>
      <c r="C511" t="s">
        <v>1064</v>
      </c>
      <c r="D511" t="s">
        <v>1065</v>
      </c>
      <c r="E511" t="s">
        <v>215</v>
      </c>
      <c r="F511" t="s">
        <v>442</v>
      </c>
      <c r="G511" s="1">
        <v>45674</v>
      </c>
      <c r="H511" t="s">
        <v>35</v>
      </c>
      <c r="I511">
        <v>28584.47</v>
      </c>
      <c r="J511">
        <v>3423.19</v>
      </c>
      <c r="K511" t="s">
        <v>86</v>
      </c>
      <c r="L511" t="s">
        <v>26</v>
      </c>
      <c r="M511" t="s">
        <v>27</v>
      </c>
      <c r="N511">
        <v>135</v>
      </c>
      <c r="O511" s="1">
        <v>45699</v>
      </c>
      <c r="P511">
        <v>25</v>
      </c>
      <c r="Q511" t="s">
        <v>43</v>
      </c>
      <c r="R511">
        <v>1410.77</v>
      </c>
    </row>
    <row r="512" spans="1:18" x14ac:dyDescent="0.25">
      <c r="A512" t="s">
        <v>1114</v>
      </c>
      <c r="B512" t="s">
        <v>1115</v>
      </c>
      <c r="C512" t="s">
        <v>1064</v>
      </c>
      <c r="D512" t="s">
        <v>1065</v>
      </c>
      <c r="E512" t="s">
        <v>215</v>
      </c>
      <c r="F512" t="s">
        <v>442</v>
      </c>
      <c r="G512" s="1">
        <v>45515</v>
      </c>
      <c r="H512" t="s">
        <v>66</v>
      </c>
      <c r="I512">
        <v>30562.2</v>
      </c>
      <c r="J512">
        <v>23237.62</v>
      </c>
      <c r="K512" t="s">
        <v>86</v>
      </c>
      <c r="L512" t="s">
        <v>67</v>
      </c>
      <c r="M512" t="s">
        <v>47</v>
      </c>
      <c r="N512">
        <v>294</v>
      </c>
      <c r="O512" s="1">
        <v>45548</v>
      </c>
      <c r="P512">
        <v>33</v>
      </c>
      <c r="Q512" t="s">
        <v>48</v>
      </c>
      <c r="R512">
        <v>10435.950000000001</v>
      </c>
    </row>
    <row r="513" spans="1:18" x14ac:dyDescent="0.25">
      <c r="A513" t="s">
        <v>1116</v>
      </c>
      <c r="B513" t="s">
        <v>1117</v>
      </c>
      <c r="C513" t="s">
        <v>1064</v>
      </c>
      <c r="D513" t="s">
        <v>1065</v>
      </c>
      <c r="E513" t="s">
        <v>215</v>
      </c>
      <c r="F513" t="s">
        <v>442</v>
      </c>
      <c r="G513" s="1">
        <v>45703</v>
      </c>
      <c r="H513" t="s">
        <v>35</v>
      </c>
      <c r="I513">
        <v>26774.720000000001</v>
      </c>
      <c r="J513">
        <v>18105.21</v>
      </c>
      <c r="K513" t="s">
        <v>86</v>
      </c>
      <c r="L513" t="s">
        <v>36</v>
      </c>
      <c r="M513" t="s">
        <v>47</v>
      </c>
      <c r="N513">
        <v>106</v>
      </c>
      <c r="O513" s="1">
        <v>45721</v>
      </c>
      <c r="P513">
        <v>18</v>
      </c>
      <c r="Q513" t="s">
        <v>38</v>
      </c>
      <c r="R513">
        <v>0</v>
      </c>
    </row>
    <row r="514" spans="1:18" x14ac:dyDescent="0.25">
      <c r="A514" t="s">
        <v>1118</v>
      </c>
      <c r="B514" t="s">
        <v>1119</v>
      </c>
      <c r="C514" t="s">
        <v>1064</v>
      </c>
      <c r="D514" t="s">
        <v>1065</v>
      </c>
      <c r="E514" t="s">
        <v>215</v>
      </c>
      <c r="F514" t="s">
        <v>442</v>
      </c>
      <c r="G514" s="1">
        <v>45462</v>
      </c>
      <c r="H514" t="s">
        <v>59</v>
      </c>
      <c r="I514">
        <v>95799.07</v>
      </c>
      <c r="J514">
        <v>40187.58</v>
      </c>
      <c r="K514" t="s">
        <v>25</v>
      </c>
      <c r="L514" t="s">
        <v>72</v>
      </c>
      <c r="M514" t="s">
        <v>42</v>
      </c>
      <c r="N514">
        <v>347</v>
      </c>
      <c r="O514" s="1">
        <v>45512</v>
      </c>
      <c r="P514">
        <v>50</v>
      </c>
      <c r="Q514" t="s">
        <v>43</v>
      </c>
      <c r="R514">
        <v>19909.099999999999</v>
      </c>
    </row>
    <row r="515" spans="1:18" x14ac:dyDescent="0.25">
      <c r="A515" t="s">
        <v>1120</v>
      </c>
      <c r="B515" t="s">
        <v>1121</v>
      </c>
      <c r="C515" t="s">
        <v>1064</v>
      </c>
      <c r="D515" t="s">
        <v>1065</v>
      </c>
      <c r="E515" t="s">
        <v>215</v>
      </c>
      <c r="F515" t="s">
        <v>442</v>
      </c>
      <c r="G515" s="1">
        <v>45514</v>
      </c>
      <c r="H515" t="s">
        <v>59</v>
      </c>
      <c r="I515">
        <v>87533.04</v>
      </c>
      <c r="J515">
        <v>36597.919999999998</v>
      </c>
      <c r="K515" t="s">
        <v>56</v>
      </c>
      <c r="L515" t="s">
        <v>41</v>
      </c>
      <c r="M515" t="s">
        <v>27</v>
      </c>
      <c r="N515">
        <v>295</v>
      </c>
      <c r="O515" s="1">
        <v>45613</v>
      </c>
      <c r="P515">
        <v>99</v>
      </c>
      <c r="Q515" t="s">
        <v>43</v>
      </c>
      <c r="R515">
        <v>8508.61</v>
      </c>
    </row>
    <row r="516" spans="1:18" x14ac:dyDescent="0.25">
      <c r="A516" t="s">
        <v>1122</v>
      </c>
      <c r="B516" t="s">
        <v>1123</v>
      </c>
      <c r="C516" t="s">
        <v>1064</v>
      </c>
      <c r="D516" t="s">
        <v>1065</v>
      </c>
      <c r="E516" t="s">
        <v>215</v>
      </c>
      <c r="F516" t="s">
        <v>442</v>
      </c>
      <c r="G516" s="1">
        <v>45592</v>
      </c>
      <c r="H516" t="s">
        <v>51</v>
      </c>
      <c r="I516">
        <v>50440.41</v>
      </c>
      <c r="J516">
        <v>22979.439999999999</v>
      </c>
      <c r="K516" t="s">
        <v>31</v>
      </c>
      <c r="L516" t="s">
        <v>36</v>
      </c>
      <c r="M516" t="s">
        <v>27</v>
      </c>
      <c r="N516">
        <v>217</v>
      </c>
      <c r="O516" s="1">
        <v>45610</v>
      </c>
      <c r="P516">
        <v>18</v>
      </c>
      <c r="Q516" t="s">
        <v>48</v>
      </c>
      <c r="R516">
        <v>6526.81</v>
      </c>
    </row>
    <row r="517" spans="1:18" x14ac:dyDescent="0.25">
      <c r="A517" t="s">
        <v>1124</v>
      </c>
      <c r="B517" t="s">
        <v>1125</v>
      </c>
      <c r="C517" t="s">
        <v>1064</v>
      </c>
      <c r="D517" t="s">
        <v>1065</v>
      </c>
      <c r="E517" t="s">
        <v>215</v>
      </c>
      <c r="F517" t="s">
        <v>442</v>
      </c>
      <c r="G517" s="1">
        <v>45456</v>
      </c>
      <c r="H517" t="s">
        <v>77</v>
      </c>
      <c r="I517">
        <v>5799.77</v>
      </c>
      <c r="J517">
        <v>3222.22</v>
      </c>
      <c r="K517" t="s">
        <v>31</v>
      </c>
      <c r="L517" t="s">
        <v>52</v>
      </c>
      <c r="M517" t="s">
        <v>27</v>
      </c>
      <c r="N517">
        <v>353</v>
      </c>
      <c r="O517" s="1">
        <v>45569</v>
      </c>
      <c r="P517">
        <v>113</v>
      </c>
      <c r="Q517" t="s">
        <v>28</v>
      </c>
      <c r="R517">
        <v>3222.22</v>
      </c>
    </row>
    <row r="518" spans="1:18" x14ac:dyDescent="0.25">
      <c r="A518" t="s">
        <v>1126</v>
      </c>
      <c r="B518" t="s">
        <v>1127</v>
      </c>
      <c r="C518" t="s">
        <v>1064</v>
      </c>
      <c r="D518" t="s">
        <v>1065</v>
      </c>
      <c r="E518" t="s">
        <v>215</v>
      </c>
      <c r="F518" t="s">
        <v>442</v>
      </c>
      <c r="G518" s="1">
        <v>45528</v>
      </c>
      <c r="H518" t="s">
        <v>35</v>
      </c>
      <c r="I518">
        <v>29970.66</v>
      </c>
      <c r="J518">
        <v>7554.29</v>
      </c>
      <c r="K518" t="s">
        <v>56</v>
      </c>
      <c r="L518" t="s">
        <v>52</v>
      </c>
      <c r="M518" t="s">
        <v>27</v>
      </c>
      <c r="N518">
        <v>281</v>
      </c>
      <c r="O518" s="1">
        <v>45585</v>
      </c>
      <c r="P518">
        <v>57</v>
      </c>
      <c r="Q518" t="s">
        <v>28</v>
      </c>
      <c r="R518">
        <v>7554.29</v>
      </c>
    </row>
    <row r="519" spans="1:18" x14ac:dyDescent="0.25">
      <c r="A519" t="s">
        <v>1128</v>
      </c>
      <c r="B519" t="s">
        <v>1129</v>
      </c>
      <c r="C519" t="s">
        <v>1064</v>
      </c>
      <c r="D519" t="s">
        <v>1065</v>
      </c>
      <c r="E519" t="s">
        <v>215</v>
      </c>
      <c r="F519" t="s">
        <v>442</v>
      </c>
      <c r="G519" s="1">
        <v>45450</v>
      </c>
      <c r="H519" t="s">
        <v>51</v>
      </c>
      <c r="I519">
        <v>76458.600000000006</v>
      </c>
      <c r="J519">
        <v>24757.94</v>
      </c>
      <c r="K519" t="s">
        <v>31</v>
      </c>
      <c r="L519" t="s">
        <v>36</v>
      </c>
      <c r="M519" t="s">
        <v>27</v>
      </c>
      <c r="N519">
        <v>359</v>
      </c>
      <c r="O519" s="1">
        <v>45526</v>
      </c>
      <c r="P519">
        <v>76</v>
      </c>
      <c r="Q519" t="s">
        <v>48</v>
      </c>
      <c r="R519">
        <v>10538.87</v>
      </c>
    </row>
    <row r="520" spans="1:18" x14ac:dyDescent="0.25">
      <c r="A520" t="s">
        <v>1130</v>
      </c>
      <c r="B520" t="s">
        <v>1131</v>
      </c>
      <c r="C520" t="s">
        <v>1064</v>
      </c>
      <c r="D520" t="s">
        <v>1065</v>
      </c>
      <c r="E520" t="s">
        <v>215</v>
      </c>
      <c r="F520" t="s">
        <v>442</v>
      </c>
      <c r="G520" s="1">
        <v>45670</v>
      </c>
      <c r="H520" t="s">
        <v>66</v>
      </c>
      <c r="I520">
        <v>81388.320000000007</v>
      </c>
      <c r="J520">
        <v>37968.06</v>
      </c>
      <c r="K520" t="s">
        <v>86</v>
      </c>
      <c r="L520" t="s">
        <v>36</v>
      </c>
      <c r="M520" t="s">
        <v>42</v>
      </c>
      <c r="N520">
        <v>139</v>
      </c>
      <c r="O520" s="1">
        <v>45767</v>
      </c>
      <c r="P520">
        <v>97</v>
      </c>
      <c r="Q520" t="s">
        <v>28</v>
      </c>
      <c r="R520">
        <v>37968.06</v>
      </c>
    </row>
    <row r="521" spans="1:18" x14ac:dyDescent="0.25">
      <c r="A521" t="s">
        <v>1132</v>
      </c>
      <c r="B521" t="s">
        <v>1133</v>
      </c>
      <c r="C521" t="s">
        <v>1064</v>
      </c>
      <c r="D521" t="s">
        <v>1065</v>
      </c>
      <c r="E521" t="s">
        <v>215</v>
      </c>
      <c r="F521" t="s">
        <v>442</v>
      </c>
      <c r="G521" s="1">
        <v>45804</v>
      </c>
      <c r="H521" t="s">
        <v>24</v>
      </c>
      <c r="I521">
        <v>21777.69</v>
      </c>
      <c r="J521">
        <v>9248.9500000000007</v>
      </c>
      <c r="K521" t="s">
        <v>56</v>
      </c>
      <c r="L521" t="s">
        <v>52</v>
      </c>
      <c r="M521" t="s">
        <v>53</v>
      </c>
      <c r="N521">
        <v>5</v>
      </c>
      <c r="Q521" t="s">
        <v>38</v>
      </c>
      <c r="R521">
        <v>0</v>
      </c>
    </row>
    <row r="522" spans="1:18" x14ac:dyDescent="0.25">
      <c r="A522" t="s">
        <v>1134</v>
      </c>
      <c r="B522" t="s">
        <v>1135</v>
      </c>
      <c r="C522" t="s">
        <v>1136</v>
      </c>
      <c r="D522" t="s">
        <v>1137</v>
      </c>
      <c r="E522" t="s">
        <v>280</v>
      </c>
      <c r="F522" t="s">
        <v>152</v>
      </c>
      <c r="G522" s="1">
        <v>45521</v>
      </c>
      <c r="H522" t="s">
        <v>66</v>
      </c>
      <c r="I522">
        <v>86557.69</v>
      </c>
      <c r="J522">
        <v>7425.09</v>
      </c>
      <c r="K522" t="s">
        <v>25</v>
      </c>
      <c r="L522" t="s">
        <v>72</v>
      </c>
      <c r="M522" t="s">
        <v>27</v>
      </c>
      <c r="N522">
        <v>288</v>
      </c>
      <c r="O522" s="1">
        <v>45556</v>
      </c>
      <c r="P522">
        <v>35</v>
      </c>
      <c r="Q522" t="s">
        <v>43</v>
      </c>
      <c r="R522">
        <v>4291.09</v>
      </c>
    </row>
    <row r="523" spans="1:18" x14ac:dyDescent="0.25">
      <c r="A523" t="s">
        <v>1138</v>
      </c>
      <c r="B523" t="s">
        <v>1139</v>
      </c>
      <c r="C523" t="s">
        <v>1136</v>
      </c>
      <c r="D523" t="s">
        <v>1137</v>
      </c>
      <c r="E523" t="s">
        <v>280</v>
      </c>
      <c r="F523" t="s">
        <v>152</v>
      </c>
      <c r="G523" s="1">
        <v>45578</v>
      </c>
      <c r="H523" t="s">
        <v>59</v>
      </c>
      <c r="I523">
        <v>75736.36</v>
      </c>
      <c r="J523">
        <v>18542.29</v>
      </c>
      <c r="K523" t="s">
        <v>31</v>
      </c>
      <c r="L523" t="s">
        <v>41</v>
      </c>
      <c r="M523" t="s">
        <v>27</v>
      </c>
      <c r="N523">
        <v>231</v>
      </c>
      <c r="O523" s="1">
        <v>45633</v>
      </c>
      <c r="P523">
        <v>55</v>
      </c>
      <c r="Q523" t="s">
        <v>28</v>
      </c>
      <c r="R523">
        <v>18542.29</v>
      </c>
    </row>
    <row r="524" spans="1:18" x14ac:dyDescent="0.25">
      <c r="A524" t="s">
        <v>1140</v>
      </c>
      <c r="B524" t="s">
        <v>1141</v>
      </c>
      <c r="C524" t="s">
        <v>1136</v>
      </c>
      <c r="D524" t="s">
        <v>1137</v>
      </c>
      <c r="E524" t="s">
        <v>280</v>
      </c>
      <c r="F524" t="s">
        <v>152</v>
      </c>
      <c r="G524" s="1">
        <v>45461</v>
      </c>
      <c r="H524" t="s">
        <v>24</v>
      </c>
      <c r="I524">
        <v>96496.07</v>
      </c>
      <c r="J524">
        <v>19223.810000000001</v>
      </c>
      <c r="K524" t="s">
        <v>31</v>
      </c>
      <c r="L524" t="s">
        <v>36</v>
      </c>
      <c r="M524" t="s">
        <v>42</v>
      </c>
      <c r="N524">
        <v>348</v>
      </c>
      <c r="O524" s="1">
        <v>45500</v>
      </c>
      <c r="P524">
        <v>39</v>
      </c>
      <c r="Q524" t="s">
        <v>28</v>
      </c>
      <c r="R524">
        <v>19223.810000000001</v>
      </c>
    </row>
    <row r="525" spans="1:18" x14ac:dyDescent="0.25">
      <c r="A525" t="s">
        <v>1142</v>
      </c>
      <c r="B525" t="s">
        <v>1143</v>
      </c>
      <c r="C525" t="s">
        <v>1136</v>
      </c>
      <c r="D525" t="s">
        <v>1137</v>
      </c>
      <c r="E525" t="s">
        <v>280</v>
      </c>
      <c r="F525" t="s">
        <v>152</v>
      </c>
      <c r="G525" s="1">
        <v>45464</v>
      </c>
      <c r="H525" t="s">
        <v>77</v>
      </c>
      <c r="I525">
        <v>53492.23</v>
      </c>
      <c r="J525">
        <v>33756.71</v>
      </c>
      <c r="K525" t="s">
        <v>31</v>
      </c>
      <c r="L525" t="s">
        <v>32</v>
      </c>
      <c r="M525" t="s">
        <v>27</v>
      </c>
      <c r="N525">
        <v>345</v>
      </c>
      <c r="O525" s="1">
        <v>45526</v>
      </c>
      <c r="P525">
        <v>62</v>
      </c>
      <c r="Q525" t="s">
        <v>43</v>
      </c>
      <c r="R525">
        <v>9685.1</v>
      </c>
    </row>
    <row r="526" spans="1:18" x14ac:dyDescent="0.25">
      <c r="A526" t="s">
        <v>1144</v>
      </c>
      <c r="B526" t="s">
        <v>1145</v>
      </c>
      <c r="C526" t="s">
        <v>1136</v>
      </c>
      <c r="D526" t="s">
        <v>1137</v>
      </c>
      <c r="E526" t="s">
        <v>280</v>
      </c>
      <c r="F526" t="s">
        <v>152</v>
      </c>
      <c r="G526" s="1">
        <v>45723</v>
      </c>
      <c r="H526" t="s">
        <v>59</v>
      </c>
      <c r="I526">
        <v>65855.16</v>
      </c>
      <c r="J526">
        <v>49155.94</v>
      </c>
      <c r="K526" t="s">
        <v>31</v>
      </c>
      <c r="L526" t="s">
        <v>32</v>
      </c>
      <c r="M526" t="s">
        <v>47</v>
      </c>
      <c r="N526">
        <v>86</v>
      </c>
      <c r="O526" s="1">
        <v>45735</v>
      </c>
      <c r="P526">
        <v>12</v>
      </c>
      <c r="Q526" t="s">
        <v>28</v>
      </c>
      <c r="R526">
        <v>49155.94</v>
      </c>
    </row>
    <row r="527" spans="1:18" x14ac:dyDescent="0.25">
      <c r="A527" t="s">
        <v>1146</v>
      </c>
      <c r="B527" t="s">
        <v>1147</v>
      </c>
      <c r="C527" t="s">
        <v>1136</v>
      </c>
      <c r="D527" t="s">
        <v>1137</v>
      </c>
      <c r="E527" t="s">
        <v>280</v>
      </c>
      <c r="F527" t="s">
        <v>152</v>
      </c>
      <c r="G527" s="1">
        <v>45633</v>
      </c>
      <c r="H527" t="s">
        <v>35</v>
      </c>
      <c r="I527">
        <v>26680.7</v>
      </c>
      <c r="J527">
        <v>7674.93</v>
      </c>
      <c r="K527" t="s">
        <v>31</v>
      </c>
      <c r="L527" t="s">
        <v>32</v>
      </c>
      <c r="M527" t="s">
        <v>27</v>
      </c>
      <c r="N527">
        <v>176</v>
      </c>
      <c r="O527" s="1">
        <v>45692</v>
      </c>
      <c r="P527">
        <v>59</v>
      </c>
      <c r="Q527" t="s">
        <v>48</v>
      </c>
      <c r="R527">
        <v>3649.49</v>
      </c>
    </row>
    <row r="528" spans="1:18" x14ac:dyDescent="0.25">
      <c r="A528" t="s">
        <v>1148</v>
      </c>
      <c r="B528" t="s">
        <v>1149</v>
      </c>
      <c r="C528" t="s">
        <v>1136</v>
      </c>
      <c r="D528" t="s">
        <v>1137</v>
      </c>
      <c r="E528" t="s">
        <v>280</v>
      </c>
      <c r="F528" t="s">
        <v>152</v>
      </c>
      <c r="G528" s="1">
        <v>45508</v>
      </c>
      <c r="H528" t="s">
        <v>77</v>
      </c>
      <c r="I528">
        <v>54488.89</v>
      </c>
      <c r="J528">
        <v>21126.240000000002</v>
      </c>
      <c r="K528" t="s">
        <v>25</v>
      </c>
      <c r="L528" t="s">
        <v>36</v>
      </c>
      <c r="M528" t="s">
        <v>47</v>
      </c>
      <c r="N528">
        <v>301</v>
      </c>
      <c r="O528" s="1">
        <v>45595</v>
      </c>
      <c r="P528">
        <v>87</v>
      </c>
      <c r="Q528" t="s">
        <v>28</v>
      </c>
      <c r="R528">
        <v>21126.240000000002</v>
      </c>
    </row>
    <row r="529" spans="1:18" x14ac:dyDescent="0.25">
      <c r="A529" t="s">
        <v>1150</v>
      </c>
      <c r="B529" t="s">
        <v>1151</v>
      </c>
      <c r="C529" t="s">
        <v>1136</v>
      </c>
      <c r="D529" t="s">
        <v>1137</v>
      </c>
      <c r="E529" t="s">
        <v>280</v>
      </c>
      <c r="F529" t="s">
        <v>152</v>
      </c>
      <c r="G529" s="1">
        <v>45450</v>
      </c>
      <c r="H529" t="s">
        <v>77</v>
      </c>
      <c r="I529">
        <v>76225.279999999999</v>
      </c>
      <c r="J529">
        <v>15849.42</v>
      </c>
      <c r="K529" t="s">
        <v>31</v>
      </c>
      <c r="L529" t="s">
        <v>26</v>
      </c>
      <c r="M529" t="s">
        <v>42</v>
      </c>
      <c r="N529">
        <v>359</v>
      </c>
      <c r="O529" s="1">
        <v>45513</v>
      </c>
      <c r="P529">
        <v>63</v>
      </c>
      <c r="Q529" t="s">
        <v>43</v>
      </c>
      <c r="R529">
        <v>3420.61</v>
      </c>
    </row>
    <row r="530" spans="1:18" x14ac:dyDescent="0.25">
      <c r="A530" t="s">
        <v>1152</v>
      </c>
      <c r="B530" t="s">
        <v>1153</v>
      </c>
      <c r="C530" t="s">
        <v>1136</v>
      </c>
      <c r="D530" t="s">
        <v>1137</v>
      </c>
      <c r="E530" t="s">
        <v>280</v>
      </c>
      <c r="F530" t="s">
        <v>152</v>
      </c>
      <c r="G530" s="1">
        <v>45605</v>
      </c>
      <c r="H530" t="s">
        <v>59</v>
      </c>
      <c r="I530">
        <v>54778.37</v>
      </c>
      <c r="J530">
        <v>43658.93</v>
      </c>
      <c r="K530" t="s">
        <v>25</v>
      </c>
      <c r="L530" t="s">
        <v>36</v>
      </c>
      <c r="M530" t="s">
        <v>53</v>
      </c>
      <c r="N530">
        <v>204</v>
      </c>
      <c r="Q530" t="s">
        <v>38</v>
      </c>
      <c r="R530">
        <v>0</v>
      </c>
    </row>
    <row r="531" spans="1:18" x14ac:dyDescent="0.25">
      <c r="A531" t="s">
        <v>1154</v>
      </c>
      <c r="B531" t="s">
        <v>1155</v>
      </c>
      <c r="C531" t="s">
        <v>1136</v>
      </c>
      <c r="D531" t="s">
        <v>1137</v>
      </c>
      <c r="E531" t="s">
        <v>280</v>
      </c>
      <c r="F531" t="s">
        <v>152</v>
      </c>
      <c r="G531" s="1">
        <v>45609</v>
      </c>
      <c r="H531" t="s">
        <v>24</v>
      </c>
      <c r="I531">
        <v>34390.21</v>
      </c>
      <c r="J531">
        <v>8100.52</v>
      </c>
      <c r="K531" t="s">
        <v>31</v>
      </c>
      <c r="L531" t="s">
        <v>36</v>
      </c>
      <c r="M531" t="s">
        <v>27</v>
      </c>
      <c r="N531">
        <v>200</v>
      </c>
      <c r="O531" s="1">
        <v>45719</v>
      </c>
      <c r="P531">
        <v>110</v>
      </c>
      <c r="Q531" t="s">
        <v>28</v>
      </c>
      <c r="R531">
        <v>8100.52</v>
      </c>
    </row>
    <row r="532" spans="1:18" x14ac:dyDescent="0.25">
      <c r="A532" t="s">
        <v>1156</v>
      </c>
      <c r="B532" t="s">
        <v>1157</v>
      </c>
      <c r="C532" t="s">
        <v>1136</v>
      </c>
      <c r="D532" t="s">
        <v>1137</v>
      </c>
      <c r="E532" t="s">
        <v>280</v>
      </c>
      <c r="F532" t="s">
        <v>152</v>
      </c>
      <c r="G532" s="1">
        <v>45791</v>
      </c>
      <c r="H532" t="s">
        <v>51</v>
      </c>
      <c r="I532">
        <v>68037.17</v>
      </c>
      <c r="J532">
        <v>47304.65</v>
      </c>
      <c r="K532" t="s">
        <v>31</v>
      </c>
      <c r="L532" t="s">
        <v>67</v>
      </c>
      <c r="M532" t="s">
        <v>42</v>
      </c>
      <c r="N532">
        <v>18</v>
      </c>
      <c r="O532" s="1">
        <v>45802</v>
      </c>
      <c r="P532">
        <v>11</v>
      </c>
      <c r="Q532" t="s">
        <v>43</v>
      </c>
      <c r="R532">
        <v>13295.87</v>
      </c>
    </row>
    <row r="533" spans="1:18" x14ac:dyDescent="0.25">
      <c r="A533" t="s">
        <v>1158</v>
      </c>
      <c r="B533" t="s">
        <v>1159</v>
      </c>
      <c r="C533" t="s">
        <v>1136</v>
      </c>
      <c r="D533" t="s">
        <v>1137</v>
      </c>
      <c r="E533" t="s">
        <v>280</v>
      </c>
      <c r="F533" t="s">
        <v>152</v>
      </c>
      <c r="G533" s="1">
        <v>45451</v>
      </c>
      <c r="H533" t="s">
        <v>24</v>
      </c>
      <c r="I533">
        <v>56232.32</v>
      </c>
      <c r="J533">
        <v>27729.46</v>
      </c>
      <c r="K533" t="s">
        <v>31</v>
      </c>
      <c r="L533" t="s">
        <v>32</v>
      </c>
      <c r="M533" t="s">
        <v>27</v>
      </c>
      <c r="N533">
        <v>358</v>
      </c>
      <c r="O533" s="1">
        <v>45535</v>
      </c>
      <c r="P533">
        <v>84</v>
      </c>
      <c r="Q533" t="s">
        <v>43</v>
      </c>
      <c r="R533">
        <v>20668.259999999998</v>
      </c>
    </row>
    <row r="534" spans="1:18" x14ac:dyDescent="0.25">
      <c r="A534" t="s">
        <v>1160</v>
      </c>
      <c r="B534" t="s">
        <v>1161</v>
      </c>
      <c r="C534" t="s">
        <v>1136</v>
      </c>
      <c r="D534" t="s">
        <v>1137</v>
      </c>
      <c r="E534" t="s">
        <v>280</v>
      </c>
      <c r="F534" t="s">
        <v>152</v>
      </c>
      <c r="G534" s="1">
        <v>45562</v>
      </c>
      <c r="H534" t="s">
        <v>35</v>
      </c>
      <c r="I534">
        <v>56268.47</v>
      </c>
      <c r="J534">
        <v>36773.18</v>
      </c>
      <c r="K534" t="s">
        <v>31</v>
      </c>
      <c r="L534" t="s">
        <v>32</v>
      </c>
      <c r="M534" t="s">
        <v>27</v>
      </c>
      <c r="N534">
        <v>247</v>
      </c>
      <c r="O534" s="1">
        <v>45603</v>
      </c>
      <c r="P534">
        <v>41</v>
      </c>
      <c r="Q534" t="s">
        <v>28</v>
      </c>
      <c r="R534">
        <v>36773.18</v>
      </c>
    </row>
    <row r="535" spans="1:18" x14ac:dyDescent="0.25">
      <c r="A535" t="s">
        <v>1162</v>
      </c>
      <c r="B535" t="s">
        <v>1163</v>
      </c>
      <c r="C535" t="s">
        <v>1136</v>
      </c>
      <c r="D535" t="s">
        <v>1137</v>
      </c>
      <c r="E535" t="s">
        <v>280</v>
      </c>
      <c r="F535" t="s">
        <v>152</v>
      </c>
      <c r="G535" s="1">
        <v>45541</v>
      </c>
      <c r="H535" t="s">
        <v>51</v>
      </c>
      <c r="I535">
        <v>82461.08</v>
      </c>
      <c r="J535">
        <v>56564.99</v>
      </c>
      <c r="K535" t="s">
        <v>31</v>
      </c>
      <c r="L535" t="s">
        <v>72</v>
      </c>
      <c r="M535" t="s">
        <v>47</v>
      </c>
      <c r="N535">
        <v>268</v>
      </c>
      <c r="O535" s="1">
        <v>45606</v>
      </c>
      <c r="P535">
        <v>65</v>
      </c>
      <c r="Q535" t="s">
        <v>38</v>
      </c>
      <c r="R535">
        <v>0</v>
      </c>
    </row>
    <row r="536" spans="1:18" x14ac:dyDescent="0.25">
      <c r="A536" t="s">
        <v>1164</v>
      </c>
      <c r="B536" t="s">
        <v>1165</v>
      </c>
      <c r="C536" t="s">
        <v>1136</v>
      </c>
      <c r="D536" t="s">
        <v>1137</v>
      </c>
      <c r="E536" t="s">
        <v>280</v>
      </c>
      <c r="F536" t="s">
        <v>152</v>
      </c>
      <c r="G536" s="1">
        <v>45564</v>
      </c>
      <c r="H536" t="s">
        <v>59</v>
      </c>
      <c r="I536">
        <v>33463</v>
      </c>
      <c r="J536">
        <v>20894.36</v>
      </c>
      <c r="K536" t="s">
        <v>86</v>
      </c>
      <c r="L536" t="s">
        <v>46</v>
      </c>
      <c r="M536" t="s">
        <v>47</v>
      </c>
      <c r="N536">
        <v>245</v>
      </c>
      <c r="O536" s="1">
        <v>45637</v>
      </c>
      <c r="P536">
        <v>73</v>
      </c>
      <c r="Q536" t="s">
        <v>28</v>
      </c>
      <c r="R536">
        <v>20894.36</v>
      </c>
    </row>
    <row r="537" spans="1:18" x14ac:dyDescent="0.25">
      <c r="A537" t="s">
        <v>1166</v>
      </c>
      <c r="B537" t="s">
        <v>1167</v>
      </c>
      <c r="C537" t="s">
        <v>1136</v>
      </c>
      <c r="D537" t="s">
        <v>1137</v>
      </c>
      <c r="E537" t="s">
        <v>280</v>
      </c>
      <c r="F537" t="s">
        <v>152</v>
      </c>
      <c r="G537" s="1">
        <v>45598</v>
      </c>
      <c r="H537" t="s">
        <v>24</v>
      </c>
      <c r="I537">
        <v>88805.4</v>
      </c>
      <c r="J537">
        <v>33553.32</v>
      </c>
      <c r="K537" t="s">
        <v>25</v>
      </c>
      <c r="L537" t="s">
        <v>32</v>
      </c>
      <c r="M537" t="s">
        <v>42</v>
      </c>
      <c r="N537">
        <v>211</v>
      </c>
      <c r="O537" s="1">
        <v>45629</v>
      </c>
      <c r="P537">
        <v>31</v>
      </c>
      <c r="Q537" t="s">
        <v>28</v>
      </c>
      <c r="R537">
        <v>33553.32</v>
      </c>
    </row>
    <row r="538" spans="1:18" x14ac:dyDescent="0.25">
      <c r="A538" t="s">
        <v>1168</v>
      </c>
      <c r="B538" t="s">
        <v>1169</v>
      </c>
      <c r="C538" t="s">
        <v>1136</v>
      </c>
      <c r="D538" t="s">
        <v>1137</v>
      </c>
      <c r="E538" t="s">
        <v>280</v>
      </c>
      <c r="F538" t="s">
        <v>152</v>
      </c>
      <c r="G538" s="1">
        <v>45592</v>
      </c>
      <c r="H538" t="s">
        <v>59</v>
      </c>
      <c r="I538">
        <v>64405.69</v>
      </c>
      <c r="J538">
        <v>28174.76</v>
      </c>
      <c r="K538" t="s">
        <v>86</v>
      </c>
      <c r="L538" t="s">
        <v>41</v>
      </c>
      <c r="M538" t="s">
        <v>27</v>
      </c>
      <c r="N538">
        <v>217</v>
      </c>
      <c r="O538" s="1">
        <v>45690</v>
      </c>
      <c r="P538">
        <v>98</v>
      </c>
      <c r="Q538" t="s">
        <v>43</v>
      </c>
      <c r="R538">
        <v>10179.35</v>
      </c>
    </row>
    <row r="539" spans="1:18" x14ac:dyDescent="0.25">
      <c r="A539" t="s">
        <v>1170</v>
      </c>
      <c r="B539" t="s">
        <v>1171</v>
      </c>
      <c r="C539" t="s">
        <v>1136</v>
      </c>
      <c r="D539" t="s">
        <v>1137</v>
      </c>
      <c r="E539" t="s">
        <v>280</v>
      </c>
      <c r="F539" t="s">
        <v>152</v>
      </c>
      <c r="G539" s="1">
        <v>45712</v>
      </c>
      <c r="H539" t="s">
        <v>24</v>
      </c>
      <c r="I539">
        <v>86080.79</v>
      </c>
      <c r="J539">
        <v>16080.36</v>
      </c>
      <c r="K539" t="s">
        <v>31</v>
      </c>
      <c r="L539" t="s">
        <v>67</v>
      </c>
      <c r="M539" t="s">
        <v>27</v>
      </c>
      <c r="N539">
        <v>97</v>
      </c>
      <c r="O539" s="1">
        <v>45749</v>
      </c>
      <c r="P539">
        <v>37</v>
      </c>
      <c r="Q539" t="s">
        <v>48</v>
      </c>
      <c r="R539">
        <v>4772.63</v>
      </c>
    </row>
    <row r="540" spans="1:18" x14ac:dyDescent="0.25">
      <c r="A540" t="s">
        <v>1172</v>
      </c>
      <c r="B540" t="s">
        <v>1173</v>
      </c>
      <c r="C540" t="s">
        <v>1136</v>
      </c>
      <c r="D540" t="s">
        <v>1137</v>
      </c>
      <c r="E540" t="s">
        <v>280</v>
      </c>
      <c r="F540" t="s">
        <v>152</v>
      </c>
      <c r="G540" s="1">
        <v>45644</v>
      </c>
      <c r="H540" t="s">
        <v>66</v>
      </c>
      <c r="I540">
        <v>6842.56</v>
      </c>
      <c r="J540">
        <v>596.84</v>
      </c>
      <c r="K540" t="s">
        <v>31</v>
      </c>
      <c r="L540" t="s">
        <v>26</v>
      </c>
      <c r="M540" t="s">
        <v>27</v>
      </c>
      <c r="N540">
        <v>165</v>
      </c>
      <c r="O540" s="1">
        <v>45663</v>
      </c>
      <c r="P540">
        <v>19</v>
      </c>
      <c r="Q540" t="s">
        <v>48</v>
      </c>
      <c r="R540">
        <v>233.27</v>
      </c>
    </row>
    <row r="541" spans="1:18" x14ac:dyDescent="0.25">
      <c r="A541" t="s">
        <v>1174</v>
      </c>
      <c r="B541" t="s">
        <v>1175</v>
      </c>
      <c r="C541" t="s">
        <v>1136</v>
      </c>
      <c r="D541" t="s">
        <v>1137</v>
      </c>
      <c r="E541" t="s">
        <v>280</v>
      </c>
      <c r="F541" t="s">
        <v>152</v>
      </c>
      <c r="G541" s="1">
        <v>45689</v>
      </c>
      <c r="H541" t="s">
        <v>51</v>
      </c>
      <c r="I541">
        <v>13568.71</v>
      </c>
      <c r="J541">
        <v>828.28</v>
      </c>
      <c r="K541" t="s">
        <v>25</v>
      </c>
      <c r="L541" t="s">
        <v>41</v>
      </c>
      <c r="M541" t="s">
        <v>47</v>
      </c>
      <c r="N541">
        <v>120</v>
      </c>
      <c r="O541" s="1">
        <v>45755</v>
      </c>
      <c r="P541">
        <v>66</v>
      </c>
      <c r="Q541" t="s">
        <v>38</v>
      </c>
      <c r="R541">
        <v>0</v>
      </c>
    </row>
    <row r="542" spans="1:18" x14ac:dyDescent="0.25">
      <c r="A542" t="s">
        <v>1176</v>
      </c>
      <c r="B542" t="s">
        <v>1177</v>
      </c>
      <c r="C542" t="s">
        <v>1136</v>
      </c>
      <c r="D542" t="s">
        <v>1137</v>
      </c>
      <c r="E542" t="s">
        <v>280</v>
      </c>
      <c r="F542" t="s">
        <v>152</v>
      </c>
      <c r="G542" s="1">
        <v>45571</v>
      </c>
      <c r="H542" t="s">
        <v>66</v>
      </c>
      <c r="I542">
        <v>71208.81</v>
      </c>
      <c r="J542">
        <v>5255.41</v>
      </c>
      <c r="K542" t="s">
        <v>25</v>
      </c>
      <c r="L542" t="s">
        <v>72</v>
      </c>
      <c r="M542" t="s">
        <v>27</v>
      </c>
      <c r="N542">
        <v>238</v>
      </c>
      <c r="O542" s="1">
        <v>45624</v>
      </c>
      <c r="P542">
        <v>53</v>
      </c>
      <c r="Q542" t="s">
        <v>28</v>
      </c>
      <c r="R542">
        <v>5255.41</v>
      </c>
    </row>
    <row r="543" spans="1:18" x14ac:dyDescent="0.25">
      <c r="A543" t="s">
        <v>1178</v>
      </c>
      <c r="B543" t="s">
        <v>1179</v>
      </c>
      <c r="C543" t="s">
        <v>1136</v>
      </c>
      <c r="D543" t="s">
        <v>1137</v>
      </c>
      <c r="E543" t="s">
        <v>280</v>
      </c>
      <c r="F543" t="s">
        <v>152</v>
      </c>
      <c r="G543" s="1">
        <v>45568</v>
      </c>
      <c r="H543" t="s">
        <v>51</v>
      </c>
      <c r="I543">
        <v>22252.36</v>
      </c>
      <c r="J543">
        <v>16061.18</v>
      </c>
      <c r="K543" t="s">
        <v>31</v>
      </c>
      <c r="L543" t="s">
        <v>72</v>
      </c>
      <c r="M543" t="s">
        <v>27</v>
      </c>
      <c r="N543">
        <v>241</v>
      </c>
      <c r="O543" s="1">
        <v>45669</v>
      </c>
      <c r="P543">
        <v>101</v>
      </c>
      <c r="Q543" t="s">
        <v>48</v>
      </c>
      <c r="R543">
        <v>4078.24</v>
      </c>
    </row>
    <row r="544" spans="1:18" x14ac:dyDescent="0.25">
      <c r="A544" t="s">
        <v>1180</v>
      </c>
      <c r="B544" t="s">
        <v>1181</v>
      </c>
      <c r="C544" t="s">
        <v>1136</v>
      </c>
      <c r="D544" t="s">
        <v>1137</v>
      </c>
      <c r="E544" t="s">
        <v>280</v>
      </c>
      <c r="F544" t="s">
        <v>152</v>
      </c>
      <c r="G544" s="1">
        <v>45582</v>
      </c>
      <c r="H544" t="s">
        <v>24</v>
      </c>
      <c r="I544">
        <v>28480.41</v>
      </c>
      <c r="J544">
        <v>22667.599999999999</v>
      </c>
      <c r="K544" t="s">
        <v>25</v>
      </c>
      <c r="L544" t="s">
        <v>26</v>
      </c>
      <c r="M544" t="s">
        <v>27</v>
      </c>
      <c r="N544">
        <v>227</v>
      </c>
      <c r="O544" s="1">
        <v>45611</v>
      </c>
      <c r="P544">
        <v>29</v>
      </c>
      <c r="Q544" t="s">
        <v>43</v>
      </c>
      <c r="R544">
        <v>13801.52</v>
      </c>
    </row>
    <row r="545" spans="1:18" x14ac:dyDescent="0.25">
      <c r="A545" t="s">
        <v>1182</v>
      </c>
      <c r="B545" t="s">
        <v>1183</v>
      </c>
      <c r="C545" t="s">
        <v>1136</v>
      </c>
      <c r="D545" t="s">
        <v>1137</v>
      </c>
      <c r="E545" t="s">
        <v>280</v>
      </c>
      <c r="F545" t="s">
        <v>152</v>
      </c>
      <c r="G545" s="1">
        <v>45649</v>
      </c>
      <c r="H545" t="s">
        <v>24</v>
      </c>
      <c r="I545">
        <v>93940.45</v>
      </c>
      <c r="J545">
        <v>15872.04</v>
      </c>
      <c r="K545" t="s">
        <v>86</v>
      </c>
      <c r="L545" t="s">
        <v>26</v>
      </c>
      <c r="M545" t="s">
        <v>27</v>
      </c>
      <c r="N545">
        <v>160</v>
      </c>
      <c r="O545" s="1">
        <v>45733</v>
      </c>
      <c r="P545">
        <v>84</v>
      </c>
      <c r="Q545" t="s">
        <v>28</v>
      </c>
      <c r="R545">
        <v>15872.04</v>
      </c>
    </row>
    <row r="546" spans="1:18" x14ac:dyDescent="0.25">
      <c r="A546" t="s">
        <v>1184</v>
      </c>
      <c r="B546" t="s">
        <v>1185</v>
      </c>
      <c r="C546" t="s">
        <v>1136</v>
      </c>
      <c r="D546" t="s">
        <v>1137</v>
      </c>
      <c r="E546" t="s">
        <v>280</v>
      </c>
      <c r="F546" t="s">
        <v>152</v>
      </c>
      <c r="G546" s="1">
        <v>45624</v>
      </c>
      <c r="H546" t="s">
        <v>77</v>
      </c>
      <c r="I546">
        <v>89314.36</v>
      </c>
      <c r="J546">
        <v>62318.49</v>
      </c>
      <c r="K546" t="s">
        <v>25</v>
      </c>
      <c r="L546" t="s">
        <v>46</v>
      </c>
      <c r="M546" t="s">
        <v>27</v>
      </c>
      <c r="N546">
        <v>185</v>
      </c>
      <c r="O546" s="1">
        <v>45668</v>
      </c>
      <c r="P546">
        <v>44</v>
      </c>
      <c r="Q546" t="s">
        <v>28</v>
      </c>
      <c r="R546">
        <v>62318.49</v>
      </c>
    </row>
    <row r="547" spans="1:18" x14ac:dyDescent="0.25">
      <c r="A547" t="s">
        <v>1186</v>
      </c>
      <c r="B547" t="s">
        <v>1187</v>
      </c>
      <c r="C547" t="s">
        <v>1136</v>
      </c>
      <c r="D547" t="s">
        <v>1137</v>
      </c>
      <c r="E547" t="s">
        <v>280</v>
      </c>
      <c r="F547" t="s">
        <v>152</v>
      </c>
      <c r="G547" s="1">
        <v>45667</v>
      </c>
      <c r="H547" t="s">
        <v>77</v>
      </c>
      <c r="I547">
        <v>60546.2</v>
      </c>
      <c r="J547">
        <v>21000.83</v>
      </c>
      <c r="K547" t="s">
        <v>25</v>
      </c>
      <c r="L547" t="s">
        <v>67</v>
      </c>
      <c r="M547" t="s">
        <v>47</v>
      </c>
      <c r="N547">
        <v>142</v>
      </c>
      <c r="O547" s="1">
        <v>45689</v>
      </c>
      <c r="P547">
        <v>22</v>
      </c>
      <c r="Q547" t="s">
        <v>28</v>
      </c>
      <c r="R547">
        <v>21000.83</v>
      </c>
    </row>
    <row r="548" spans="1:18" x14ac:dyDescent="0.25">
      <c r="A548" t="s">
        <v>1188</v>
      </c>
      <c r="B548" t="s">
        <v>1189</v>
      </c>
      <c r="C548" t="s">
        <v>1136</v>
      </c>
      <c r="D548" t="s">
        <v>1137</v>
      </c>
      <c r="E548" t="s">
        <v>280</v>
      </c>
      <c r="F548" t="s">
        <v>152</v>
      </c>
      <c r="G548" s="1">
        <v>45763</v>
      </c>
      <c r="H548" t="s">
        <v>35</v>
      </c>
      <c r="I548">
        <v>28628.61</v>
      </c>
      <c r="J548">
        <v>12165.42</v>
      </c>
      <c r="K548" t="s">
        <v>86</v>
      </c>
      <c r="L548" t="s">
        <v>72</v>
      </c>
      <c r="M548" t="s">
        <v>37</v>
      </c>
      <c r="N548">
        <v>46</v>
      </c>
      <c r="Q548" t="s">
        <v>38</v>
      </c>
      <c r="R548">
        <v>0</v>
      </c>
    </row>
    <row r="549" spans="1:18" x14ac:dyDescent="0.25">
      <c r="A549" t="s">
        <v>1190</v>
      </c>
      <c r="B549" t="s">
        <v>1191</v>
      </c>
      <c r="C549" t="s">
        <v>1136</v>
      </c>
      <c r="D549" t="s">
        <v>1137</v>
      </c>
      <c r="E549" t="s">
        <v>280</v>
      </c>
      <c r="F549" t="s">
        <v>152</v>
      </c>
      <c r="G549" s="1">
        <v>45478</v>
      </c>
      <c r="H549" t="s">
        <v>51</v>
      </c>
      <c r="I549">
        <v>19622.25</v>
      </c>
      <c r="J549">
        <v>8874.4599999999991</v>
      </c>
      <c r="K549" t="s">
        <v>25</v>
      </c>
      <c r="L549" t="s">
        <v>46</v>
      </c>
      <c r="M549" t="s">
        <v>27</v>
      </c>
      <c r="N549">
        <v>331</v>
      </c>
      <c r="O549" s="1">
        <v>45552</v>
      </c>
      <c r="P549">
        <v>74</v>
      </c>
      <c r="Q549" t="s">
        <v>48</v>
      </c>
      <c r="R549">
        <v>3573.56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Rengifo</dc:creator>
  <cp:lastModifiedBy>Carlos Rengifo</cp:lastModifiedBy>
  <dcterms:created xsi:type="dcterms:W3CDTF">2026-06-07T17:05:28Z</dcterms:created>
  <dcterms:modified xsi:type="dcterms:W3CDTF">2026-06-07T17:09:15Z</dcterms:modified>
</cp:coreProperties>
</file>