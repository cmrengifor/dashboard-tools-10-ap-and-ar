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ject Program\dashboard-tools-10-ap-and-ar\05-payables-efficiency-dashboard\"/>
    </mc:Choice>
  </mc:AlternateContent>
  <xr:revisionPtr revIDLastSave="0" documentId="13_ncr:1_{677579EA-3845-4B0B-88B3-590F9017DDB6}" xr6:coauthVersionLast="47" xr6:coauthVersionMax="47" xr10:uidLastSave="{00000000-0000-0000-0000-000000000000}"/>
  <bookViews>
    <workbookView xWindow="-120" yWindow="-120" windowWidth="29040" windowHeight="15720" xr2:uid="{268A950D-1293-49C4-9634-DE651B849710}"/>
  </bookViews>
  <sheets>
    <sheet name="Dashboard" sheetId="2" r:id="rId1"/>
    <sheet name="Data" sheetId="1" r:id="rId2"/>
  </sheets>
  <definedNames>
    <definedName name="SegmentaciónDeDatos_payment_status">#N/A</definedName>
    <definedName name="SegmentaciónDeDatos_region">#N/A</definedName>
    <definedName name="SegmentaciónDeDatos_vendor_category">#N/A</definedName>
  </definedNames>
  <calcPr calcId="191029"/>
  <pivotCaches>
    <pivotCache cacheId="24" r:id="rId3"/>
    <pivotCache cacheId="20" r:id="rId4"/>
    <pivotCache cacheId="2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E5" i="2"/>
  <c r="H5" i="2"/>
  <c r="K5" i="2"/>
</calcChain>
</file>

<file path=xl/sharedStrings.xml><?xml version="1.0" encoding="utf-8"?>
<sst xmlns="http://schemas.openxmlformats.org/spreadsheetml/2006/main" count="8249" uniqueCount="865">
  <si>
    <t>invoice_id</t>
  </si>
  <si>
    <t>vendor_id</t>
  </si>
  <si>
    <t>vendor_name</t>
  </si>
  <si>
    <t>vendor_category</t>
  </si>
  <si>
    <t>region</t>
  </si>
  <si>
    <t>approver</t>
  </si>
  <si>
    <t>invoice_date</t>
  </si>
  <si>
    <t>due_date</t>
  </si>
  <si>
    <t>payment_terms</t>
  </si>
  <si>
    <t>invoice_amount</t>
  </si>
  <si>
    <t>paid_amount</t>
  </si>
  <si>
    <t>outstanding_balance</t>
  </si>
  <si>
    <t>payment_date</t>
  </si>
  <si>
    <t>payment_status</t>
  </si>
  <si>
    <t>payment_method</t>
  </si>
  <si>
    <t>days_to_pay</t>
  </si>
  <si>
    <t>days_early_late</t>
  </si>
  <si>
    <t>is_on_time</t>
  </si>
  <si>
    <t>has_discount_terms</t>
  </si>
  <si>
    <t>discount_rate</t>
  </si>
  <si>
    <t>discount_captured</t>
  </si>
  <si>
    <t>discount_amount</t>
  </si>
  <si>
    <t>AP-0001</t>
  </si>
  <si>
    <t>VND-021</t>
  </si>
  <si>
    <t>PrimePack Logistics</t>
  </si>
  <si>
    <t>Logistics</t>
  </si>
  <si>
    <t>North</t>
  </si>
  <si>
    <t>Sofia Reyes</t>
  </si>
  <si>
    <t>Paid</t>
  </si>
  <si>
    <t>Check</t>
  </si>
  <si>
    <t>Yes</t>
  </si>
  <si>
    <t>No</t>
  </si>
  <si>
    <t>AP-0002</t>
  </si>
  <si>
    <t>VND-002</t>
  </si>
  <si>
    <t>TechCore Solutions</t>
  </si>
  <si>
    <t>IT</t>
  </si>
  <si>
    <t>Wire</t>
  </si>
  <si>
    <t>AP-0003</t>
  </si>
  <si>
    <t>VND-014</t>
  </si>
  <si>
    <t>NetConnect Systems</t>
  </si>
  <si>
    <t>South</t>
  </si>
  <si>
    <t>Pedro Alvarez</t>
  </si>
  <si>
    <t>AP-0004</t>
  </si>
  <si>
    <t>VND-003</t>
  </si>
  <si>
    <t>FastShip Logistics</t>
  </si>
  <si>
    <t>West</t>
  </si>
  <si>
    <t>AP-0005</t>
  </si>
  <si>
    <t>VND-013</t>
  </si>
  <si>
    <t>SafetyFirst Supplies</t>
  </si>
  <si>
    <t>Materials</t>
  </si>
  <si>
    <t>Ana Torres</t>
  </si>
  <si>
    <t>AP-0006</t>
  </si>
  <si>
    <t>VND-008</t>
  </si>
  <si>
    <t>GreenEnergy Corp.</t>
  </si>
  <si>
    <t>Utilities</t>
  </si>
  <si>
    <t>AP-0007</t>
  </si>
  <si>
    <t>VND-022</t>
  </si>
  <si>
    <t>Apex Consulting</t>
  </si>
  <si>
    <t>Services</t>
  </si>
  <si>
    <t>Overdue</t>
  </si>
  <si>
    <t>AP-0008</t>
  </si>
  <si>
    <t>VND-023</t>
  </si>
  <si>
    <t>CoolTech Systems</t>
  </si>
  <si>
    <t>Central</t>
  </si>
  <si>
    <t>Marco Diaz</t>
  </si>
  <si>
    <t>AP-0009</t>
  </si>
  <si>
    <t>VND-019</t>
  </si>
  <si>
    <t>SkyNet IT Solutions</t>
  </si>
  <si>
    <t>East</t>
  </si>
  <si>
    <t>Credit Card</t>
  </si>
  <si>
    <t>AP-0010</t>
  </si>
  <si>
    <t>VND-024</t>
  </si>
  <si>
    <t>EliteFacilities Corp.</t>
  </si>
  <si>
    <t>Facilities</t>
  </si>
  <si>
    <t>AP-0011</t>
  </si>
  <si>
    <t>VND-005</t>
  </si>
  <si>
    <t>CloudSys Inc.</t>
  </si>
  <si>
    <t>ACH</t>
  </si>
  <si>
    <t>AP-0012</t>
  </si>
  <si>
    <t>VND-018</t>
  </si>
  <si>
    <t>BuildFast Materials</t>
  </si>
  <si>
    <t>AP-0013</t>
  </si>
  <si>
    <t>VND-017</t>
  </si>
  <si>
    <t>OfficePro Services</t>
  </si>
  <si>
    <t>AP-0014</t>
  </si>
  <si>
    <t>VND-025</t>
  </si>
  <si>
    <t>RapidShip Co.</t>
  </si>
  <si>
    <t>AP-0015</t>
  </si>
  <si>
    <t>VND-010</t>
  </si>
  <si>
    <t>DataBridge IT</t>
  </si>
  <si>
    <t>AP-0016</t>
  </si>
  <si>
    <t>AP-0017</t>
  </si>
  <si>
    <t>Laura Chen</t>
  </si>
  <si>
    <t>Pending</t>
  </si>
  <si>
    <t>AP-0018</t>
  </si>
  <si>
    <t>VND-001</t>
  </si>
  <si>
    <t>Acme Supplies Co.</t>
  </si>
  <si>
    <t>AP-0019</t>
  </si>
  <si>
    <t>Partial</t>
  </si>
  <si>
    <t>AP-0020</t>
  </si>
  <si>
    <t>VND-016</t>
  </si>
  <si>
    <t>CleanWater Utilities</t>
  </si>
  <si>
    <t>AP-0021</t>
  </si>
  <si>
    <t>AP-0022</t>
  </si>
  <si>
    <t>AP-0023</t>
  </si>
  <si>
    <t>AP-0024</t>
  </si>
  <si>
    <t>AP-0025</t>
  </si>
  <si>
    <t>AP-0026</t>
  </si>
  <si>
    <t>AP-0027</t>
  </si>
  <si>
    <t>VND-004</t>
  </si>
  <si>
    <t>BuildRight Materials</t>
  </si>
  <si>
    <t>AP-0028</t>
  </si>
  <si>
    <t>AP-0029</t>
  </si>
  <si>
    <t>VND-015</t>
  </si>
  <si>
    <t>ExpressRoute Logistics</t>
  </si>
  <si>
    <t>AP-0030</t>
  </si>
  <si>
    <t>AP-0031</t>
  </si>
  <si>
    <t>AP-0032</t>
  </si>
  <si>
    <t>AP-0033</t>
  </si>
  <si>
    <t>AP-0034</t>
  </si>
  <si>
    <t>VND-006</t>
  </si>
  <si>
    <t>PowerGrid Utilities</t>
  </si>
  <si>
    <t>AP-0035</t>
  </si>
  <si>
    <t>AP-0036</t>
  </si>
  <si>
    <t>AP-0037</t>
  </si>
  <si>
    <t>AP-0038</t>
  </si>
  <si>
    <t>AP-0039</t>
  </si>
  <si>
    <t>AP-0040</t>
  </si>
  <si>
    <t>VND-012</t>
  </si>
  <si>
    <t>FacilityPro Services</t>
  </si>
  <si>
    <t>AP-0041</t>
  </si>
  <si>
    <t>VND-009</t>
  </si>
  <si>
    <t>MetalWorks Ltd.</t>
  </si>
  <si>
    <t>AP-0042</t>
  </si>
  <si>
    <t>AP-0043</t>
  </si>
  <si>
    <t>AP-0044</t>
  </si>
  <si>
    <t>AP-0045</t>
  </si>
  <si>
    <t>AP-0046</t>
  </si>
  <si>
    <t>AP-0047</t>
  </si>
  <si>
    <t>AP-0048</t>
  </si>
  <si>
    <t>AP-0049</t>
  </si>
  <si>
    <t>AP-0050</t>
  </si>
  <si>
    <t>AP-0051</t>
  </si>
  <si>
    <t>VND-011</t>
  </si>
  <si>
    <t>QuickFreight Inc.</t>
  </si>
  <si>
    <t>AP-0052</t>
  </si>
  <si>
    <t>AP-0053</t>
  </si>
  <si>
    <t>AP-0054</t>
  </si>
  <si>
    <t>AP-0055</t>
  </si>
  <si>
    <t>AP-0056</t>
  </si>
  <si>
    <t>AP-0057</t>
  </si>
  <si>
    <t>AP-0058</t>
  </si>
  <si>
    <t>AP-0059</t>
  </si>
  <si>
    <t>VND-007</t>
  </si>
  <si>
    <t>ProStaff Services</t>
  </si>
  <si>
    <t>AP-0060</t>
  </si>
  <si>
    <t>AP-0061</t>
  </si>
  <si>
    <t>AP-0062</t>
  </si>
  <si>
    <t>AP-0063</t>
  </si>
  <si>
    <t>AP-0064</t>
  </si>
  <si>
    <t>AP-0065</t>
  </si>
  <si>
    <t>AP-0066</t>
  </si>
  <si>
    <t>AP-0067</t>
  </si>
  <si>
    <t>AP-0068</t>
  </si>
  <si>
    <t>AP-0069</t>
  </si>
  <si>
    <t>AP-0070</t>
  </si>
  <si>
    <t>AP-0071</t>
  </si>
  <si>
    <t>AP-0072</t>
  </si>
  <si>
    <t>AP-0073</t>
  </si>
  <si>
    <t>AP-0074</t>
  </si>
  <si>
    <t>AP-0075</t>
  </si>
  <si>
    <t>AP-0076</t>
  </si>
  <si>
    <t>AP-0077</t>
  </si>
  <si>
    <t>AP-0078</t>
  </si>
  <si>
    <t>AP-0079</t>
  </si>
  <si>
    <t>AP-0080</t>
  </si>
  <si>
    <t>AP-0081</t>
  </si>
  <si>
    <t>AP-0082</t>
  </si>
  <si>
    <t>AP-0083</t>
  </si>
  <si>
    <t>AP-0084</t>
  </si>
  <si>
    <t>AP-0085</t>
  </si>
  <si>
    <t>AP-0086</t>
  </si>
  <si>
    <t>AP-0087</t>
  </si>
  <si>
    <t>AP-0088</t>
  </si>
  <si>
    <t>AP-0089</t>
  </si>
  <si>
    <t>AP-0090</t>
  </si>
  <si>
    <t>AP-0091</t>
  </si>
  <si>
    <t>VND-020</t>
  </si>
  <si>
    <t>TrustBuild Facilities</t>
  </si>
  <si>
    <t>AP-0092</t>
  </si>
  <si>
    <t>AP-0093</t>
  </si>
  <si>
    <t>AP-0094</t>
  </si>
  <si>
    <t>AP-0095</t>
  </si>
  <si>
    <t>AP-0096</t>
  </si>
  <si>
    <t>AP-0097</t>
  </si>
  <si>
    <t>AP-0098</t>
  </si>
  <si>
    <t>AP-0099</t>
  </si>
  <si>
    <t>AP-0100</t>
  </si>
  <si>
    <t>AP-0101</t>
  </si>
  <si>
    <t>AP-0102</t>
  </si>
  <si>
    <t>AP-0103</t>
  </si>
  <si>
    <t>AP-0104</t>
  </si>
  <si>
    <t>AP-0105</t>
  </si>
  <si>
    <t>AP-0106</t>
  </si>
  <si>
    <t>AP-0107</t>
  </si>
  <si>
    <t>AP-0108</t>
  </si>
  <si>
    <t>AP-0109</t>
  </si>
  <si>
    <t>AP-0110</t>
  </si>
  <si>
    <t>AP-0111</t>
  </si>
  <si>
    <t>AP-0112</t>
  </si>
  <si>
    <t>AP-0113</t>
  </si>
  <si>
    <t>AP-0114</t>
  </si>
  <si>
    <t>AP-0115</t>
  </si>
  <si>
    <t>AP-0116</t>
  </si>
  <si>
    <t>AP-0117</t>
  </si>
  <si>
    <t>AP-0118</t>
  </si>
  <si>
    <t>AP-0119</t>
  </si>
  <si>
    <t>AP-0120</t>
  </si>
  <si>
    <t>AP-0121</t>
  </si>
  <si>
    <t>AP-0122</t>
  </si>
  <si>
    <t>AP-0123</t>
  </si>
  <si>
    <t>AP-0124</t>
  </si>
  <si>
    <t>AP-0125</t>
  </si>
  <si>
    <t>AP-0126</t>
  </si>
  <si>
    <t>AP-0127</t>
  </si>
  <si>
    <t>AP-0128</t>
  </si>
  <si>
    <t>AP-0129</t>
  </si>
  <si>
    <t>AP-0130</t>
  </si>
  <si>
    <t>AP-0131</t>
  </si>
  <si>
    <t>AP-0132</t>
  </si>
  <si>
    <t>AP-0133</t>
  </si>
  <si>
    <t>AP-0134</t>
  </si>
  <si>
    <t>AP-0135</t>
  </si>
  <si>
    <t>AP-0136</t>
  </si>
  <si>
    <t>AP-0137</t>
  </si>
  <si>
    <t>AP-0138</t>
  </si>
  <si>
    <t>AP-0139</t>
  </si>
  <si>
    <t>AP-0140</t>
  </si>
  <si>
    <t>AP-0141</t>
  </si>
  <si>
    <t>AP-0142</t>
  </si>
  <si>
    <t>AP-0143</t>
  </si>
  <si>
    <t>AP-0144</t>
  </si>
  <si>
    <t>AP-0145</t>
  </si>
  <si>
    <t>AP-0146</t>
  </si>
  <si>
    <t>AP-0147</t>
  </si>
  <si>
    <t>AP-0148</t>
  </si>
  <si>
    <t>AP-0149</t>
  </si>
  <si>
    <t>AP-0150</t>
  </si>
  <si>
    <t>AP-0151</t>
  </si>
  <si>
    <t>AP-0152</t>
  </si>
  <si>
    <t>AP-0153</t>
  </si>
  <si>
    <t>AP-0154</t>
  </si>
  <si>
    <t>AP-0155</t>
  </si>
  <si>
    <t>AP-0156</t>
  </si>
  <si>
    <t>AP-0157</t>
  </si>
  <si>
    <t>AP-0158</t>
  </si>
  <si>
    <t>AP-0159</t>
  </si>
  <si>
    <t>AP-0160</t>
  </si>
  <si>
    <t>AP-0161</t>
  </si>
  <si>
    <t>AP-0162</t>
  </si>
  <si>
    <t>AP-0163</t>
  </si>
  <si>
    <t>AP-0164</t>
  </si>
  <si>
    <t>AP-0165</t>
  </si>
  <si>
    <t>AP-0166</t>
  </si>
  <si>
    <t>AP-0167</t>
  </si>
  <si>
    <t>AP-0168</t>
  </si>
  <si>
    <t>AP-0169</t>
  </si>
  <si>
    <t>AP-0170</t>
  </si>
  <si>
    <t>AP-0171</t>
  </si>
  <si>
    <t>AP-0172</t>
  </si>
  <si>
    <t>AP-0173</t>
  </si>
  <si>
    <t>AP-0174</t>
  </si>
  <si>
    <t>AP-0175</t>
  </si>
  <si>
    <t>AP-0176</t>
  </si>
  <si>
    <t>AP-0177</t>
  </si>
  <si>
    <t>AP-0178</t>
  </si>
  <si>
    <t>AP-0179</t>
  </si>
  <si>
    <t>AP-0180</t>
  </si>
  <si>
    <t>AP-0181</t>
  </si>
  <si>
    <t>AP-0182</t>
  </si>
  <si>
    <t>AP-0183</t>
  </si>
  <si>
    <t>AP-0184</t>
  </si>
  <si>
    <t>AP-0185</t>
  </si>
  <si>
    <t>AP-0186</t>
  </si>
  <si>
    <t>AP-0187</t>
  </si>
  <si>
    <t>AP-0188</t>
  </si>
  <si>
    <t>AP-0189</t>
  </si>
  <si>
    <t>AP-0190</t>
  </si>
  <si>
    <t>AP-0191</t>
  </si>
  <si>
    <t>AP-0192</t>
  </si>
  <si>
    <t>AP-0193</t>
  </si>
  <si>
    <t>AP-0194</t>
  </si>
  <si>
    <t>AP-0195</t>
  </si>
  <si>
    <t>AP-0196</t>
  </si>
  <si>
    <t>AP-0197</t>
  </si>
  <si>
    <t>AP-0198</t>
  </si>
  <si>
    <t>AP-0199</t>
  </si>
  <si>
    <t>AP-0200</t>
  </si>
  <si>
    <t>AP-0201</t>
  </si>
  <si>
    <t>AP-0202</t>
  </si>
  <si>
    <t>AP-0203</t>
  </si>
  <si>
    <t>AP-0204</t>
  </si>
  <si>
    <t>AP-0205</t>
  </si>
  <si>
    <t>AP-0206</t>
  </si>
  <si>
    <t>AP-0207</t>
  </si>
  <si>
    <t>AP-0208</t>
  </si>
  <si>
    <t>AP-0209</t>
  </si>
  <si>
    <t>AP-0210</t>
  </si>
  <si>
    <t>AP-0211</t>
  </si>
  <si>
    <t>AP-0212</t>
  </si>
  <si>
    <t>AP-0213</t>
  </si>
  <si>
    <t>AP-0214</t>
  </si>
  <si>
    <t>AP-0215</t>
  </si>
  <si>
    <t>AP-0216</t>
  </si>
  <si>
    <t>AP-0217</t>
  </si>
  <si>
    <t>AP-0218</t>
  </si>
  <si>
    <t>AP-0219</t>
  </si>
  <si>
    <t>AP-0220</t>
  </si>
  <si>
    <t>AP-0221</t>
  </si>
  <si>
    <t>AP-0222</t>
  </si>
  <si>
    <t>AP-0223</t>
  </si>
  <si>
    <t>AP-0224</t>
  </si>
  <si>
    <t>AP-0225</t>
  </si>
  <si>
    <t>AP-0226</t>
  </si>
  <si>
    <t>AP-0227</t>
  </si>
  <si>
    <t>AP-0228</t>
  </si>
  <si>
    <t>AP-0229</t>
  </si>
  <si>
    <t>AP-0230</t>
  </si>
  <si>
    <t>AP-0231</t>
  </si>
  <si>
    <t>AP-0232</t>
  </si>
  <si>
    <t>AP-0233</t>
  </si>
  <si>
    <t>AP-0234</t>
  </si>
  <si>
    <t>AP-0235</t>
  </si>
  <si>
    <t>AP-0236</t>
  </si>
  <si>
    <t>AP-0237</t>
  </si>
  <si>
    <t>AP-0238</t>
  </si>
  <si>
    <t>AP-0239</t>
  </si>
  <si>
    <t>AP-0240</t>
  </si>
  <si>
    <t>AP-0241</t>
  </si>
  <si>
    <t>AP-0242</t>
  </si>
  <si>
    <t>AP-0243</t>
  </si>
  <si>
    <t>AP-0244</t>
  </si>
  <si>
    <t>AP-0245</t>
  </si>
  <si>
    <t>AP-0246</t>
  </si>
  <si>
    <t>AP-0247</t>
  </si>
  <si>
    <t>AP-0248</t>
  </si>
  <si>
    <t>AP-0249</t>
  </si>
  <si>
    <t>AP-0250</t>
  </si>
  <si>
    <t>AP-0251</t>
  </si>
  <si>
    <t>AP-0252</t>
  </si>
  <si>
    <t>AP-0253</t>
  </si>
  <si>
    <t>AP-0254</t>
  </si>
  <si>
    <t>AP-0255</t>
  </si>
  <si>
    <t>AP-0256</t>
  </si>
  <si>
    <t>AP-0257</t>
  </si>
  <si>
    <t>AP-0258</t>
  </si>
  <si>
    <t>AP-0259</t>
  </si>
  <si>
    <t>AP-0260</t>
  </si>
  <si>
    <t>AP-0261</t>
  </si>
  <si>
    <t>AP-0262</t>
  </si>
  <si>
    <t>AP-0263</t>
  </si>
  <si>
    <t>AP-0264</t>
  </si>
  <si>
    <t>AP-0265</t>
  </si>
  <si>
    <t>AP-0266</t>
  </si>
  <si>
    <t>AP-0267</t>
  </si>
  <si>
    <t>AP-0268</t>
  </si>
  <si>
    <t>AP-0269</t>
  </si>
  <si>
    <t>AP-0270</t>
  </si>
  <si>
    <t>AP-0271</t>
  </si>
  <si>
    <t>AP-0272</t>
  </si>
  <si>
    <t>AP-0273</t>
  </si>
  <si>
    <t>AP-0274</t>
  </si>
  <si>
    <t>AP-0275</t>
  </si>
  <si>
    <t>AP-0276</t>
  </si>
  <si>
    <t>AP-0277</t>
  </si>
  <si>
    <t>AP-0278</t>
  </si>
  <si>
    <t>AP-0279</t>
  </si>
  <si>
    <t>AP-0280</t>
  </si>
  <si>
    <t>AP-0281</t>
  </si>
  <si>
    <t>AP-0282</t>
  </si>
  <si>
    <t>AP-0283</t>
  </si>
  <si>
    <t>AP-0284</t>
  </si>
  <si>
    <t>AP-0285</t>
  </si>
  <si>
    <t>AP-0286</t>
  </si>
  <si>
    <t>AP-0287</t>
  </si>
  <si>
    <t>AP-0288</t>
  </si>
  <si>
    <t>AP-0289</t>
  </si>
  <si>
    <t>AP-0290</t>
  </si>
  <si>
    <t>AP-0291</t>
  </si>
  <si>
    <t>AP-0292</t>
  </si>
  <si>
    <t>AP-0293</t>
  </si>
  <si>
    <t>AP-0294</t>
  </si>
  <si>
    <t>AP-0295</t>
  </si>
  <si>
    <t>AP-0296</t>
  </si>
  <si>
    <t>AP-0297</t>
  </si>
  <si>
    <t>AP-0298</t>
  </si>
  <si>
    <t>AP-0299</t>
  </si>
  <si>
    <t>AP-0300</t>
  </si>
  <si>
    <t>AP-0301</t>
  </si>
  <si>
    <t>AP-0302</t>
  </si>
  <si>
    <t>AP-0303</t>
  </si>
  <si>
    <t>AP-0304</t>
  </si>
  <si>
    <t>AP-0305</t>
  </si>
  <si>
    <t>AP-0306</t>
  </si>
  <si>
    <t>AP-0307</t>
  </si>
  <si>
    <t>AP-0308</t>
  </si>
  <si>
    <t>AP-0309</t>
  </si>
  <si>
    <t>AP-0310</t>
  </si>
  <si>
    <t>AP-0311</t>
  </si>
  <si>
    <t>AP-0312</t>
  </si>
  <si>
    <t>AP-0313</t>
  </si>
  <si>
    <t>AP-0314</t>
  </si>
  <si>
    <t>AP-0315</t>
  </si>
  <si>
    <t>AP-0316</t>
  </si>
  <si>
    <t>AP-0317</t>
  </si>
  <si>
    <t>AP-0318</t>
  </si>
  <si>
    <t>AP-0319</t>
  </si>
  <si>
    <t>AP-0320</t>
  </si>
  <si>
    <t>AP-0321</t>
  </si>
  <si>
    <t>AP-0322</t>
  </si>
  <si>
    <t>AP-0323</t>
  </si>
  <si>
    <t>AP-0324</t>
  </si>
  <si>
    <t>AP-0325</t>
  </si>
  <si>
    <t>AP-0326</t>
  </si>
  <si>
    <t>AP-0327</t>
  </si>
  <si>
    <t>AP-0328</t>
  </si>
  <si>
    <t>AP-0329</t>
  </si>
  <si>
    <t>AP-0330</t>
  </si>
  <si>
    <t>AP-0331</t>
  </si>
  <si>
    <t>AP-0332</t>
  </si>
  <si>
    <t>AP-0333</t>
  </si>
  <si>
    <t>AP-0334</t>
  </si>
  <si>
    <t>AP-0335</t>
  </si>
  <si>
    <t>AP-0336</t>
  </si>
  <si>
    <t>AP-0337</t>
  </si>
  <si>
    <t>AP-0338</t>
  </si>
  <si>
    <t>AP-0339</t>
  </si>
  <si>
    <t>AP-0340</t>
  </si>
  <si>
    <t>AP-0341</t>
  </si>
  <si>
    <t>AP-0342</t>
  </si>
  <si>
    <t>AP-0343</t>
  </si>
  <si>
    <t>AP-0344</t>
  </si>
  <si>
    <t>AP-0345</t>
  </si>
  <si>
    <t>AP-0346</t>
  </si>
  <si>
    <t>AP-0347</t>
  </si>
  <si>
    <t>AP-0348</t>
  </si>
  <si>
    <t>AP-0349</t>
  </si>
  <si>
    <t>AP-0350</t>
  </si>
  <si>
    <t>AP-0351</t>
  </si>
  <si>
    <t>AP-0352</t>
  </si>
  <si>
    <t>AP-0353</t>
  </si>
  <si>
    <t>AP-0354</t>
  </si>
  <si>
    <t>AP-0355</t>
  </si>
  <si>
    <t>AP-0356</t>
  </si>
  <si>
    <t>AP-0357</t>
  </si>
  <si>
    <t>AP-0358</t>
  </si>
  <si>
    <t>AP-0359</t>
  </si>
  <si>
    <t>AP-0360</t>
  </si>
  <si>
    <t>AP-0361</t>
  </si>
  <si>
    <t>AP-0362</t>
  </si>
  <si>
    <t>AP-0363</t>
  </si>
  <si>
    <t>AP-0364</t>
  </si>
  <si>
    <t>AP-0365</t>
  </si>
  <si>
    <t>AP-0366</t>
  </si>
  <si>
    <t>AP-0367</t>
  </si>
  <si>
    <t>AP-0368</t>
  </si>
  <si>
    <t>AP-0369</t>
  </si>
  <si>
    <t>AP-0370</t>
  </si>
  <si>
    <t>AP-0371</t>
  </si>
  <si>
    <t>AP-0372</t>
  </si>
  <si>
    <t>AP-0373</t>
  </si>
  <si>
    <t>AP-0374</t>
  </si>
  <si>
    <t>AP-0375</t>
  </si>
  <si>
    <t>AP-0376</t>
  </si>
  <si>
    <t>AP-0377</t>
  </si>
  <si>
    <t>AP-0378</t>
  </si>
  <si>
    <t>AP-0379</t>
  </si>
  <si>
    <t>AP-0380</t>
  </si>
  <si>
    <t>AP-0381</t>
  </si>
  <si>
    <t>AP-0382</t>
  </si>
  <si>
    <t>AP-0383</t>
  </si>
  <si>
    <t>AP-0384</t>
  </si>
  <si>
    <t>AP-0385</t>
  </si>
  <si>
    <t>AP-0386</t>
  </si>
  <si>
    <t>AP-0387</t>
  </si>
  <si>
    <t>AP-0388</t>
  </si>
  <si>
    <t>AP-0389</t>
  </si>
  <si>
    <t>AP-0390</t>
  </si>
  <si>
    <t>AP-0391</t>
  </si>
  <si>
    <t>AP-0392</t>
  </si>
  <si>
    <t>AP-0393</t>
  </si>
  <si>
    <t>AP-0394</t>
  </si>
  <si>
    <t>AP-0395</t>
  </si>
  <si>
    <t>AP-0396</t>
  </si>
  <si>
    <t>AP-0397</t>
  </si>
  <si>
    <t>AP-0398</t>
  </si>
  <si>
    <t>AP-0399</t>
  </si>
  <si>
    <t>AP-0400</t>
  </si>
  <si>
    <t>AP-0401</t>
  </si>
  <si>
    <t>AP-0402</t>
  </si>
  <si>
    <t>AP-0403</t>
  </si>
  <si>
    <t>AP-0404</t>
  </si>
  <si>
    <t>AP-0405</t>
  </si>
  <si>
    <t>AP-0406</t>
  </si>
  <si>
    <t>AP-0407</t>
  </si>
  <si>
    <t>AP-0408</t>
  </si>
  <si>
    <t>AP-0409</t>
  </si>
  <si>
    <t>AP-0410</t>
  </si>
  <si>
    <t>AP-0411</t>
  </si>
  <si>
    <t>AP-0412</t>
  </si>
  <si>
    <t>AP-0413</t>
  </si>
  <si>
    <t>AP-0414</t>
  </si>
  <si>
    <t>AP-0415</t>
  </si>
  <si>
    <t>AP-0416</t>
  </si>
  <si>
    <t>AP-0417</t>
  </si>
  <si>
    <t>AP-0418</t>
  </si>
  <si>
    <t>AP-0419</t>
  </si>
  <si>
    <t>AP-0420</t>
  </si>
  <si>
    <t>AP-0421</t>
  </si>
  <si>
    <t>AP-0422</t>
  </si>
  <si>
    <t>AP-0423</t>
  </si>
  <si>
    <t>AP-0424</t>
  </si>
  <si>
    <t>AP-0425</t>
  </si>
  <si>
    <t>AP-0426</t>
  </si>
  <si>
    <t>AP-0427</t>
  </si>
  <si>
    <t>AP-0428</t>
  </si>
  <si>
    <t>AP-0429</t>
  </si>
  <si>
    <t>AP-0430</t>
  </si>
  <si>
    <t>AP-0431</t>
  </si>
  <si>
    <t>AP-0432</t>
  </si>
  <si>
    <t>AP-0433</t>
  </si>
  <si>
    <t>AP-0434</t>
  </si>
  <si>
    <t>AP-0435</t>
  </si>
  <si>
    <t>AP-0436</t>
  </si>
  <si>
    <t>AP-0437</t>
  </si>
  <si>
    <t>AP-0438</t>
  </si>
  <si>
    <t>AP-0439</t>
  </si>
  <si>
    <t>AP-0440</t>
  </si>
  <si>
    <t>AP-0441</t>
  </si>
  <si>
    <t>AP-0442</t>
  </si>
  <si>
    <t>AP-0443</t>
  </si>
  <si>
    <t>AP-0444</t>
  </si>
  <si>
    <t>AP-0445</t>
  </si>
  <si>
    <t>AP-0446</t>
  </si>
  <si>
    <t>AP-0447</t>
  </si>
  <si>
    <t>AP-0448</t>
  </si>
  <si>
    <t>AP-0449</t>
  </si>
  <si>
    <t>AP-0450</t>
  </si>
  <si>
    <t>AP-0451</t>
  </si>
  <si>
    <t>AP-0452</t>
  </si>
  <si>
    <t>AP-0453</t>
  </si>
  <si>
    <t>AP-0454</t>
  </si>
  <si>
    <t>AP-0455</t>
  </si>
  <si>
    <t>AP-0456</t>
  </si>
  <si>
    <t>AP-0457</t>
  </si>
  <si>
    <t>AP-0458</t>
  </si>
  <si>
    <t>AP-0459</t>
  </si>
  <si>
    <t>AP-0460</t>
  </si>
  <si>
    <t>AP-0461</t>
  </si>
  <si>
    <t>AP-0462</t>
  </si>
  <si>
    <t>AP-0463</t>
  </si>
  <si>
    <t>AP-0464</t>
  </si>
  <si>
    <t>AP-0465</t>
  </si>
  <si>
    <t>AP-0466</t>
  </si>
  <si>
    <t>AP-0467</t>
  </si>
  <si>
    <t>AP-0468</t>
  </si>
  <si>
    <t>AP-0469</t>
  </si>
  <si>
    <t>AP-0470</t>
  </si>
  <si>
    <t>AP-0471</t>
  </si>
  <si>
    <t>AP-0472</t>
  </si>
  <si>
    <t>AP-0473</t>
  </si>
  <si>
    <t>AP-0474</t>
  </si>
  <si>
    <t>AP-0475</t>
  </si>
  <si>
    <t>AP-0476</t>
  </si>
  <si>
    <t>AP-0477</t>
  </si>
  <si>
    <t>AP-0478</t>
  </si>
  <si>
    <t>AP-0479</t>
  </si>
  <si>
    <t>AP-0480</t>
  </si>
  <si>
    <t>AP-0481</t>
  </si>
  <si>
    <t>AP-0482</t>
  </si>
  <si>
    <t>AP-0483</t>
  </si>
  <si>
    <t>AP-0484</t>
  </si>
  <si>
    <t>AP-0485</t>
  </si>
  <si>
    <t>AP-0486</t>
  </si>
  <si>
    <t>AP-0487</t>
  </si>
  <si>
    <t>AP-0488</t>
  </si>
  <si>
    <t>AP-0489</t>
  </si>
  <si>
    <t>AP-0490</t>
  </si>
  <si>
    <t>AP-0491</t>
  </si>
  <si>
    <t>AP-0492</t>
  </si>
  <si>
    <t>AP-0493</t>
  </si>
  <si>
    <t>AP-0494</t>
  </si>
  <si>
    <t>AP-0495</t>
  </si>
  <si>
    <t>AP-0496</t>
  </si>
  <si>
    <t>AP-0497</t>
  </si>
  <si>
    <t>AP-0498</t>
  </si>
  <si>
    <t>AP-0499</t>
  </si>
  <si>
    <t>AP-0500</t>
  </si>
  <si>
    <t>AP-0501</t>
  </si>
  <si>
    <t>AP-0502</t>
  </si>
  <si>
    <t>AP-0503</t>
  </si>
  <si>
    <t>AP-0504</t>
  </si>
  <si>
    <t>AP-0505</t>
  </si>
  <si>
    <t>AP-0506</t>
  </si>
  <si>
    <t>AP-0507</t>
  </si>
  <si>
    <t>AP-0508</t>
  </si>
  <si>
    <t>AP-0509</t>
  </si>
  <si>
    <t>AP-0510</t>
  </si>
  <si>
    <t>AP-0511</t>
  </si>
  <si>
    <t>AP-0512</t>
  </si>
  <si>
    <t>AP-0513</t>
  </si>
  <si>
    <t>AP-0514</t>
  </si>
  <si>
    <t>AP-0515</t>
  </si>
  <si>
    <t>AP-0516</t>
  </si>
  <si>
    <t>AP-0517</t>
  </si>
  <si>
    <t>AP-0518</t>
  </si>
  <si>
    <t>AP-0519</t>
  </si>
  <si>
    <t>AP-0520</t>
  </si>
  <si>
    <t>AP-0521</t>
  </si>
  <si>
    <t>AP-0522</t>
  </si>
  <si>
    <t>AP-0523</t>
  </si>
  <si>
    <t>AP-0524</t>
  </si>
  <si>
    <t>AP-0525</t>
  </si>
  <si>
    <t>AP-0526</t>
  </si>
  <si>
    <t>AP-0527</t>
  </si>
  <si>
    <t>AP-0528</t>
  </si>
  <si>
    <t>AP-0529</t>
  </si>
  <si>
    <t>AP-0530</t>
  </si>
  <si>
    <t>AP-0531</t>
  </si>
  <si>
    <t>AP-0532</t>
  </si>
  <si>
    <t>AP-0533</t>
  </si>
  <si>
    <t>AP-0534</t>
  </si>
  <si>
    <t>AP-0535</t>
  </si>
  <si>
    <t>AP-0536</t>
  </si>
  <si>
    <t>AP-0537</t>
  </si>
  <si>
    <t>AP-0538</t>
  </si>
  <si>
    <t>AP-0539</t>
  </si>
  <si>
    <t>AP-0540</t>
  </si>
  <si>
    <t>AP-0541</t>
  </si>
  <si>
    <t>AP-0542</t>
  </si>
  <si>
    <t>AP-0543</t>
  </si>
  <si>
    <t>AP-0544</t>
  </si>
  <si>
    <t>AP-0545</t>
  </si>
  <si>
    <t>AP-0546</t>
  </si>
  <si>
    <t>AP-0547</t>
  </si>
  <si>
    <t>AP-0548</t>
  </si>
  <si>
    <t>AP-0549</t>
  </si>
  <si>
    <t>AP-0550</t>
  </si>
  <si>
    <t>AP-0551</t>
  </si>
  <si>
    <t>AP-0552</t>
  </si>
  <si>
    <t>AP-0553</t>
  </si>
  <si>
    <t>AP-0554</t>
  </si>
  <si>
    <t>AP-0555</t>
  </si>
  <si>
    <t>AP-0556</t>
  </si>
  <si>
    <t>AP-0557</t>
  </si>
  <si>
    <t>AP-0558</t>
  </si>
  <si>
    <t>AP-0559</t>
  </si>
  <si>
    <t>AP-0560</t>
  </si>
  <si>
    <t>AP-0561</t>
  </si>
  <si>
    <t>AP-0562</t>
  </si>
  <si>
    <t>AP-0563</t>
  </si>
  <si>
    <t>AP-0564</t>
  </si>
  <si>
    <t>AP-0565</t>
  </si>
  <si>
    <t>AP-0566</t>
  </si>
  <si>
    <t>AP-0567</t>
  </si>
  <si>
    <t>AP-0568</t>
  </si>
  <si>
    <t>AP-0569</t>
  </si>
  <si>
    <t>AP-0570</t>
  </si>
  <si>
    <t>AP-0571</t>
  </si>
  <si>
    <t>AP-0572</t>
  </si>
  <si>
    <t>AP-0573</t>
  </si>
  <si>
    <t>AP-0574</t>
  </si>
  <si>
    <t>AP-0575</t>
  </si>
  <si>
    <t>AP-0576</t>
  </si>
  <si>
    <t>AP-0577</t>
  </si>
  <si>
    <t>AP-0578</t>
  </si>
  <si>
    <t>AP-0579</t>
  </si>
  <si>
    <t>AP-0580</t>
  </si>
  <si>
    <t>AP-0581</t>
  </si>
  <si>
    <t>AP-0582</t>
  </si>
  <si>
    <t>AP-0583</t>
  </si>
  <si>
    <t>AP-0584</t>
  </si>
  <si>
    <t>AP-0585</t>
  </si>
  <si>
    <t>AP-0586</t>
  </si>
  <si>
    <t>AP-0587</t>
  </si>
  <si>
    <t>AP-0588</t>
  </si>
  <si>
    <t>AP-0589</t>
  </si>
  <si>
    <t>AP-0590</t>
  </si>
  <si>
    <t>AP-0591</t>
  </si>
  <si>
    <t>AP-0592</t>
  </si>
  <si>
    <t>AP-0593</t>
  </si>
  <si>
    <t>AP-0594</t>
  </si>
  <si>
    <t>AP-0595</t>
  </si>
  <si>
    <t>AP-0596</t>
  </si>
  <si>
    <t>AP-0597</t>
  </si>
  <si>
    <t>AP-0598</t>
  </si>
  <si>
    <t>AP-0599</t>
  </si>
  <si>
    <t>AP-0600</t>
  </si>
  <si>
    <t>AP-0601</t>
  </si>
  <si>
    <t>AP-0602</t>
  </si>
  <si>
    <t>AP-0603</t>
  </si>
  <si>
    <t>AP-0604</t>
  </si>
  <si>
    <t>AP-0605</t>
  </si>
  <si>
    <t>AP-0606</t>
  </si>
  <si>
    <t>AP-0607</t>
  </si>
  <si>
    <t>AP-0608</t>
  </si>
  <si>
    <t>AP-0609</t>
  </si>
  <si>
    <t>AP-0610</t>
  </si>
  <si>
    <t>AP-0611</t>
  </si>
  <si>
    <t>AP-0612</t>
  </si>
  <si>
    <t>AP-0613</t>
  </si>
  <si>
    <t>AP-0614</t>
  </si>
  <si>
    <t>AP-0615</t>
  </si>
  <si>
    <t>AP-0616</t>
  </si>
  <si>
    <t>AP-0617</t>
  </si>
  <si>
    <t>AP-0618</t>
  </si>
  <si>
    <t>AP-0619</t>
  </si>
  <si>
    <t>AP-0620</t>
  </si>
  <si>
    <t>AP-0621</t>
  </si>
  <si>
    <t>AP-0622</t>
  </si>
  <si>
    <t>AP-0623</t>
  </si>
  <si>
    <t>AP-0624</t>
  </si>
  <si>
    <t>AP-0625</t>
  </si>
  <si>
    <t>AP-0626</t>
  </si>
  <si>
    <t>AP-0627</t>
  </si>
  <si>
    <t>AP-0628</t>
  </si>
  <si>
    <t>AP-0629</t>
  </si>
  <si>
    <t>AP-0630</t>
  </si>
  <si>
    <t>AP-0631</t>
  </si>
  <si>
    <t>AP-0632</t>
  </si>
  <si>
    <t>AP-0633</t>
  </si>
  <si>
    <t>AP-0634</t>
  </si>
  <si>
    <t>AP-0635</t>
  </si>
  <si>
    <t>AP-0636</t>
  </si>
  <si>
    <t>AP-0637</t>
  </si>
  <si>
    <t>AP-0638</t>
  </si>
  <si>
    <t>AP-0639</t>
  </si>
  <si>
    <t>AP-0640</t>
  </si>
  <si>
    <t>AP-0641</t>
  </si>
  <si>
    <t>AP-0642</t>
  </si>
  <si>
    <t>AP-0643</t>
  </si>
  <si>
    <t>AP-0644</t>
  </si>
  <si>
    <t>AP-0645</t>
  </si>
  <si>
    <t>AP-0646</t>
  </si>
  <si>
    <t>AP-0647</t>
  </si>
  <si>
    <t>AP-0648</t>
  </si>
  <si>
    <t>AP-0649</t>
  </si>
  <si>
    <t>AP-0650</t>
  </si>
  <si>
    <t>AP-0651</t>
  </si>
  <si>
    <t>AP-0652</t>
  </si>
  <si>
    <t>AP-0653</t>
  </si>
  <si>
    <t>AP-0654</t>
  </si>
  <si>
    <t>AP-0655</t>
  </si>
  <si>
    <t>AP-0656</t>
  </si>
  <si>
    <t>AP-0657</t>
  </si>
  <si>
    <t>AP-0658</t>
  </si>
  <si>
    <t>AP-0659</t>
  </si>
  <si>
    <t>AP-0660</t>
  </si>
  <si>
    <t>AP-0661</t>
  </si>
  <si>
    <t>AP-0662</t>
  </si>
  <si>
    <t>AP-0663</t>
  </si>
  <si>
    <t>AP-0664</t>
  </si>
  <si>
    <t>AP-0665</t>
  </si>
  <si>
    <t>AP-0666</t>
  </si>
  <si>
    <t>AP-0667</t>
  </si>
  <si>
    <t>AP-0668</t>
  </si>
  <si>
    <t>AP-0669</t>
  </si>
  <si>
    <t>AP-0670</t>
  </si>
  <si>
    <t>AP-0671</t>
  </si>
  <si>
    <t>AP-0672</t>
  </si>
  <si>
    <t>AP-0673</t>
  </si>
  <si>
    <t>AP-0674</t>
  </si>
  <si>
    <t>AP-0675</t>
  </si>
  <si>
    <t>AP-0676</t>
  </si>
  <si>
    <t>AP-0677</t>
  </si>
  <si>
    <t>AP-0678</t>
  </si>
  <si>
    <t>AP-0679</t>
  </si>
  <si>
    <t>AP-0680</t>
  </si>
  <si>
    <t>AP-0681</t>
  </si>
  <si>
    <t>AP-0682</t>
  </si>
  <si>
    <t>AP-0683</t>
  </si>
  <si>
    <t>AP-0684</t>
  </si>
  <si>
    <t>AP-0685</t>
  </si>
  <si>
    <t>AP-0686</t>
  </si>
  <si>
    <t>AP-0687</t>
  </si>
  <si>
    <t>AP-0688</t>
  </si>
  <si>
    <t>AP-0689</t>
  </si>
  <si>
    <t>AP-0690</t>
  </si>
  <si>
    <t>AP-0691</t>
  </si>
  <si>
    <t>AP-0692</t>
  </si>
  <si>
    <t>AP-0693</t>
  </si>
  <si>
    <t>AP-0694</t>
  </si>
  <si>
    <t>AP-0695</t>
  </si>
  <si>
    <t>AP-0696</t>
  </si>
  <si>
    <t>AP-0697</t>
  </si>
  <si>
    <t>AP-0698</t>
  </si>
  <si>
    <t>AP-0699</t>
  </si>
  <si>
    <t>AP-0700</t>
  </si>
  <si>
    <t>AP-0701</t>
  </si>
  <si>
    <t>AP-0702</t>
  </si>
  <si>
    <t>AP-0703</t>
  </si>
  <si>
    <t>AP-0704</t>
  </si>
  <si>
    <t>AP-0705</t>
  </si>
  <si>
    <t>AP-0706</t>
  </si>
  <si>
    <t>AP-0707</t>
  </si>
  <si>
    <t>AP-0708</t>
  </si>
  <si>
    <t>AP-0709</t>
  </si>
  <si>
    <t>AP-0710</t>
  </si>
  <si>
    <t>AP-0711</t>
  </si>
  <si>
    <t>AP-0712</t>
  </si>
  <si>
    <t>AP-0713</t>
  </si>
  <si>
    <t>AP-0714</t>
  </si>
  <si>
    <t>AP-0715</t>
  </si>
  <si>
    <t>AP-0716</t>
  </si>
  <si>
    <t>AP-0717</t>
  </si>
  <si>
    <t>AP-0718</t>
  </si>
  <si>
    <t>AP-0719</t>
  </si>
  <si>
    <t>AP-0720</t>
  </si>
  <si>
    <t>AP-0721</t>
  </si>
  <si>
    <t>AP-0722</t>
  </si>
  <si>
    <t>AP-0723</t>
  </si>
  <si>
    <t>AP-0724</t>
  </si>
  <si>
    <t>AP-0725</t>
  </si>
  <si>
    <t>AP-0726</t>
  </si>
  <si>
    <t>AP-0727</t>
  </si>
  <si>
    <t>AP-0728</t>
  </si>
  <si>
    <t>AP-0729</t>
  </si>
  <si>
    <t>AP-0730</t>
  </si>
  <si>
    <t>AP-0731</t>
  </si>
  <si>
    <t>AP-0732</t>
  </si>
  <si>
    <t>AP-0733</t>
  </si>
  <si>
    <t>AP-0734</t>
  </si>
  <si>
    <t>AP-0735</t>
  </si>
  <si>
    <t>AP-0736</t>
  </si>
  <si>
    <t>AP-0737</t>
  </si>
  <si>
    <t>AP-0738</t>
  </si>
  <si>
    <t>AP-0739</t>
  </si>
  <si>
    <t>AP-0740</t>
  </si>
  <si>
    <t>AP-0741</t>
  </si>
  <si>
    <t>AP-0742</t>
  </si>
  <si>
    <t>AP-0743</t>
  </si>
  <si>
    <t>AP-0744</t>
  </si>
  <si>
    <t>AP-0745</t>
  </si>
  <si>
    <t>AP-0746</t>
  </si>
  <si>
    <t>AP-0747</t>
  </si>
  <si>
    <t>AP-0748</t>
  </si>
  <si>
    <t>AP-0749</t>
  </si>
  <si>
    <t>AP-0750</t>
  </si>
  <si>
    <t>Payables Efficiency Dashboard</t>
  </si>
  <si>
    <t>Total AP Outstanding</t>
  </si>
  <si>
    <t>Avg Days to Pay (DPO)</t>
  </si>
  <si>
    <t>On-Time Payment Rate</t>
  </si>
  <si>
    <t>Discounts Captured</t>
  </si>
  <si>
    <t>Outstanding Balance</t>
  </si>
  <si>
    <t>Paid invoices avg</t>
  </si>
  <si>
    <t>% paid on or before due date</t>
  </si>
  <si>
    <t>Early payment discounts</t>
  </si>
  <si>
    <t>By Vendor Category</t>
  </si>
  <si>
    <t>By Payment Status</t>
  </si>
  <si>
    <t>By Payment Terms</t>
  </si>
  <si>
    <t>Etiquetas de fila</t>
  </si>
  <si>
    <t>Total general</t>
  </si>
  <si>
    <t>Suma de outstanding_balance</t>
  </si>
  <si>
    <t>Suma de invoice_amount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</si>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</sst>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$&quot;#,##0"/>
    <numFmt numFmtId="166" formatCode="0.0&quot; days&quot;"/>
    <numFmt numFmtId="167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numFmt numFmtId="164" formatCode="m/d/yyyy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3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[payables_efficiency_dashboard.xlsx]Dashboard!PT_Category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Dashboard!$B$10:$B$16</c:f>
              <c:strCache>
                <c:ptCount val="6"/>
                <c:pt idx="0">
                  <c:v>Facilities</c:v>
                </c:pt>
                <c:pt idx="1">
                  <c:v>IT</c:v>
                </c:pt>
                <c:pt idx="2">
                  <c:v>Logistics</c:v>
                </c:pt>
                <c:pt idx="3">
                  <c:v>Materials</c:v>
                </c:pt>
                <c:pt idx="4">
                  <c:v>Services</c:v>
                </c:pt>
                <c:pt idx="5">
                  <c:v>Utilities</c:v>
                </c:pt>
              </c:strCache>
            </c:strRef>
          </c:cat>
          <c:val>
            <c:numRef>
              <c:f>Dashboard!$C$10:$C$16</c:f>
              <c:numCache>
                <c:formatCode>"$"#.##0</c:formatCode>
                <c:ptCount val="6"/>
                <c:pt idx="0">
                  <c:v>401468.76</c:v>
                </c:pt>
                <c:pt idx="1">
                  <c:v>1385889.6199999999</c:v>
                </c:pt>
                <c:pt idx="2">
                  <c:v>332541.3899999999</c:v>
                </c:pt>
                <c:pt idx="3">
                  <c:v>946114.93999999971</c:v>
                </c:pt>
                <c:pt idx="4">
                  <c:v>569906.69000000006</c:v>
                </c:pt>
                <c:pt idx="5">
                  <c:v>140039.5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A1-4C8D-8D72-67F59A53A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0934719"/>
        <c:axId val="830935135"/>
      </c:barChart>
      <c:catAx>
        <c:axId val="8309347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30935135"/>
        <c:crosses val="autoZero"/>
        <c:auto val="1"/>
        <c:lblAlgn val="ctr"/>
        <c:lblOffset val="100"/>
        <c:noMultiLvlLbl val="0"/>
      </c:catAx>
      <c:valAx>
        <c:axId val="830935135"/>
        <c:scaling>
          <c:orientation val="minMax"/>
        </c:scaling>
        <c:delete val="0"/>
        <c:axPos val="b"/>
        <c:majorGridlines/>
        <c:numFmt formatCode="&quot;$&quot;#.##0" sourceLinked="1"/>
        <c:majorTickMark val="out"/>
        <c:minorTickMark val="none"/>
        <c:tickLblPos val="nextTo"/>
        <c:crossAx val="83093471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[payables_efficiency_dashboard.xlsx]Dashboard!PT_Status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Dashboard!$G$10:$G$14</c:f>
              <c:strCache>
                <c:ptCount val="4"/>
                <c:pt idx="0">
                  <c:v>Overdue</c:v>
                </c:pt>
                <c:pt idx="1">
                  <c:v>Paid</c:v>
                </c:pt>
                <c:pt idx="2">
                  <c:v>Partial</c:v>
                </c:pt>
                <c:pt idx="3">
                  <c:v>Pending</c:v>
                </c:pt>
              </c:strCache>
            </c:strRef>
          </c:cat>
          <c:val>
            <c:numRef>
              <c:f>Dashboard!$H$10:$H$14</c:f>
              <c:numCache>
                <c:formatCode>General</c:formatCode>
                <c:ptCount val="4"/>
                <c:pt idx="0">
                  <c:v>1612775.3599999999</c:v>
                </c:pt>
                <c:pt idx="1">
                  <c:v>12141903.150000012</c:v>
                </c:pt>
                <c:pt idx="2">
                  <c:v>1566003.0700000008</c:v>
                </c:pt>
                <c:pt idx="3">
                  <c:v>1413157.8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2-40ED-89C8-3826EC27A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7601727"/>
        <c:axId val="627586751"/>
      </c:barChart>
      <c:catAx>
        <c:axId val="627601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7586751"/>
        <c:crosses val="autoZero"/>
        <c:auto val="1"/>
        <c:lblAlgn val="ctr"/>
        <c:lblOffset val="100"/>
        <c:noMultiLvlLbl val="0"/>
      </c:catAx>
      <c:valAx>
        <c:axId val="62758675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760172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[payables_efficiency_dashboard.xlsx]Dashboard!PT_OnTime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Dashboard!$M$9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Dashboard!$L$10:$L$13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(en blanco)</c:v>
                </c:pt>
              </c:strCache>
            </c:strRef>
          </c:cat>
          <c:val>
            <c:numRef>
              <c:f>Dashboard!$M$10:$M$13</c:f>
              <c:numCache>
                <c:formatCode>General</c:formatCode>
                <c:ptCount val="3"/>
                <c:pt idx="0">
                  <c:v>8340747.4800000004</c:v>
                </c:pt>
                <c:pt idx="1">
                  <c:v>6979934.099999995</c:v>
                </c:pt>
                <c:pt idx="2">
                  <c:v>1413157.8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8-4843-95DF-C4519F08A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333ED2-19AB-476D-A6D8-8708ECB38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11</xdr:col>
      <xdr:colOff>0</xdr:colOff>
      <xdr:row>46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6107CA-6E18-4A4C-A992-46D52BD16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27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94C425-8526-41FB-A213-A47F8602A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657225</xdr:colOff>
      <xdr:row>60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ySlicer">
              <a:extLst>
                <a:ext uri="{FF2B5EF4-FFF2-40B4-BE49-F238E27FC236}">
                  <a16:creationId xmlns:a16="http://schemas.microsoft.com/office/drawing/2014/main" id="{8A01FE02-3F6E-4B88-86FC-91AF852C0F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" y="8953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1066800</xdr:colOff>
      <xdr:row>60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tatusSlicer">
              <a:extLst>
                <a:ext uri="{FF2B5EF4-FFF2-40B4-BE49-F238E27FC236}">
                  <a16:creationId xmlns:a16="http://schemas.microsoft.com/office/drawing/2014/main" id="{9B8AD2DA-410C-4A5F-8FC7-DC7EC7F2B8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4950" y="8953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0</xdr:colOff>
      <xdr:row>47</xdr:row>
      <xdr:rowOff>0</xdr:rowOff>
    </xdr:from>
    <xdr:to>
      <xdr:col>11</xdr:col>
      <xdr:colOff>304800</xdr:colOff>
      <xdr:row>60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Slicer">
              <a:extLst>
                <a:ext uri="{FF2B5EF4-FFF2-40B4-BE49-F238E27FC236}">
                  <a16:creationId xmlns:a16="http://schemas.microsoft.com/office/drawing/2014/main" id="{92FC2B2B-6851-4DAC-98CB-0DDDCCA250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82150" y="8953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0.981227430559" createdVersion="3" refreshedVersion="7" minRefreshableVersion="3" recordCount="750" xr:uid="{A3DCAA47-3FE2-4C63-A685-D3674427863A}">
  <cacheSource type="worksheet">
    <worksheetSource name="PayablesData"/>
  </cacheSource>
  <cacheFields count="22">
    <cacheField name="invoice_id" numFmtId="0">
      <sharedItems/>
    </cacheField>
    <cacheField name="vendor_id" numFmtId="0">
      <sharedItems/>
    </cacheField>
    <cacheField name="vendor_name" numFmtId="0">
      <sharedItems/>
    </cacheField>
    <cacheField name="vendor_category" numFmtId="0">
      <sharedItems count="6">
        <s v="Logistics"/>
        <s v="IT"/>
        <s v="Materials"/>
        <s v="Utilities"/>
        <s v="Services"/>
        <s v="Facilities"/>
      </sharedItems>
    </cacheField>
    <cacheField name="region" numFmtId="0">
      <sharedItems count="5">
        <s v="North"/>
        <s v="South"/>
        <s v="West"/>
        <s v="Central"/>
        <s v="East"/>
      </sharedItems>
    </cacheField>
    <cacheField name="approver" numFmtId="0">
      <sharedItems/>
    </cacheField>
    <cacheField name="invoice_date" numFmtId="14">
      <sharedItems containsSemiMixedTypes="0" containsNonDate="0" containsDate="1" containsString="0" minDate="2025-01-01T00:00:00" maxDate="2026-05-31T00:00:00"/>
    </cacheField>
    <cacheField name="due_date" numFmtId="14">
      <sharedItems containsSemiMixedTypes="0" containsNonDate="0" containsDate="1" containsString="0" minDate="2025-01-16T00:00:00" maxDate="2026-08-27T00:00:00"/>
    </cacheField>
    <cacheField name="payment_terms" numFmtId="0">
      <sharedItems containsSemiMixedTypes="0" containsString="0" containsNumber="1" containsInteger="1" minValue="15" maxValue="90"/>
    </cacheField>
    <cacheField name="invoice_amount" numFmtId="0">
      <sharedItems containsSemiMixedTypes="0" containsString="0" containsNumber="1" minValue="671.39" maxValue="79597.08"/>
    </cacheField>
    <cacheField name="paid_amount" numFmtId="0">
      <sharedItems containsSemiMixedTypes="0" containsString="0" containsNumber="1" minValue="0" maxValue="79597.08"/>
    </cacheField>
    <cacheField name="outstanding_balance" numFmtId="0">
      <sharedItems containsSemiMixedTypes="0" containsString="0" containsNumber="1" minValue="0" maxValue="78561.440000000002"/>
    </cacheField>
    <cacheField name="payment_date" numFmtId="0">
      <sharedItems containsNonDate="0" containsDate="1" containsString="0" containsBlank="1" minDate="2025-01-19T00:00:00" maxDate="2026-06-01T00:00:00"/>
    </cacheField>
    <cacheField name="payment_status" numFmtId="0">
      <sharedItems/>
    </cacheField>
    <cacheField name="payment_method" numFmtId="0">
      <sharedItems/>
    </cacheField>
    <cacheField name="days_to_pay" numFmtId="0">
      <sharedItems containsString="0" containsBlank="1" containsNumber="1" containsInteger="1" minValue="1" maxValue="108"/>
    </cacheField>
    <cacheField name="days_early_late" numFmtId="0">
      <sharedItems containsString="0" containsBlank="1" containsNumber="1" containsInteger="1" minValue="-497" maxValue="87"/>
    </cacheField>
    <cacheField name="is_on_time" numFmtId="0">
      <sharedItems containsBlank="1"/>
    </cacheField>
    <cacheField name="has_discount_terms" numFmtId="0">
      <sharedItems/>
    </cacheField>
    <cacheField name="discount_rate" numFmtId="0">
      <sharedItems containsSemiMixedTypes="0" containsString="0" containsNumber="1" minValue="0" maxValue="0.02"/>
    </cacheField>
    <cacheField name="discount_captured" numFmtId="0">
      <sharedItems/>
    </cacheField>
    <cacheField name="discount_amount" numFmtId="0">
      <sharedItems containsSemiMixedTypes="0" containsString="0" containsNumber="1" minValue="0" maxValue="1431.97"/>
    </cacheField>
  </cacheFields>
  <extLst>
    <ext xmlns:x14="http://schemas.microsoft.com/office/spreadsheetml/2009/9/main" uri="{725AE2AE-9491-48be-B2B4-4EB974FC3084}">
      <x14:pivotCacheDefinition pivotCacheId="185564143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0.981268981479" createdVersion="3" refreshedVersion="7" minRefreshableVersion="3" recordCount="750" xr:uid="{B2ED6EB7-EA1B-48F3-A043-D7D4B1D97098}">
  <cacheSource type="worksheet">
    <worksheetSource name="PayablesData"/>
  </cacheSource>
  <cacheFields count="22">
    <cacheField name="invoice_id" numFmtId="0">
      <sharedItems/>
    </cacheField>
    <cacheField name="vendor_id" numFmtId="0">
      <sharedItems/>
    </cacheField>
    <cacheField name="vendor_name" numFmtId="0">
      <sharedItems/>
    </cacheField>
    <cacheField name="vendor_category" numFmtId="0">
      <sharedItems/>
    </cacheField>
    <cacheField name="region" numFmtId="0">
      <sharedItems/>
    </cacheField>
    <cacheField name="approver" numFmtId="0">
      <sharedItems/>
    </cacheField>
    <cacheField name="invoice_date" numFmtId="14">
      <sharedItems containsSemiMixedTypes="0" containsNonDate="0" containsDate="1" containsString="0" minDate="2025-01-01T00:00:00" maxDate="2026-05-31T00:00:00"/>
    </cacheField>
    <cacheField name="due_date" numFmtId="14">
      <sharedItems containsSemiMixedTypes="0" containsNonDate="0" containsDate="1" containsString="0" minDate="2025-01-16T00:00:00" maxDate="2026-08-27T00:00:00"/>
    </cacheField>
    <cacheField name="payment_terms" numFmtId="0">
      <sharedItems containsSemiMixedTypes="0" containsString="0" containsNumber="1" containsInteger="1" minValue="15" maxValue="90"/>
    </cacheField>
    <cacheField name="invoice_amount" numFmtId="0">
      <sharedItems containsSemiMixedTypes="0" containsString="0" containsNumber="1" minValue="671.39" maxValue="79597.08"/>
    </cacheField>
    <cacheField name="paid_amount" numFmtId="0">
      <sharedItems containsSemiMixedTypes="0" containsString="0" containsNumber="1" minValue="0" maxValue="79597.08"/>
    </cacheField>
    <cacheField name="outstanding_balance" numFmtId="0">
      <sharedItems containsSemiMixedTypes="0" containsString="0" containsNumber="1" minValue="0" maxValue="78561.440000000002"/>
    </cacheField>
    <cacheField name="payment_date" numFmtId="0">
      <sharedItems containsNonDate="0" containsDate="1" containsString="0" containsBlank="1" minDate="2025-01-19T00:00:00" maxDate="2026-06-01T00:00:00"/>
    </cacheField>
    <cacheField name="payment_status" numFmtId="0">
      <sharedItems count="4">
        <s v="Paid"/>
        <s v="Overdue"/>
        <s v="Pending"/>
        <s v="Partial"/>
      </sharedItems>
    </cacheField>
    <cacheField name="payment_method" numFmtId="0">
      <sharedItems/>
    </cacheField>
    <cacheField name="days_to_pay" numFmtId="0">
      <sharedItems containsString="0" containsBlank="1" containsNumber="1" containsInteger="1" minValue="1" maxValue="108"/>
    </cacheField>
    <cacheField name="days_early_late" numFmtId="0">
      <sharedItems containsString="0" containsBlank="1" containsNumber="1" containsInteger="1" minValue="-497" maxValue="87"/>
    </cacheField>
    <cacheField name="is_on_time" numFmtId="0">
      <sharedItems containsBlank="1"/>
    </cacheField>
    <cacheField name="has_discount_terms" numFmtId="0">
      <sharedItems/>
    </cacheField>
    <cacheField name="discount_rate" numFmtId="0">
      <sharedItems containsSemiMixedTypes="0" containsString="0" containsNumber="1" minValue="0" maxValue="0.02"/>
    </cacheField>
    <cacheField name="discount_captured" numFmtId="0">
      <sharedItems/>
    </cacheField>
    <cacheField name="discount_amount" numFmtId="0">
      <sharedItems containsSemiMixedTypes="0" containsString="0" containsNumber="1" minValue="0" maxValue="1431.97"/>
    </cacheField>
  </cacheFields>
  <extLst>
    <ext xmlns:x14="http://schemas.microsoft.com/office/spreadsheetml/2009/9/main" uri="{725AE2AE-9491-48be-B2B4-4EB974FC3084}">
      <x14:pivotCacheDefinition pivotCacheId="16315999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0.981310069445" createdVersion="3" refreshedVersion="7" minRefreshableVersion="3" recordCount="750" xr:uid="{04802A1B-DF92-48CF-B749-0597BC35AA94}">
  <cacheSource type="worksheet">
    <worksheetSource name="PayablesData"/>
  </cacheSource>
  <cacheFields count="22">
    <cacheField name="invoice_id" numFmtId="0">
      <sharedItems/>
    </cacheField>
    <cacheField name="vendor_id" numFmtId="0">
      <sharedItems/>
    </cacheField>
    <cacheField name="vendor_name" numFmtId="0">
      <sharedItems/>
    </cacheField>
    <cacheField name="vendor_category" numFmtId="0">
      <sharedItems/>
    </cacheField>
    <cacheField name="region" numFmtId="0">
      <sharedItems/>
    </cacheField>
    <cacheField name="approver" numFmtId="0">
      <sharedItems/>
    </cacheField>
    <cacheField name="invoice_date" numFmtId="14">
      <sharedItems containsSemiMixedTypes="0" containsNonDate="0" containsDate="1" containsString="0" minDate="2025-01-01T00:00:00" maxDate="2026-05-31T00:00:00"/>
    </cacheField>
    <cacheField name="due_date" numFmtId="14">
      <sharedItems containsSemiMixedTypes="0" containsNonDate="0" containsDate="1" containsString="0" minDate="2025-01-16T00:00:00" maxDate="2026-08-27T00:00:00"/>
    </cacheField>
    <cacheField name="payment_terms" numFmtId="0">
      <sharedItems containsSemiMixedTypes="0" containsString="0" containsNumber="1" containsInteger="1" minValue="15" maxValue="90"/>
    </cacheField>
    <cacheField name="invoice_amount" numFmtId="0">
      <sharedItems containsSemiMixedTypes="0" containsString="0" containsNumber="1" minValue="671.39" maxValue="79597.08"/>
    </cacheField>
    <cacheField name="paid_amount" numFmtId="0">
      <sharedItems containsSemiMixedTypes="0" containsString="0" containsNumber="1" minValue="0" maxValue="79597.08"/>
    </cacheField>
    <cacheField name="outstanding_balance" numFmtId="0">
      <sharedItems containsSemiMixedTypes="0" containsString="0" containsNumber="1" minValue="0" maxValue="78561.440000000002"/>
    </cacheField>
    <cacheField name="payment_date" numFmtId="0">
      <sharedItems containsNonDate="0" containsDate="1" containsString="0" containsBlank="1" minDate="2025-01-19T00:00:00" maxDate="2026-06-01T00:00:00"/>
    </cacheField>
    <cacheField name="payment_status" numFmtId="0">
      <sharedItems/>
    </cacheField>
    <cacheField name="payment_method" numFmtId="0">
      <sharedItems/>
    </cacheField>
    <cacheField name="days_to_pay" numFmtId="0">
      <sharedItems containsString="0" containsBlank="1" containsNumber="1" containsInteger="1" minValue="1" maxValue="108"/>
    </cacheField>
    <cacheField name="days_early_late" numFmtId="0">
      <sharedItems containsString="0" containsBlank="1" containsNumber="1" containsInteger="1" minValue="-497" maxValue="87"/>
    </cacheField>
    <cacheField name="is_on_time" numFmtId="0">
      <sharedItems containsBlank="1" count="3">
        <s v="Yes"/>
        <s v="No"/>
        <m/>
      </sharedItems>
    </cacheField>
    <cacheField name="has_discount_terms" numFmtId="0">
      <sharedItems/>
    </cacheField>
    <cacheField name="discount_rate" numFmtId="0">
      <sharedItems containsSemiMixedTypes="0" containsString="0" containsNumber="1" minValue="0" maxValue="0.02"/>
    </cacheField>
    <cacheField name="discount_captured" numFmtId="0">
      <sharedItems/>
    </cacheField>
    <cacheField name="discount_amount" numFmtId="0">
      <sharedItems containsSemiMixedTypes="0" containsString="0" containsNumber="1" minValue="0" maxValue="1431.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s v="AP-0001"/>
    <s v="VND-021"/>
    <s v="PrimePack Logistics"/>
    <x v="0"/>
    <x v="0"/>
    <s v="Sofia Reyes"/>
    <d v="2025-08-17T00:00:00"/>
    <d v="2025-09-16T00:00:00"/>
    <n v="30"/>
    <n v="3651.22"/>
    <n v="3651.22"/>
    <n v="0"/>
    <d v="2025-09-06T00:00:00"/>
    <s v="Paid"/>
    <s v="Check"/>
    <n v="20"/>
    <n v="10"/>
    <s v="Yes"/>
    <s v="Yes"/>
    <n v="0.01"/>
    <s v="No"/>
    <n v="0"/>
  </r>
  <r>
    <s v="AP-0002"/>
    <s v="VND-002"/>
    <s v="TechCore Solutions"/>
    <x v="1"/>
    <x v="0"/>
    <s v="Sofia Reyes"/>
    <d v="2025-01-28T00:00:00"/>
    <d v="2025-02-27T00:00:00"/>
    <n v="30"/>
    <n v="47093.38"/>
    <n v="47093.38"/>
    <n v="0"/>
    <d v="2025-02-24T00:00:00"/>
    <s v="Paid"/>
    <s v="Wire"/>
    <n v="27"/>
    <n v="3"/>
    <s v="Yes"/>
    <s v="No"/>
    <n v="0"/>
    <s v="No"/>
    <n v="0"/>
  </r>
  <r>
    <s v="AP-0003"/>
    <s v="VND-014"/>
    <s v="NetConnect Systems"/>
    <x v="1"/>
    <x v="1"/>
    <s v="Pedro Alvarez"/>
    <d v="2025-06-13T00:00:00"/>
    <d v="2025-06-28T00:00:00"/>
    <n v="15"/>
    <n v="57360.45"/>
    <n v="57360.45"/>
    <n v="0"/>
    <d v="2025-07-04T00:00:00"/>
    <s v="Paid"/>
    <s v="Check"/>
    <n v="21"/>
    <n v="-6"/>
    <s v="No"/>
    <s v="Yes"/>
    <n v="0.02"/>
    <s v="No"/>
    <n v="0"/>
  </r>
  <r>
    <s v="AP-0004"/>
    <s v="VND-003"/>
    <s v="FastShip Logistics"/>
    <x v="0"/>
    <x v="2"/>
    <s v="Sofia Reyes"/>
    <d v="2025-09-28T00:00:00"/>
    <d v="2025-11-27T00:00:00"/>
    <n v="60"/>
    <n v="16335.44"/>
    <n v="16335.44"/>
    <n v="0"/>
    <d v="2025-11-26T00:00:00"/>
    <s v="Paid"/>
    <s v="Check"/>
    <n v="59"/>
    <n v="1"/>
    <s v="Yes"/>
    <s v="No"/>
    <n v="0"/>
    <s v="No"/>
    <n v="0"/>
  </r>
  <r>
    <s v="AP-0005"/>
    <s v="VND-013"/>
    <s v="SafetyFirst Supplies"/>
    <x v="2"/>
    <x v="0"/>
    <s v="Ana Torres"/>
    <d v="2025-07-16T00:00:00"/>
    <d v="2025-09-14T00:00:00"/>
    <n v="60"/>
    <n v="35819.449999999997"/>
    <n v="35819.449999999997"/>
    <n v="0"/>
    <d v="2025-09-14T00:00:00"/>
    <s v="Paid"/>
    <s v="Check"/>
    <n v="60"/>
    <n v="0"/>
    <s v="Yes"/>
    <s v="Yes"/>
    <n v="0.01"/>
    <s v="No"/>
    <n v="0"/>
  </r>
  <r>
    <s v="AP-0006"/>
    <s v="VND-008"/>
    <s v="GreenEnergy Corp."/>
    <x v="3"/>
    <x v="0"/>
    <s v="Pedro Alvarez"/>
    <d v="2026-01-09T00:00:00"/>
    <d v="2026-04-09T00:00:00"/>
    <n v="90"/>
    <n v="2858.48"/>
    <n v="2858.48"/>
    <n v="0"/>
    <d v="2026-04-12T00:00:00"/>
    <s v="Paid"/>
    <s v="Check"/>
    <n v="93"/>
    <n v="-3"/>
    <s v="No"/>
    <s v="Yes"/>
    <n v="5.0000000000000001E-3"/>
    <s v="No"/>
    <n v="0"/>
  </r>
  <r>
    <s v="AP-0007"/>
    <s v="VND-022"/>
    <s v="Apex Consulting"/>
    <x v="4"/>
    <x v="0"/>
    <s v="Ana Torres"/>
    <d v="2025-06-17T00:00:00"/>
    <d v="2025-07-17T00:00:00"/>
    <n v="30"/>
    <n v="20103.63"/>
    <n v="0"/>
    <n v="20103.63"/>
    <m/>
    <s v="Overdue"/>
    <s v="Wire"/>
    <m/>
    <n v="-318"/>
    <s v="No"/>
    <s v="Yes"/>
    <n v="0.01"/>
    <s v="No"/>
    <n v="0"/>
  </r>
  <r>
    <s v="AP-0008"/>
    <s v="VND-023"/>
    <s v="CoolTech Systems"/>
    <x v="1"/>
    <x v="3"/>
    <s v="Marco Diaz"/>
    <d v="2025-08-23T00:00:00"/>
    <d v="2025-09-07T00:00:00"/>
    <n v="15"/>
    <n v="66635.19"/>
    <n v="66635.19"/>
    <n v="0"/>
    <d v="2025-09-23T00:00:00"/>
    <s v="Paid"/>
    <s v="Check"/>
    <n v="31"/>
    <n v="-16"/>
    <s v="No"/>
    <s v="No"/>
    <n v="0"/>
    <s v="No"/>
    <n v="0"/>
  </r>
  <r>
    <s v="AP-0009"/>
    <s v="VND-019"/>
    <s v="SkyNet IT Solutions"/>
    <x v="1"/>
    <x v="4"/>
    <s v="Marco Diaz"/>
    <d v="2026-04-15T00:00:00"/>
    <d v="2026-06-14T00:00:00"/>
    <n v="60"/>
    <n v="15715.37"/>
    <n v="15715.37"/>
    <n v="0"/>
    <d v="2026-05-31T00:00:00"/>
    <s v="Paid"/>
    <s v="Credit Card"/>
    <n v="46"/>
    <n v="14"/>
    <s v="Yes"/>
    <s v="Yes"/>
    <n v="0.01"/>
    <s v="No"/>
    <n v="0"/>
  </r>
  <r>
    <s v="AP-0010"/>
    <s v="VND-024"/>
    <s v="EliteFacilities Corp."/>
    <x v="5"/>
    <x v="3"/>
    <s v="Pedro Alvarez"/>
    <d v="2025-08-13T00:00:00"/>
    <d v="2025-10-12T00:00:00"/>
    <n v="60"/>
    <n v="34911.75"/>
    <n v="34911.75"/>
    <n v="0"/>
    <d v="2025-10-12T00:00:00"/>
    <s v="Paid"/>
    <s v="Credit Card"/>
    <n v="60"/>
    <n v="0"/>
    <s v="Yes"/>
    <s v="Yes"/>
    <n v="0.01"/>
    <s v="No"/>
    <n v="0"/>
  </r>
  <r>
    <s v="AP-0011"/>
    <s v="VND-005"/>
    <s v="CloudSys Inc."/>
    <x v="1"/>
    <x v="1"/>
    <s v="Pedro Alvarez"/>
    <d v="2026-01-26T00:00:00"/>
    <d v="2026-03-27T00:00:00"/>
    <n v="60"/>
    <n v="49691.63"/>
    <n v="49691.63"/>
    <n v="0"/>
    <d v="2026-03-12T00:00:00"/>
    <s v="Paid"/>
    <s v="ACH"/>
    <n v="45"/>
    <n v="15"/>
    <s v="Yes"/>
    <s v="Yes"/>
    <n v="0.01"/>
    <s v="No"/>
    <n v="0"/>
  </r>
  <r>
    <s v="AP-0012"/>
    <s v="VND-018"/>
    <s v="BuildFast Materials"/>
    <x v="2"/>
    <x v="0"/>
    <s v="Sofia Reyes"/>
    <d v="2025-04-25T00:00:00"/>
    <d v="2025-06-24T00:00:00"/>
    <n v="60"/>
    <n v="16088.01"/>
    <n v="16088.01"/>
    <n v="0"/>
    <d v="2025-06-22T00:00:00"/>
    <s v="Paid"/>
    <s v="Check"/>
    <n v="58"/>
    <n v="2"/>
    <s v="Yes"/>
    <s v="Yes"/>
    <n v="0.01"/>
    <s v="No"/>
    <n v="0"/>
  </r>
  <r>
    <s v="AP-0013"/>
    <s v="VND-017"/>
    <s v="OfficePro Services"/>
    <x v="4"/>
    <x v="1"/>
    <s v="Ana Torres"/>
    <d v="2025-07-23T00:00:00"/>
    <d v="2025-09-06T00:00:00"/>
    <n v="45"/>
    <n v="8655.0499999999993"/>
    <n v="8655.0499999999993"/>
    <n v="0"/>
    <d v="2025-08-25T00:00:00"/>
    <s v="Paid"/>
    <s v="ACH"/>
    <n v="33"/>
    <n v="12"/>
    <s v="Yes"/>
    <s v="No"/>
    <n v="0"/>
    <s v="No"/>
    <n v="0"/>
  </r>
  <r>
    <s v="AP-0014"/>
    <s v="VND-025"/>
    <s v="RapidShip Co."/>
    <x v="0"/>
    <x v="3"/>
    <s v="Sofia Reyes"/>
    <d v="2025-01-20T00:00:00"/>
    <d v="2025-04-20T00:00:00"/>
    <n v="90"/>
    <n v="3125.49"/>
    <n v="0"/>
    <n v="3125.49"/>
    <m/>
    <s v="Overdue"/>
    <s v="Check"/>
    <m/>
    <n v="-406"/>
    <s v="No"/>
    <s v="Yes"/>
    <n v="5.0000000000000001E-3"/>
    <s v="No"/>
    <n v="0"/>
  </r>
  <r>
    <s v="AP-0015"/>
    <s v="VND-010"/>
    <s v="DataBridge IT"/>
    <x v="1"/>
    <x v="1"/>
    <s v="Sofia Reyes"/>
    <d v="2025-03-29T00:00:00"/>
    <d v="2025-04-28T00:00:00"/>
    <n v="30"/>
    <n v="59893.07"/>
    <n v="0"/>
    <n v="59893.07"/>
    <m/>
    <s v="Overdue"/>
    <s v="Wire"/>
    <m/>
    <n v="-398"/>
    <s v="No"/>
    <s v="No"/>
    <n v="0"/>
    <s v="No"/>
    <n v="0"/>
  </r>
  <r>
    <s v="AP-0016"/>
    <s v="VND-018"/>
    <s v="BuildFast Materials"/>
    <x v="2"/>
    <x v="1"/>
    <s v="Marco Diaz"/>
    <d v="2025-09-29T00:00:00"/>
    <d v="2025-10-29T00:00:00"/>
    <n v="30"/>
    <n v="27328.34"/>
    <n v="0"/>
    <n v="27328.34"/>
    <m/>
    <s v="Overdue"/>
    <s v="Credit Card"/>
    <m/>
    <n v="-214"/>
    <s v="No"/>
    <s v="Yes"/>
    <n v="0.01"/>
    <s v="No"/>
    <n v="0"/>
  </r>
  <r>
    <s v="AP-0017"/>
    <s v="VND-018"/>
    <s v="BuildFast Materials"/>
    <x v="2"/>
    <x v="1"/>
    <s v="Laura Chen"/>
    <d v="2026-03-25T00:00:00"/>
    <d v="2026-05-24T00:00:00"/>
    <n v="60"/>
    <n v="45181.48"/>
    <n v="0"/>
    <n v="45181.48"/>
    <m/>
    <s v="Pending"/>
    <s v="Credit Card"/>
    <m/>
    <m/>
    <m/>
    <s v="Yes"/>
    <n v="0.01"/>
    <s v="No"/>
    <n v="0"/>
  </r>
  <r>
    <s v="AP-0018"/>
    <s v="VND-001"/>
    <s v="Acme Supplies Co."/>
    <x v="2"/>
    <x v="3"/>
    <s v="Ana Torres"/>
    <d v="2025-01-08T00:00:00"/>
    <d v="2025-02-07T00:00:00"/>
    <n v="30"/>
    <n v="5407.67"/>
    <n v="5407.67"/>
    <n v="0"/>
    <d v="2025-02-20T00:00:00"/>
    <s v="Paid"/>
    <s v="Wire"/>
    <n v="43"/>
    <n v="-13"/>
    <s v="No"/>
    <s v="Yes"/>
    <n v="0.01"/>
    <s v="No"/>
    <n v="0"/>
  </r>
  <r>
    <s v="AP-0019"/>
    <s v="VND-003"/>
    <s v="FastShip Logistics"/>
    <x v="0"/>
    <x v="3"/>
    <s v="Marco Diaz"/>
    <d v="2025-08-08T00:00:00"/>
    <d v="2025-11-06T00:00:00"/>
    <n v="90"/>
    <n v="11245.44"/>
    <n v="6613.51"/>
    <n v="4631.93"/>
    <d v="2025-11-08T00:00:00"/>
    <s v="Partial"/>
    <s v="Check"/>
    <n v="92"/>
    <n v="-2"/>
    <s v="No"/>
    <s v="No"/>
    <n v="0"/>
    <s v="No"/>
    <n v="0"/>
  </r>
  <r>
    <s v="AP-0020"/>
    <s v="VND-016"/>
    <s v="CleanWater Utilities"/>
    <x v="3"/>
    <x v="2"/>
    <s v="Marco Diaz"/>
    <d v="2026-03-18T00:00:00"/>
    <d v="2026-04-17T00:00:00"/>
    <n v="30"/>
    <n v="5637.31"/>
    <n v="0"/>
    <n v="5637.31"/>
    <m/>
    <s v="Pending"/>
    <s v="ACH"/>
    <m/>
    <m/>
    <m/>
    <s v="Yes"/>
    <n v="0.01"/>
    <s v="No"/>
    <n v="0"/>
  </r>
  <r>
    <s v="AP-0021"/>
    <s v="VND-021"/>
    <s v="PrimePack Logistics"/>
    <x v="0"/>
    <x v="0"/>
    <s v="Sofia Reyes"/>
    <d v="2025-04-22T00:00:00"/>
    <d v="2025-06-21T00:00:00"/>
    <n v="60"/>
    <n v="5724.47"/>
    <n v="5724.47"/>
    <n v="0"/>
    <d v="2025-06-13T00:00:00"/>
    <s v="Paid"/>
    <s v="Credit Card"/>
    <n v="52"/>
    <n v="8"/>
    <s v="Yes"/>
    <s v="Yes"/>
    <n v="0.01"/>
    <s v="No"/>
    <n v="0"/>
  </r>
  <r>
    <s v="AP-0022"/>
    <s v="VND-014"/>
    <s v="NetConnect Systems"/>
    <x v="1"/>
    <x v="1"/>
    <s v="Laura Chen"/>
    <d v="2025-03-19T00:00:00"/>
    <d v="2025-04-18T00:00:00"/>
    <n v="30"/>
    <n v="38234.81"/>
    <n v="38234.81"/>
    <n v="0"/>
    <d v="2025-05-16T00:00:00"/>
    <s v="Paid"/>
    <s v="Credit Card"/>
    <n v="58"/>
    <n v="-28"/>
    <s v="No"/>
    <s v="No"/>
    <n v="0"/>
    <s v="No"/>
    <n v="0"/>
  </r>
  <r>
    <s v="AP-0023"/>
    <s v="VND-001"/>
    <s v="Acme Supplies Co."/>
    <x v="2"/>
    <x v="0"/>
    <s v="Marco Diaz"/>
    <d v="2026-05-13T00:00:00"/>
    <d v="2026-07-12T00:00:00"/>
    <n v="60"/>
    <n v="25105.200000000001"/>
    <n v="0"/>
    <n v="25105.200000000001"/>
    <m/>
    <s v="Pending"/>
    <s v="Wire"/>
    <m/>
    <m/>
    <m/>
    <s v="No"/>
    <n v="0"/>
    <s v="No"/>
    <n v="0"/>
  </r>
  <r>
    <s v="AP-0024"/>
    <s v="VND-001"/>
    <s v="Acme Supplies Co."/>
    <x v="2"/>
    <x v="2"/>
    <s v="Laura Chen"/>
    <d v="2026-03-10T00:00:00"/>
    <d v="2026-04-24T00:00:00"/>
    <n v="45"/>
    <n v="35436.39"/>
    <n v="19253.86"/>
    <n v="16182.53"/>
    <d v="2026-04-25T00:00:00"/>
    <s v="Partial"/>
    <s v="Credit Card"/>
    <n v="46"/>
    <n v="-1"/>
    <s v="No"/>
    <s v="No"/>
    <n v="0"/>
    <s v="No"/>
    <n v="0"/>
  </r>
  <r>
    <s v="AP-0025"/>
    <s v="VND-010"/>
    <s v="DataBridge IT"/>
    <x v="1"/>
    <x v="1"/>
    <s v="Sofia Reyes"/>
    <d v="2025-02-28T00:00:00"/>
    <d v="2025-04-29T00:00:00"/>
    <n v="60"/>
    <n v="8760.68"/>
    <n v="0"/>
    <n v="8760.68"/>
    <m/>
    <s v="Overdue"/>
    <s v="ACH"/>
    <m/>
    <n v="-397"/>
    <s v="No"/>
    <s v="Yes"/>
    <n v="0.01"/>
    <s v="No"/>
    <n v="0"/>
  </r>
  <r>
    <s v="AP-0026"/>
    <s v="VND-017"/>
    <s v="OfficePro Services"/>
    <x v="4"/>
    <x v="1"/>
    <s v="Sofia Reyes"/>
    <d v="2025-03-12T00:00:00"/>
    <d v="2025-04-11T00:00:00"/>
    <n v="30"/>
    <n v="25016.3"/>
    <n v="25016.3"/>
    <n v="0"/>
    <d v="2025-04-20T00:00:00"/>
    <s v="Paid"/>
    <s v="ACH"/>
    <n v="39"/>
    <n v="-9"/>
    <s v="No"/>
    <s v="Yes"/>
    <n v="0.01"/>
    <s v="No"/>
    <n v="0"/>
  </r>
  <r>
    <s v="AP-0027"/>
    <s v="VND-004"/>
    <s v="BuildRight Materials"/>
    <x v="2"/>
    <x v="3"/>
    <s v="Marco Diaz"/>
    <d v="2026-03-06T00:00:00"/>
    <d v="2026-04-05T00:00:00"/>
    <n v="30"/>
    <n v="33553.910000000003"/>
    <n v="0"/>
    <n v="33553.910000000003"/>
    <m/>
    <s v="Pending"/>
    <s v="ACH"/>
    <m/>
    <m/>
    <m/>
    <s v="Yes"/>
    <n v="0.01"/>
    <s v="No"/>
    <n v="0"/>
  </r>
  <r>
    <s v="AP-0028"/>
    <s v="VND-022"/>
    <s v="Apex Consulting"/>
    <x v="4"/>
    <x v="4"/>
    <s v="Marco Diaz"/>
    <d v="2025-05-15T00:00:00"/>
    <d v="2025-07-14T00:00:00"/>
    <n v="60"/>
    <n v="27852.54"/>
    <n v="27852.54"/>
    <n v="0"/>
    <d v="2025-07-14T00:00:00"/>
    <s v="Paid"/>
    <s v="Check"/>
    <n v="60"/>
    <n v="0"/>
    <s v="Yes"/>
    <s v="Yes"/>
    <n v="0.01"/>
    <s v="No"/>
    <n v="0"/>
  </r>
  <r>
    <s v="AP-0029"/>
    <s v="VND-015"/>
    <s v="ExpressRoute Logistics"/>
    <x v="0"/>
    <x v="3"/>
    <s v="Ana Torres"/>
    <d v="2025-08-07T00:00:00"/>
    <d v="2025-09-06T00:00:00"/>
    <n v="30"/>
    <n v="10611.81"/>
    <n v="10611.81"/>
    <n v="0"/>
    <d v="2025-09-03T00:00:00"/>
    <s v="Paid"/>
    <s v="ACH"/>
    <n v="27"/>
    <n v="3"/>
    <s v="Yes"/>
    <s v="Yes"/>
    <n v="0.01"/>
    <s v="No"/>
    <n v="0"/>
  </r>
  <r>
    <s v="AP-0030"/>
    <s v="VND-003"/>
    <s v="FastShip Logistics"/>
    <x v="0"/>
    <x v="1"/>
    <s v="Laura Chen"/>
    <d v="2026-03-25T00:00:00"/>
    <d v="2026-04-24T00:00:00"/>
    <n v="30"/>
    <n v="16841.150000000001"/>
    <n v="16841.150000000001"/>
    <n v="0"/>
    <d v="2026-04-24T00:00:00"/>
    <s v="Paid"/>
    <s v="Check"/>
    <n v="30"/>
    <n v="0"/>
    <s v="Yes"/>
    <s v="No"/>
    <n v="0"/>
    <s v="No"/>
    <n v="0"/>
  </r>
  <r>
    <s v="AP-0031"/>
    <s v="VND-018"/>
    <s v="BuildFast Materials"/>
    <x v="2"/>
    <x v="4"/>
    <s v="Sofia Reyes"/>
    <d v="2025-04-29T00:00:00"/>
    <d v="2025-06-13T00:00:00"/>
    <n v="45"/>
    <n v="44706.21"/>
    <n v="44706.21"/>
    <n v="0"/>
    <d v="2025-06-13T00:00:00"/>
    <s v="Paid"/>
    <s v="Wire"/>
    <n v="45"/>
    <n v="0"/>
    <s v="Yes"/>
    <s v="No"/>
    <n v="0"/>
    <s v="No"/>
    <n v="0"/>
  </r>
  <r>
    <s v="AP-0032"/>
    <s v="VND-010"/>
    <s v="DataBridge IT"/>
    <x v="1"/>
    <x v="3"/>
    <s v="Marco Diaz"/>
    <d v="2025-09-28T00:00:00"/>
    <d v="2025-10-28T00:00:00"/>
    <n v="30"/>
    <n v="42905.68"/>
    <n v="0"/>
    <n v="42905.68"/>
    <m/>
    <s v="Overdue"/>
    <s v="Check"/>
    <m/>
    <n v="-215"/>
    <s v="No"/>
    <s v="Yes"/>
    <n v="0.01"/>
    <s v="No"/>
    <n v="0"/>
  </r>
  <r>
    <s v="AP-0033"/>
    <s v="VND-002"/>
    <s v="TechCore Solutions"/>
    <x v="1"/>
    <x v="0"/>
    <s v="Pedro Alvarez"/>
    <d v="2025-01-04T00:00:00"/>
    <d v="2025-01-19T00:00:00"/>
    <n v="15"/>
    <n v="30016.74"/>
    <n v="0"/>
    <n v="30016.74"/>
    <m/>
    <s v="Overdue"/>
    <s v="Check"/>
    <m/>
    <n v="-497"/>
    <s v="No"/>
    <s v="Yes"/>
    <n v="0.02"/>
    <s v="No"/>
    <n v="0"/>
  </r>
  <r>
    <s v="AP-0034"/>
    <s v="VND-006"/>
    <s v="PowerGrid Utilities"/>
    <x v="3"/>
    <x v="2"/>
    <s v="Ana Torres"/>
    <d v="2025-04-25T00:00:00"/>
    <d v="2025-05-10T00:00:00"/>
    <n v="15"/>
    <n v="1591.04"/>
    <n v="0"/>
    <n v="1591.04"/>
    <m/>
    <s v="Overdue"/>
    <s v="Credit Card"/>
    <m/>
    <n v="-386"/>
    <s v="No"/>
    <s v="No"/>
    <n v="0"/>
    <s v="No"/>
    <n v="0"/>
  </r>
  <r>
    <s v="AP-0035"/>
    <s v="VND-018"/>
    <s v="BuildFast Materials"/>
    <x v="2"/>
    <x v="0"/>
    <s v="Laura Chen"/>
    <d v="2025-05-11T00:00:00"/>
    <d v="2025-07-10T00:00:00"/>
    <n v="60"/>
    <n v="4007.79"/>
    <n v="0"/>
    <n v="4007.79"/>
    <m/>
    <s v="Overdue"/>
    <s v="Wire"/>
    <m/>
    <n v="-325"/>
    <s v="No"/>
    <s v="Yes"/>
    <n v="0.01"/>
    <s v="No"/>
    <n v="0"/>
  </r>
  <r>
    <s v="AP-0036"/>
    <s v="VND-002"/>
    <s v="TechCore Solutions"/>
    <x v="1"/>
    <x v="4"/>
    <s v="Marco Diaz"/>
    <d v="2025-12-29T00:00:00"/>
    <d v="2026-01-28T00:00:00"/>
    <n v="30"/>
    <n v="63508.72"/>
    <n v="63508.72"/>
    <n v="0"/>
    <d v="2026-01-25T00:00:00"/>
    <s v="Paid"/>
    <s v="Wire"/>
    <n v="27"/>
    <n v="3"/>
    <s v="Yes"/>
    <s v="No"/>
    <n v="0"/>
    <s v="No"/>
    <n v="0"/>
  </r>
  <r>
    <s v="AP-0037"/>
    <s v="VND-008"/>
    <s v="GreenEnergy Corp."/>
    <x v="3"/>
    <x v="1"/>
    <s v="Marco Diaz"/>
    <d v="2025-07-03T00:00:00"/>
    <d v="2025-07-18T00:00:00"/>
    <n v="15"/>
    <n v="11180.18"/>
    <n v="0"/>
    <n v="11180.18"/>
    <m/>
    <s v="Overdue"/>
    <s v="Credit Card"/>
    <m/>
    <n v="-317"/>
    <s v="No"/>
    <s v="Yes"/>
    <n v="0.02"/>
    <s v="No"/>
    <n v="0"/>
  </r>
  <r>
    <s v="AP-0038"/>
    <s v="VND-022"/>
    <s v="Apex Consulting"/>
    <x v="4"/>
    <x v="1"/>
    <s v="Laura Chen"/>
    <d v="2026-01-27T00:00:00"/>
    <d v="2026-02-26T00:00:00"/>
    <n v="30"/>
    <n v="35270.17"/>
    <n v="35270.17"/>
    <n v="0"/>
    <d v="2026-02-23T00:00:00"/>
    <s v="Paid"/>
    <s v="Wire"/>
    <n v="27"/>
    <n v="3"/>
    <s v="Yes"/>
    <s v="No"/>
    <n v="0"/>
    <s v="No"/>
    <n v="0"/>
  </r>
  <r>
    <s v="AP-0039"/>
    <s v="VND-015"/>
    <s v="ExpressRoute Logistics"/>
    <x v="0"/>
    <x v="4"/>
    <s v="Laura Chen"/>
    <d v="2025-01-25T00:00:00"/>
    <d v="2025-02-24T00:00:00"/>
    <n v="30"/>
    <n v="13540.63"/>
    <n v="13540.63"/>
    <n v="0"/>
    <d v="2025-03-08T00:00:00"/>
    <s v="Paid"/>
    <s v="Wire"/>
    <n v="42"/>
    <n v="-12"/>
    <s v="No"/>
    <s v="Yes"/>
    <n v="0.01"/>
    <s v="No"/>
    <n v="0"/>
  </r>
  <r>
    <s v="AP-0040"/>
    <s v="VND-012"/>
    <s v="FacilityPro Services"/>
    <x v="5"/>
    <x v="3"/>
    <s v="Pedro Alvarez"/>
    <d v="2025-04-29T00:00:00"/>
    <d v="2025-05-14T00:00:00"/>
    <n v="15"/>
    <n v="30942.27"/>
    <n v="30942.27"/>
    <n v="0"/>
    <d v="2025-05-19T00:00:00"/>
    <s v="Paid"/>
    <s v="Check"/>
    <n v="20"/>
    <n v="-5"/>
    <s v="No"/>
    <s v="Yes"/>
    <n v="0.02"/>
    <s v="No"/>
    <n v="0"/>
  </r>
  <r>
    <s v="AP-0041"/>
    <s v="VND-009"/>
    <s v="MetalWorks Ltd."/>
    <x v="2"/>
    <x v="0"/>
    <s v="Sofia Reyes"/>
    <d v="2025-11-18T00:00:00"/>
    <d v="2026-01-17T00:00:00"/>
    <n v="60"/>
    <n v="22946.91"/>
    <n v="22946.91"/>
    <n v="0"/>
    <d v="2026-01-21T00:00:00"/>
    <s v="Paid"/>
    <s v="Credit Card"/>
    <n v="64"/>
    <n v="-4"/>
    <s v="No"/>
    <s v="No"/>
    <n v="0"/>
    <s v="No"/>
    <n v="0"/>
  </r>
  <r>
    <s v="AP-0042"/>
    <s v="VND-002"/>
    <s v="TechCore Solutions"/>
    <x v="1"/>
    <x v="2"/>
    <s v="Sofia Reyes"/>
    <d v="2026-03-18T00:00:00"/>
    <d v="2026-05-17T00:00:00"/>
    <n v="60"/>
    <n v="10248.040000000001"/>
    <n v="0"/>
    <n v="10248.040000000001"/>
    <m/>
    <s v="Pending"/>
    <s v="Wire"/>
    <m/>
    <m/>
    <m/>
    <s v="Yes"/>
    <n v="0.01"/>
    <s v="No"/>
    <n v="0"/>
  </r>
  <r>
    <s v="AP-0043"/>
    <s v="VND-004"/>
    <s v="BuildRight Materials"/>
    <x v="2"/>
    <x v="4"/>
    <s v="Ana Torres"/>
    <d v="2025-12-01T00:00:00"/>
    <d v="2026-01-30T00:00:00"/>
    <n v="60"/>
    <n v="21315.22"/>
    <n v="21315.22"/>
    <n v="0"/>
    <d v="2026-01-27T00:00:00"/>
    <s v="Paid"/>
    <s v="Check"/>
    <n v="57"/>
    <n v="3"/>
    <s v="Yes"/>
    <s v="Yes"/>
    <n v="0.01"/>
    <s v="No"/>
    <n v="0"/>
  </r>
  <r>
    <s v="AP-0044"/>
    <s v="VND-014"/>
    <s v="NetConnect Systems"/>
    <x v="1"/>
    <x v="2"/>
    <s v="Marco Diaz"/>
    <d v="2025-01-01T00:00:00"/>
    <d v="2025-03-02T00:00:00"/>
    <n v="60"/>
    <n v="27790.62"/>
    <n v="16766.939999999999"/>
    <n v="11023.68"/>
    <d v="2025-03-07T00:00:00"/>
    <s v="Partial"/>
    <s v="Check"/>
    <n v="65"/>
    <n v="-5"/>
    <s v="No"/>
    <s v="Yes"/>
    <n v="0.01"/>
    <s v="No"/>
    <n v="0"/>
  </r>
  <r>
    <s v="AP-0045"/>
    <s v="VND-015"/>
    <s v="ExpressRoute Logistics"/>
    <x v="0"/>
    <x v="2"/>
    <s v="Pedro Alvarez"/>
    <d v="2025-06-23T00:00:00"/>
    <d v="2025-09-21T00:00:00"/>
    <n v="90"/>
    <n v="13518.16"/>
    <n v="13518.16"/>
    <n v="0"/>
    <d v="2025-09-19T00:00:00"/>
    <s v="Paid"/>
    <s v="Wire"/>
    <n v="88"/>
    <n v="2"/>
    <s v="Yes"/>
    <s v="Yes"/>
    <n v="5.0000000000000001E-3"/>
    <s v="No"/>
    <n v="0"/>
  </r>
  <r>
    <s v="AP-0046"/>
    <s v="VND-025"/>
    <s v="RapidShip Co."/>
    <x v="0"/>
    <x v="1"/>
    <s v="Laura Chen"/>
    <d v="2025-05-31T00:00:00"/>
    <d v="2025-06-30T00:00:00"/>
    <n v="30"/>
    <n v="1464.08"/>
    <n v="1464.08"/>
    <n v="0"/>
    <d v="2025-06-28T00:00:00"/>
    <s v="Paid"/>
    <s v="Wire"/>
    <n v="28"/>
    <n v="2"/>
    <s v="Yes"/>
    <s v="Yes"/>
    <n v="0.01"/>
    <s v="No"/>
    <n v="0"/>
  </r>
  <r>
    <s v="AP-0047"/>
    <s v="VND-025"/>
    <s v="RapidShip Co."/>
    <x v="0"/>
    <x v="0"/>
    <s v="Pedro Alvarez"/>
    <d v="2026-01-29T00:00:00"/>
    <d v="2026-02-28T00:00:00"/>
    <n v="30"/>
    <n v="10393.17"/>
    <n v="10393.17"/>
    <n v="0"/>
    <d v="2026-03-13T00:00:00"/>
    <s v="Paid"/>
    <s v="Credit Card"/>
    <n v="43"/>
    <n v="-13"/>
    <s v="No"/>
    <s v="Yes"/>
    <n v="0.01"/>
    <s v="No"/>
    <n v="0"/>
  </r>
  <r>
    <s v="AP-0048"/>
    <s v="VND-025"/>
    <s v="RapidShip Co."/>
    <x v="0"/>
    <x v="0"/>
    <s v="Pedro Alvarez"/>
    <d v="2026-04-21T00:00:00"/>
    <d v="2026-05-21T00:00:00"/>
    <n v="30"/>
    <n v="1954.15"/>
    <n v="1369.29"/>
    <n v="584.86"/>
    <d v="2026-05-31T00:00:00"/>
    <s v="Partial"/>
    <s v="Wire"/>
    <n v="40"/>
    <n v="-10"/>
    <s v="No"/>
    <s v="Yes"/>
    <n v="0.01"/>
    <s v="No"/>
    <n v="0"/>
  </r>
  <r>
    <s v="AP-0049"/>
    <s v="VND-017"/>
    <s v="OfficePro Services"/>
    <x v="4"/>
    <x v="3"/>
    <s v="Ana Torres"/>
    <d v="2026-03-13T00:00:00"/>
    <d v="2026-06-11T00:00:00"/>
    <n v="90"/>
    <n v="33731.06"/>
    <n v="18124.95"/>
    <n v="15606.11"/>
    <d v="2026-05-31T00:00:00"/>
    <s v="Partial"/>
    <s v="Check"/>
    <n v="79"/>
    <n v="11"/>
    <s v="Yes"/>
    <s v="Yes"/>
    <n v="5.0000000000000001E-3"/>
    <s v="No"/>
    <n v="0"/>
  </r>
  <r>
    <s v="AP-0050"/>
    <s v="VND-025"/>
    <s v="RapidShip Co."/>
    <x v="0"/>
    <x v="1"/>
    <s v="Laura Chen"/>
    <d v="2025-10-09T00:00:00"/>
    <d v="2025-11-08T00:00:00"/>
    <n v="30"/>
    <n v="9357.58"/>
    <n v="9357.58"/>
    <n v="0"/>
    <d v="2025-11-08T00:00:00"/>
    <s v="Paid"/>
    <s v="Credit Card"/>
    <n v="30"/>
    <n v="0"/>
    <s v="Yes"/>
    <s v="No"/>
    <n v="0"/>
    <s v="No"/>
    <n v="0"/>
  </r>
  <r>
    <s v="AP-0051"/>
    <s v="VND-011"/>
    <s v="QuickFreight Inc."/>
    <x v="0"/>
    <x v="4"/>
    <s v="Ana Torres"/>
    <d v="2025-06-04T00:00:00"/>
    <d v="2025-07-04T00:00:00"/>
    <n v="30"/>
    <n v="5393.97"/>
    <n v="5393.97"/>
    <n v="0"/>
    <d v="2025-07-11T00:00:00"/>
    <s v="Paid"/>
    <s v="ACH"/>
    <n v="37"/>
    <n v="-7"/>
    <s v="No"/>
    <s v="Yes"/>
    <n v="0.01"/>
    <s v="No"/>
    <n v="0"/>
  </r>
  <r>
    <s v="AP-0052"/>
    <s v="VND-018"/>
    <s v="BuildFast Materials"/>
    <x v="2"/>
    <x v="2"/>
    <s v="Pedro Alvarez"/>
    <d v="2026-03-07T00:00:00"/>
    <d v="2026-04-06T00:00:00"/>
    <n v="30"/>
    <n v="20694.89"/>
    <n v="0"/>
    <n v="20694.89"/>
    <m/>
    <s v="Pending"/>
    <s v="ACH"/>
    <m/>
    <m/>
    <m/>
    <s v="No"/>
    <n v="0"/>
    <s v="No"/>
    <n v="0"/>
  </r>
  <r>
    <s v="AP-0053"/>
    <s v="VND-025"/>
    <s v="RapidShip Co."/>
    <x v="0"/>
    <x v="3"/>
    <s v="Pedro Alvarez"/>
    <d v="2025-12-27T00:00:00"/>
    <d v="2026-01-11T00:00:00"/>
    <n v="15"/>
    <n v="6673.64"/>
    <n v="4790.7700000000004"/>
    <n v="1882.87"/>
    <d v="2026-01-23T00:00:00"/>
    <s v="Partial"/>
    <s v="Credit Card"/>
    <n v="27"/>
    <n v="-12"/>
    <s v="No"/>
    <s v="Yes"/>
    <n v="0.02"/>
    <s v="No"/>
    <n v="0"/>
  </r>
  <r>
    <s v="AP-0054"/>
    <s v="VND-024"/>
    <s v="EliteFacilities Corp."/>
    <x v="5"/>
    <x v="3"/>
    <s v="Ana Torres"/>
    <d v="2025-08-13T00:00:00"/>
    <d v="2025-11-11T00:00:00"/>
    <n v="90"/>
    <n v="11006.87"/>
    <n v="11006.87"/>
    <n v="0"/>
    <d v="2025-11-14T00:00:00"/>
    <s v="Paid"/>
    <s v="Wire"/>
    <n v="93"/>
    <n v="-3"/>
    <s v="No"/>
    <s v="Yes"/>
    <n v="5.0000000000000001E-3"/>
    <s v="No"/>
    <n v="0"/>
  </r>
  <r>
    <s v="AP-0055"/>
    <s v="VND-022"/>
    <s v="Apex Consulting"/>
    <x v="4"/>
    <x v="2"/>
    <s v="Marco Diaz"/>
    <d v="2025-01-28T00:00:00"/>
    <d v="2025-02-27T00:00:00"/>
    <n v="30"/>
    <n v="36556.370000000003"/>
    <n v="36556.370000000003"/>
    <n v="0"/>
    <d v="2025-03-06T00:00:00"/>
    <s v="Paid"/>
    <s v="Credit Card"/>
    <n v="37"/>
    <n v="-7"/>
    <s v="No"/>
    <s v="Yes"/>
    <n v="0.01"/>
    <s v="No"/>
    <n v="0"/>
  </r>
  <r>
    <s v="AP-0056"/>
    <s v="VND-015"/>
    <s v="ExpressRoute Logistics"/>
    <x v="0"/>
    <x v="1"/>
    <s v="Sofia Reyes"/>
    <d v="2025-12-02T00:00:00"/>
    <d v="2026-01-31T00:00:00"/>
    <n v="60"/>
    <n v="5021.55"/>
    <n v="5021.55"/>
    <n v="0"/>
    <d v="2026-02-04T00:00:00"/>
    <s v="Paid"/>
    <s v="Check"/>
    <n v="64"/>
    <n v="-4"/>
    <s v="No"/>
    <s v="Yes"/>
    <n v="0.01"/>
    <s v="No"/>
    <n v="0"/>
  </r>
  <r>
    <s v="AP-0057"/>
    <s v="VND-013"/>
    <s v="SafetyFirst Supplies"/>
    <x v="2"/>
    <x v="4"/>
    <s v="Pedro Alvarez"/>
    <d v="2026-04-27T00:00:00"/>
    <d v="2026-05-27T00:00:00"/>
    <n v="30"/>
    <n v="2930.4"/>
    <n v="0"/>
    <n v="2930.4"/>
    <m/>
    <s v="Pending"/>
    <s v="Check"/>
    <m/>
    <m/>
    <m/>
    <s v="Yes"/>
    <n v="0.01"/>
    <s v="No"/>
    <n v="0"/>
  </r>
  <r>
    <s v="AP-0058"/>
    <s v="VND-021"/>
    <s v="PrimePack Logistics"/>
    <x v="0"/>
    <x v="0"/>
    <s v="Sofia Reyes"/>
    <d v="2025-07-24T00:00:00"/>
    <d v="2025-08-23T00:00:00"/>
    <n v="30"/>
    <n v="16945.349999999999"/>
    <n v="16945.349999999999"/>
    <n v="0"/>
    <d v="2025-08-20T00:00:00"/>
    <s v="Paid"/>
    <s v="ACH"/>
    <n v="27"/>
    <n v="3"/>
    <s v="Yes"/>
    <s v="Yes"/>
    <n v="0.01"/>
    <s v="No"/>
    <n v="0"/>
  </r>
  <r>
    <s v="AP-0059"/>
    <s v="VND-007"/>
    <s v="ProStaff Services"/>
    <x v="4"/>
    <x v="2"/>
    <s v="Laura Chen"/>
    <d v="2025-04-28T00:00:00"/>
    <d v="2025-05-28T00:00:00"/>
    <n v="30"/>
    <n v="31778.3"/>
    <n v="31778.3"/>
    <n v="0"/>
    <d v="2025-05-28T00:00:00"/>
    <s v="Paid"/>
    <s v="Check"/>
    <n v="30"/>
    <n v="0"/>
    <s v="Yes"/>
    <s v="Yes"/>
    <n v="0.01"/>
    <s v="No"/>
    <n v="0"/>
  </r>
  <r>
    <s v="AP-0060"/>
    <s v="VND-019"/>
    <s v="SkyNet IT Solutions"/>
    <x v="1"/>
    <x v="0"/>
    <s v="Laura Chen"/>
    <d v="2025-07-23T00:00:00"/>
    <d v="2025-09-21T00:00:00"/>
    <n v="60"/>
    <n v="10699.74"/>
    <n v="10699.74"/>
    <n v="0"/>
    <d v="2025-10-02T00:00:00"/>
    <s v="Paid"/>
    <s v="Credit Card"/>
    <n v="71"/>
    <n v="-11"/>
    <s v="No"/>
    <s v="Yes"/>
    <n v="0.01"/>
    <s v="No"/>
    <n v="0"/>
  </r>
  <r>
    <s v="AP-0061"/>
    <s v="VND-022"/>
    <s v="Apex Consulting"/>
    <x v="4"/>
    <x v="3"/>
    <s v="Sofia Reyes"/>
    <d v="2026-03-15T00:00:00"/>
    <d v="2026-05-14T00:00:00"/>
    <n v="60"/>
    <n v="27476.29"/>
    <n v="0"/>
    <n v="27476.29"/>
    <m/>
    <s v="Pending"/>
    <s v="ACH"/>
    <m/>
    <m/>
    <m/>
    <s v="Yes"/>
    <n v="0.01"/>
    <s v="No"/>
    <n v="0"/>
  </r>
  <r>
    <s v="AP-0062"/>
    <s v="VND-014"/>
    <s v="NetConnect Systems"/>
    <x v="1"/>
    <x v="2"/>
    <s v="Sofia Reyes"/>
    <d v="2026-04-16T00:00:00"/>
    <d v="2026-06-15T00:00:00"/>
    <n v="60"/>
    <n v="58048.15"/>
    <n v="58048.15"/>
    <n v="0"/>
    <d v="2026-05-31T00:00:00"/>
    <s v="Paid"/>
    <s v="Credit Card"/>
    <n v="45"/>
    <n v="15"/>
    <s v="Yes"/>
    <s v="Yes"/>
    <n v="0.01"/>
    <s v="No"/>
    <n v="0"/>
  </r>
  <r>
    <s v="AP-0063"/>
    <s v="VND-009"/>
    <s v="MetalWorks Ltd."/>
    <x v="2"/>
    <x v="3"/>
    <s v="Ana Torres"/>
    <d v="2026-03-23T00:00:00"/>
    <d v="2026-06-21T00:00:00"/>
    <n v="90"/>
    <n v="41635.26"/>
    <n v="0"/>
    <n v="41635.26"/>
    <m/>
    <s v="Pending"/>
    <s v="Credit Card"/>
    <m/>
    <m/>
    <m/>
    <s v="Yes"/>
    <n v="5.0000000000000001E-3"/>
    <s v="No"/>
    <n v="0"/>
  </r>
  <r>
    <s v="AP-0064"/>
    <s v="VND-003"/>
    <s v="FastShip Logistics"/>
    <x v="0"/>
    <x v="4"/>
    <s v="Pedro Alvarez"/>
    <d v="2026-01-24T00:00:00"/>
    <d v="2026-04-24T00:00:00"/>
    <n v="90"/>
    <n v="7391.54"/>
    <n v="7391.54"/>
    <n v="0"/>
    <d v="2026-04-21T00:00:00"/>
    <s v="Paid"/>
    <s v="Wire"/>
    <n v="87"/>
    <n v="3"/>
    <s v="Yes"/>
    <s v="Yes"/>
    <n v="5.0000000000000001E-3"/>
    <s v="No"/>
    <n v="0"/>
  </r>
  <r>
    <s v="AP-0065"/>
    <s v="VND-009"/>
    <s v="MetalWorks Ltd."/>
    <x v="2"/>
    <x v="3"/>
    <s v="Laura Chen"/>
    <d v="2025-03-29T00:00:00"/>
    <d v="2025-04-28T00:00:00"/>
    <n v="30"/>
    <n v="13585.09"/>
    <n v="13585.09"/>
    <n v="0"/>
    <d v="2025-05-02T00:00:00"/>
    <s v="Paid"/>
    <s v="ACH"/>
    <n v="34"/>
    <n v="-4"/>
    <s v="No"/>
    <s v="Yes"/>
    <n v="0.01"/>
    <s v="No"/>
    <n v="0"/>
  </r>
  <r>
    <s v="AP-0066"/>
    <s v="VND-008"/>
    <s v="GreenEnergy Corp."/>
    <x v="3"/>
    <x v="2"/>
    <s v="Pedro Alvarez"/>
    <d v="2025-04-06T00:00:00"/>
    <d v="2025-04-21T00:00:00"/>
    <n v="15"/>
    <n v="4766.42"/>
    <n v="4766.42"/>
    <n v="0"/>
    <d v="2025-04-18T00:00:00"/>
    <s v="Paid"/>
    <s v="Credit Card"/>
    <n v="12"/>
    <n v="3"/>
    <s v="Yes"/>
    <s v="Yes"/>
    <n v="0.02"/>
    <s v="No"/>
    <n v="0"/>
  </r>
  <r>
    <s v="AP-0067"/>
    <s v="VND-018"/>
    <s v="BuildFast Materials"/>
    <x v="2"/>
    <x v="3"/>
    <s v="Laura Chen"/>
    <d v="2025-12-27T00:00:00"/>
    <d v="2026-02-25T00:00:00"/>
    <n v="60"/>
    <n v="35737.040000000001"/>
    <n v="35737.040000000001"/>
    <n v="0"/>
    <d v="2026-02-19T00:00:00"/>
    <s v="Paid"/>
    <s v="Credit Card"/>
    <n v="54"/>
    <n v="6"/>
    <s v="Yes"/>
    <s v="Yes"/>
    <n v="0.01"/>
    <s v="No"/>
    <n v="0"/>
  </r>
  <r>
    <s v="AP-0068"/>
    <s v="VND-004"/>
    <s v="BuildRight Materials"/>
    <x v="2"/>
    <x v="1"/>
    <s v="Laura Chen"/>
    <d v="2025-07-16T00:00:00"/>
    <d v="2025-08-15T00:00:00"/>
    <n v="30"/>
    <n v="12386.46"/>
    <n v="12386.46"/>
    <n v="0"/>
    <d v="2025-08-24T00:00:00"/>
    <s v="Paid"/>
    <s v="ACH"/>
    <n v="39"/>
    <n v="-9"/>
    <s v="No"/>
    <s v="Yes"/>
    <n v="0.01"/>
    <s v="No"/>
    <n v="0"/>
  </r>
  <r>
    <s v="AP-0069"/>
    <s v="VND-010"/>
    <s v="DataBridge IT"/>
    <x v="1"/>
    <x v="0"/>
    <s v="Marco Diaz"/>
    <d v="2026-01-05T00:00:00"/>
    <d v="2026-02-04T00:00:00"/>
    <n v="30"/>
    <n v="18458.12"/>
    <n v="18458.12"/>
    <n v="0"/>
    <d v="2026-02-03T00:00:00"/>
    <s v="Paid"/>
    <s v="Check"/>
    <n v="29"/>
    <n v="1"/>
    <s v="Yes"/>
    <s v="Yes"/>
    <n v="0.01"/>
    <s v="No"/>
    <n v="0"/>
  </r>
  <r>
    <s v="AP-0070"/>
    <s v="VND-009"/>
    <s v="MetalWorks Ltd."/>
    <x v="2"/>
    <x v="0"/>
    <s v="Sofia Reyes"/>
    <d v="2026-05-18T00:00:00"/>
    <d v="2026-06-17T00:00:00"/>
    <n v="30"/>
    <n v="6924.21"/>
    <n v="6924.21"/>
    <n v="0"/>
    <d v="2026-05-31T00:00:00"/>
    <s v="Paid"/>
    <s v="Check"/>
    <n v="13"/>
    <n v="17"/>
    <s v="Yes"/>
    <s v="Yes"/>
    <n v="0.01"/>
    <s v="No"/>
    <n v="0"/>
  </r>
  <r>
    <s v="AP-0071"/>
    <s v="VND-009"/>
    <s v="MetalWorks Ltd."/>
    <x v="2"/>
    <x v="2"/>
    <s v="Sofia Reyes"/>
    <d v="2026-05-19T00:00:00"/>
    <d v="2026-07-18T00:00:00"/>
    <n v="60"/>
    <n v="5555.94"/>
    <n v="0"/>
    <n v="5555.94"/>
    <m/>
    <s v="Pending"/>
    <s v="ACH"/>
    <m/>
    <m/>
    <m/>
    <s v="Yes"/>
    <n v="0.01"/>
    <s v="No"/>
    <n v="0"/>
  </r>
  <r>
    <s v="AP-0072"/>
    <s v="VND-019"/>
    <s v="SkyNet IT Solutions"/>
    <x v="1"/>
    <x v="4"/>
    <s v="Sofia Reyes"/>
    <d v="2026-03-03T00:00:00"/>
    <d v="2026-04-02T00:00:00"/>
    <n v="30"/>
    <n v="50473.82"/>
    <n v="50473.82"/>
    <n v="0"/>
    <d v="2026-04-19T00:00:00"/>
    <s v="Paid"/>
    <s v="Wire"/>
    <n v="47"/>
    <n v="-17"/>
    <s v="No"/>
    <s v="No"/>
    <n v="0"/>
    <s v="No"/>
    <n v="0"/>
  </r>
  <r>
    <s v="AP-0073"/>
    <s v="VND-015"/>
    <s v="ExpressRoute Logistics"/>
    <x v="0"/>
    <x v="2"/>
    <s v="Laura Chen"/>
    <d v="2025-03-03T00:00:00"/>
    <d v="2025-04-17T00:00:00"/>
    <n v="45"/>
    <n v="12582.99"/>
    <n v="0"/>
    <n v="12582.99"/>
    <m/>
    <s v="Overdue"/>
    <s v="Credit Card"/>
    <m/>
    <n v="-409"/>
    <s v="No"/>
    <s v="No"/>
    <n v="0"/>
    <s v="No"/>
    <n v="0"/>
  </r>
  <r>
    <s v="AP-0074"/>
    <s v="VND-007"/>
    <s v="ProStaff Services"/>
    <x v="4"/>
    <x v="1"/>
    <s v="Laura Chen"/>
    <d v="2025-09-03T00:00:00"/>
    <d v="2025-10-03T00:00:00"/>
    <n v="30"/>
    <n v="9431.1"/>
    <n v="9431.1"/>
    <n v="0"/>
    <d v="2025-09-23T00:00:00"/>
    <s v="Paid"/>
    <s v="ACH"/>
    <n v="20"/>
    <n v="10"/>
    <s v="Yes"/>
    <s v="Yes"/>
    <n v="0.01"/>
    <s v="No"/>
    <n v="0"/>
  </r>
  <r>
    <s v="AP-0075"/>
    <s v="VND-010"/>
    <s v="DataBridge IT"/>
    <x v="1"/>
    <x v="0"/>
    <s v="Marco Diaz"/>
    <d v="2026-04-10T00:00:00"/>
    <d v="2026-05-25T00:00:00"/>
    <n v="45"/>
    <n v="10338.48"/>
    <n v="10338.48"/>
    <n v="0"/>
    <d v="2026-05-28T00:00:00"/>
    <s v="Paid"/>
    <s v="Check"/>
    <n v="48"/>
    <n v="-3"/>
    <s v="No"/>
    <s v="Yes"/>
    <n v="1.4999999999999999E-2"/>
    <s v="No"/>
    <n v="0"/>
  </r>
  <r>
    <s v="AP-0076"/>
    <s v="VND-019"/>
    <s v="SkyNet IT Solutions"/>
    <x v="1"/>
    <x v="1"/>
    <s v="Pedro Alvarez"/>
    <d v="2025-06-02T00:00:00"/>
    <d v="2025-07-02T00:00:00"/>
    <n v="30"/>
    <n v="73130.86"/>
    <n v="73130.86"/>
    <n v="0"/>
    <d v="2025-07-05T00:00:00"/>
    <s v="Paid"/>
    <s v="ACH"/>
    <n v="33"/>
    <n v="-3"/>
    <s v="No"/>
    <s v="No"/>
    <n v="0"/>
    <s v="No"/>
    <n v="0"/>
  </r>
  <r>
    <s v="AP-0077"/>
    <s v="VND-024"/>
    <s v="EliteFacilities Corp."/>
    <x v="5"/>
    <x v="3"/>
    <s v="Laura Chen"/>
    <d v="2026-04-25T00:00:00"/>
    <d v="2026-05-25T00:00:00"/>
    <n v="30"/>
    <n v="24726.37"/>
    <n v="0"/>
    <n v="24726.37"/>
    <m/>
    <s v="Overdue"/>
    <s v="Credit Card"/>
    <m/>
    <n v="-6"/>
    <s v="No"/>
    <s v="Yes"/>
    <n v="0.01"/>
    <s v="No"/>
    <n v="0"/>
  </r>
  <r>
    <s v="AP-0078"/>
    <s v="VND-016"/>
    <s v="CleanWater Utilities"/>
    <x v="3"/>
    <x v="2"/>
    <s v="Sofia Reyes"/>
    <d v="2025-11-27T00:00:00"/>
    <d v="2026-01-26T00:00:00"/>
    <n v="60"/>
    <n v="9253.85"/>
    <n v="9253.85"/>
    <n v="0"/>
    <d v="2026-01-31T00:00:00"/>
    <s v="Paid"/>
    <s v="ACH"/>
    <n v="65"/>
    <n v="-5"/>
    <s v="No"/>
    <s v="Yes"/>
    <n v="0.01"/>
    <s v="No"/>
    <n v="0"/>
  </r>
  <r>
    <s v="AP-0079"/>
    <s v="VND-022"/>
    <s v="Apex Consulting"/>
    <x v="4"/>
    <x v="3"/>
    <s v="Ana Torres"/>
    <d v="2025-02-11T00:00:00"/>
    <d v="2025-03-28T00:00:00"/>
    <n v="45"/>
    <n v="31235.03"/>
    <n v="31235.03"/>
    <n v="0"/>
    <d v="2025-03-22T00:00:00"/>
    <s v="Paid"/>
    <s v="ACH"/>
    <n v="39"/>
    <n v="6"/>
    <s v="Yes"/>
    <s v="Yes"/>
    <n v="1.4999999999999999E-2"/>
    <s v="No"/>
    <n v="0"/>
  </r>
  <r>
    <s v="AP-0080"/>
    <s v="VND-019"/>
    <s v="SkyNet IT Solutions"/>
    <x v="1"/>
    <x v="2"/>
    <s v="Pedro Alvarez"/>
    <d v="2025-12-23T00:00:00"/>
    <d v="2026-03-23T00:00:00"/>
    <n v="90"/>
    <n v="35626.11"/>
    <n v="35626.11"/>
    <n v="0"/>
    <d v="2026-03-25T00:00:00"/>
    <s v="Paid"/>
    <s v="ACH"/>
    <n v="92"/>
    <n v="-2"/>
    <s v="No"/>
    <s v="Yes"/>
    <n v="5.0000000000000001E-3"/>
    <s v="No"/>
    <n v="0"/>
  </r>
  <r>
    <s v="AP-0081"/>
    <s v="VND-006"/>
    <s v="PowerGrid Utilities"/>
    <x v="3"/>
    <x v="4"/>
    <s v="Pedro Alvarez"/>
    <d v="2026-02-15T00:00:00"/>
    <d v="2026-04-01T00:00:00"/>
    <n v="45"/>
    <n v="12296.71"/>
    <n v="12296.71"/>
    <n v="0"/>
    <d v="2026-03-30T00:00:00"/>
    <s v="Paid"/>
    <s v="Credit Card"/>
    <n v="43"/>
    <n v="2"/>
    <s v="Yes"/>
    <s v="Yes"/>
    <n v="1.4999999999999999E-2"/>
    <s v="No"/>
    <n v="0"/>
  </r>
  <r>
    <s v="AP-0082"/>
    <s v="VND-025"/>
    <s v="RapidShip Co."/>
    <x v="0"/>
    <x v="2"/>
    <s v="Ana Torres"/>
    <d v="2026-02-28T00:00:00"/>
    <d v="2026-05-29T00:00:00"/>
    <n v="90"/>
    <n v="2029.88"/>
    <n v="2029.88"/>
    <n v="0"/>
    <d v="2026-05-31T00:00:00"/>
    <s v="Paid"/>
    <s v="ACH"/>
    <n v="92"/>
    <n v="-2"/>
    <s v="No"/>
    <s v="Yes"/>
    <n v="5.0000000000000001E-3"/>
    <s v="No"/>
    <n v="0"/>
  </r>
  <r>
    <s v="AP-0083"/>
    <s v="VND-015"/>
    <s v="ExpressRoute Logistics"/>
    <x v="0"/>
    <x v="0"/>
    <s v="Marco Diaz"/>
    <d v="2025-10-22T00:00:00"/>
    <d v="2025-11-21T00:00:00"/>
    <n v="30"/>
    <n v="9324.2099999999991"/>
    <n v="9324.2099999999991"/>
    <n v="0"/>
    <d v="2025-12-01T00:00:00"/>
    <s v="Paid"/>
    <s v="Check"/>
    <n v="40"/>
    <n v="-10"/>
    <s v="No"/>
    <s v="Yes"/>
    <n v="0.01"/>
    <s v="No"/>
    <n v="0"/>
  </r>
  <r>
    <s v="AP-0084"/>
    <s v="VND-008"/>
    <s v="GreenEnergy Corp."/>
    <x v="3"/>
    <x v="1"/>
    <s v="Laura Chen"/>
    <d v="2025-04-06T00:00:00"/>
    <d v="2025-06-05T00:00:00"/>
    <n v="60"/>
    <n v="3758.16"/>
    <n v="3758.16"/>
    <n v="0"/>
    <d v="2025-06-04T00:00:00"/>
    <s v="Paid"/>
    <s v="ACH"/>
    <n v="59"/>
    <n v="1"/>
    <s v="Yes"/>
    <s v="No"/>
    <n v="0"/>
    <s v="No"/>
    <n v="0"/>
  </r>
  <r>
    <s v="AP-0085"/>
    <s v="VND-004"/>
    <s v="BuildRight Materials"/>
    <x v="2"/>
    <x v="1"/>
    <s v="Pedro Alvarez"/>
    <d v="2026-03-02T00:00:00"/>
    <d v="2026-04-16T00:00:00"/>
    <n v="45"/>
    <n v="42066.75"/>
    <n v="42066.75"/>
    <n v="0"/>
    <d v="2026-04-03T00:00:00"/>
    <s v="Paid"/>
    <s v="Check"/>
    <n v="32"/>
    <n v="13"/>
    <s v="Yes"/>
    <s v="No"/>
    <n v="0"/>
    <s v="No"/>
    <n v="0"/>
  </r>
  <r>
    <s v="AP-0086"/>
    <s v="VND-017"/>
    <s v="OfficePro Services"/>
    <x v="4"/>
    <x v="1"/>
    <s v="Sofia Reyes"/>
    <d v="2025-12-15T00:00:00"/>
    <d v="2026-02-13T00:00:00"/>
    <n v="60"/>
    <n v="37567.19"/>
    <n v="16582.89"/>
    <n v="20984.3"/>
    <d v="2026-02-17T00:00:00"/>
    <s v="Partial"/>
    <s v="Check"/>
    <n v="64"/>
    <n v="-4"/>
    <s v="No"/>
    <s v="Yes"/>
    <n v="0.01"/>
    <s v="No"/>
    <n v="0"/>
  </r>
  <r>
    <s v="AP-0087"/>
    <s v="VND-019"/>
    <s v="SkyNet IT Solutions"/>
    <x v="1"/>
    <x v="3"/>
    <s v="Pedro Alvarez"/>
    <d v="2026-05-11T00:00:00"/>
    <d v="2026-08-09T00:00:00"/>
    <n v="90"/>
    <n v="30884.3"/>
    <n v="30884.3"/>
    <n v="0"/>
    <d v="2026-05-31T00:00:00"/>
    <s v="Paid"/>
    <s v="Wire"/>
    <n v="20"/>
    <n v="70"/>
    <s v="Yes"/>
    <s v="Yes"/>
    <n v="5.0000000000000001E-3"/>
    <s v="Yes"/>
    <n v="154.41999999999999"/>
  </r>
  <r>
    <s v="AP-0088"/>
    <s v="VND-011"/>
    <s v="QuickFreight Inc."/>
    <x v="0"/>
    <x v="1"/>
    <s v="Marco Diaz"/>
    <d v="2026-02-25T00:00:00"/>
    <d v="2026-03-27T00:00:00"/>
    <n v="30"/>
    <n v="1829.3"/>
    <n v="1829.3"/>
    <n v="0"/>
    <d v="2026-03-29T00:00:00"/>
    <s v="Paid"/>
    <s v="Credit Card"/>
    <n v="32"/>
    <n v="-2"/>
    <s v="No"/>
    <s v="No"/>
    <n v="0"/>
    <s v="No"/>
    <n v="0"/>
  </r>
  <r>
    <s v="AP-0089"/>
    <s v="VND-022"/>
    <s v="Apex Consulting"/>
    <x v="4"/>
    <x v="1"/>
    <s v="Pedro Alvarez"/>
    <d v="2026-05-30T00:00:00"/>
    <d v="2026-06-29T00:00:00"/>
    <n v="30"/>
    <n v="38718.080000000002"/>
    <n v="38718.080000000002"/>
    <n v="0"/>
    <d v="2026-05-31T00:00:00"/>
    <s v="Paid"/>
    <s v="ACH"/>
    <n v="1"/>
    <n v="29"/>
    <s v="Yes"/>
    <s v="Yes"/>
    <n v="0.01"/>
    <s v="Yes"/>
    <n v="387.18"/>
  </r>
  <r>
    <s v="AP-0090"/>
    <s v="VND-004"/>
    <s v="BuildRight Materials"/>
    <x v="2"/>
    <x v="3"/>
    <s v="Pedro Alvarez"/>
    <d v="2026-02-24T00:00:00"/>
    <d v="2026-03-26T00:00:00"/>
    <n v="30"/>
    <n v="43804.78"/>
    <n v="43804.78"/>
    <n v="0"/>
    <d v="2026-03-27T00:00:00"/>
    <s v="Paid"/>
    <s v="ACH"/>
    <n v="31"/>
    <n v="-1"/>
    <s v="No"/>
    <s v="No"/>
    <n v="0"/>
    <s v="No"/>
    <n v="0"/>
  </r>
  <r>
    <s v="AP-0091"/>
    <s v="VND-020"/>
    <s v="TrustBuild Facilities"/>
    <x v="5"/>
    <x v="2"/>
    <s v="Sofia Reyes"/>
    <d v="2025-11-21T00:00:00"/>
    <d v="2026-01-20T00:00:00"/>
    <n v="60"/>
    <n v="22684.37"/>
    <n v="22684.37"/>
    <n v="0"/>
    <d v="2026-01-14T00:00:00"/>
    <s v="Paid"/>
    <s v="Check"/>
    <n v="54"/>
    <n v="6"/>
    <s v="Yes"/>
    <s v="No"/>
    <n v="0"/>
    <s v="No"/>
    <n v="0"/>
  </r>
  <r>
    <s v="AP-0092"/>
    <s v="VND-018"/>
    <s v="BuildFast Materials"/>
    <x v="2"/>
    <x v="0"/>
    <s v="Ana Torres"/>
    <d v="2025-10-22T00:00:00"/>
    <d v="2025-11-21T00:00:00"/>
    <n v="30"/>
    <n v="49876.44"/>
    <n v="49876.44"/>
    <n v="0"/>
    <d v="2025-11-30T00:00:00"/>
    <s v="Paid"/>
    <s v="ACH"/>
    <n v="39"/>
    <n v="-9"/>
    <s v="No"/>
    <s v="No"/>
    <n v="0"/>
    <s v="No"/>
    <n v="0"/>
  </r>
  <r>
    <s v="AP-0093"/>
    <s v="VND-004"/>
    <s v="BuildRight Materials"/>
    <x v="2"/>
    <x v="2"/>
    <s v="Marco Diaz"/>
    <d v="2025-02-17T00:00:00"/>
    <d v="2025-03-04T00:00:00"/>
    <n v="15"/>
    <n v="17569.98"/>
    <n v="17569.98"/>
    <n v="0"/>
    <d v="2025-03-10T00:00:00"/>
    <s v="Paid"/>
    <s v="Check"/>
    <n v="21"/>
    <n v="-6"/>
    <s v="No"/>
    <s v="Yes"/>
    <n v="0.02"/>
    <s v="No"/>
    <n v="0"/>
  </r>
  <r>
    <s v="AP-0094"/>
    <s v="VND-014"/>
    <s v="NetConnect Systems"/>
    <x v="1"/>
    <x v="1"/>
    <s v="Marco Diaz"/>
    <d v="2025-06-24T00:00:00"/>
    <d v="2025-07-24T00:00:00"/>
    <n v="30"/>
    <n v="18130.2"/>
    <n v="18130.2"/>
    <n v="0"/>
    <d v="2025-07-21T00:00:00"/>
    <s v="Paid"/>
    <s v="Credit Card"/>
    <n v="27"/>
    <n v="3"/>
    <s v="Yes"/>
    <s v="Yes"/>
    <n v="0.01"/>
    <s v="No"/>
    <n v="0"/>
  </r>
  <r>
    <s v="AP-0095"/>
    <s v="VND-019"/>
    <s v="SkyNet IT Solutions"/>
    <x v="1"/>
    <x v="1"/>
    <s v="Marco Diaz"/>
    <d v="2026-04-16T00:00:00"/>
    <d v="2026-05-31T00:00:00"/>
    <n v="45"/>
    <n v="24149.5"/>
    <n v="15426.83"/>
    <n v="8722.67"/>
    <d v="2026-05-31T00:00:00"/>
    <s v="Partial"/>
    <s v="Credit Card"/>
    <n v="45"/>
    <n v="0"/>
    <s v="Yes"/>
    <s v="Yes"/>
    <n v="1.4999999999999999E-2"/>
    <s v="No"/>
    <n v="0"/>
  </r>
  <r>
    <s v="AP-0096"/>
    <s v="VND-003"/>
    <s v="FastShip Logistics"/>
    <x v="0"/>
    <x v="2"/>
    <s v="Laura Chen"/>
    <d v="2025-09-14T00:00:00"/>
    <d v="2025-11-13T00:00:00"/>
    <n v="60"/>
    <n v="9679.8799999999992"/>
    <n v="0"/>
    <n v="9679.8799999999992"/>
    <m/>
    <s v="Overdue"/>
    <s v="Check"/>
    <m/>
    <n v="-199"/>
    <s v="No"/>
    <s v="Yes"/>
    <n v="0.01"/>
    <s v="No"/>
    <n v="0"/>
  </r>
  <r>
    <s v="AP-0097"/>
    <s v="VND-016"/>
    <s v="CleanWater Utilities"/>
    <x v="3"/>
    <x v="0"/>
    <s v="Marco Diaz"/>
    <d v="2025-10-30T00:00:00"/>
    <d v="2025-12-29T00:00:00"/>
    <n v="60"/>
    <n v="14894.03"/>
    <n v="0"/>
    <n v="14894.03"/>
    <m/>
    <s v="Overdue"/>
    <s v="Credit Card"/>
    <m/>
    <n v="-153"/>
    <s v="No"/>
    <s v="Yes"/>
    <n v="0.01"/>
    <s v="No"/>
    <n v="0"/>
  </r>
  <r>
    <s v="AP-0098"/>
    <s v="VND-022"/>
    <s v="Apex Consulting"/>
    <x v="4"/>
    <x v="2"/>
    <s v="Laura Chen"/>
    <d v="2026-05-24T00:00:00"/>
    <d v="2026-06-08T00:00:00"/>
    <n v="15"/>
    <n v="33815.040000000001"/>
    <n v="0"/>
    <n v="33815.040000000001"/>
    <m/>
    <s v="Pending"/>
    <s v="ACH"/>
    <m/>
    <m/>
    <m/>
    <s v="No"/>
    <n v="0"/>
    <s v="No"/>
    <n v="0"/>
  </r>
  <r>
    <s v="AP-0099"/>
    <s v="VND-012"/>
    <s v="FacilityPro Services"/>
    <x v="5"/>
    <x v="1"/>
    <s v="Marco Diaz"/>
    <d v="2025-04-10T00:00:00"/>
    <d v="2025-05-10T00:00:00"/>
    <n v="30"/>
    <n v="31812.32"/>
    <n v="31812.32"/>
    <n v="0"/>
    <d v="2025-05-02T00:00:00"/>
    <s v="Paid"/>
    <s v="Check"/>
    <n v="22"/>
    <n v="8"/>
    <s v="Yes"/>
    <s v="Yes"/>
    <n v="0.01"/>
    <s v="No"/>
    <n v="0"/>
  </r>
  <r>
    <s v="AP-0100"/>
    <s v="VND-015"/>
    <s v="ExpressRoute Logistics"/>
    <x v="0"/>
    <x v="0"/>
    <s v="Ana Torres"/>
    <d v="2025-04-03T00:00:00"/>
    <d v="2025-05-03T00:00:00"/>
    <n v="30"/>
    <n v="18282.93"/>
    <n v="18282.93"/>
    <n v="0"/>
    <d v="2025-05-07T00:00:00"/>
    <s v="Paid"/>
    <s v="Check"/>
    <n v="34"/>
    <n v="-4"/>
    <s v="No"/>
    <s v="Yes"/>
    <n v="0.01"/>
    <s v="No"/>
    <n v="0"/>
  </r>
  <r>
    <s v="AP-0101"/>
    <s v="VND-012"/>
    <s v="FacilityPro Services"/>
    <x v="5"/>
    <x v="3"/>
    <s v="Ana Torres"/>
    <d v="2025-09-21T00:00:00"/>
    <d v="2025-10-21T00:00:00"/>
    <n v="30"/>
    <n v="32163.62"/>
    <n v="0"/>
    <n v="32163.62"/>
    <m/>
    <s v="Overdue"/>
    <s v="Check"/>
    <m/>
    <n v="-222"/>
    <s v="No"/>
    <s v="No"/>
    <n v="0"/>
    <s v="No"/>
    <n v="0"/>
  </r>
  <r>
    <s v="AP-0102"/>
    <s v="VND-010"/>
    <s v="DataBridge IT"/>
    <x v="1"/>
    <x v="4"/>
    <s v="Sofia Reyes"/>
    <d v="2025-05-25T00:00:00"/>
    <d v="2025-06-24T00:00:00"/>
    <n v="30"/>
    <n v="61561.36"/>
    <n v="61561.36"/>
    <n v="0"/>
    <d v="2025-07-07T00:00:00"/>
    <s v="Paid"/>
    <s v="Credit Card"/>
    <n v="43"/>
    <n v="-13"/>
    <s v="No"/>
    <s v="Yes"/>
    <n v="0.01"/>
    <s v="No"/>
    <n v="0"/>
  </r>
  <r>
    <s v="AP-0103"/>
    <s v="VND-022"/>
    <s v="Apex Consulting"/>
    <x v="4"/>
    <x v="2"/>
    <s v="Ana Torres"/>
    <d v="2026-02-09T00:00:00"/>
    <d v="2026-03-11T00:00:00"/>
    <n v="30"/>
    <n v="3514.99"/>
    <n v="3514.99"/>
    <n v="0"/>
    <d v="2026-03-06T00:00:00"/>
    <s v="Paid"/>
    <s v="Check"/>
    <n v="25"/>
    <n v="5"/>
    <s v="Yes"/>
    <s v="Yes"/>
    <n v="0.01"/>
    <s v="No"/>
    <n v="0"/>
  </r>
  <r>
    <s v="AP-0104"/>
    <s v="VND-019"/>
    <s v="SkyNet IT Solutions"/>
    <x v="1"/>
    <x v="2"/>
    <s v="Laura Chen"/>
    <d v="2026-04-28T00:00:00"/>
    <d v="2026-05-28T00:00:00"/>
    <n v="30"/>
    <n v="6876.85"/>
    <n v="6876.85"/>
    <n v="0"/>
    <d v="2026-05-18T00:00:00"/>
    <s v="Paid"/>
    <s v="ACH"/>
    <n v="20"/>
    <n v="10"/>
    <s v="Yes"/>
    <s v="No"/>
    <n v="0"/>
    <s v="No"/>
    <n v="0"/>
  </r>
  <r>
    <s v="AP-0105"/>
    <s v="VND-008"/>
    <s v="GreenEnergy Corp."/>
    <x v="3"/>
    <x v="0"/>
    <s v="Pedro Alvarez"/>
    <d v="2025-04-30T00:00:00"/>
    <d v="2025-06-29T00:00:00"/>
    <n v="60"/>
    <n v="2526.77"/>
    <n v="2526.77"/>
    <n v="0"/>
    <d v="2025-06-26T00:00:00"/>
    <s v="Paid"/>
    <s v="Check"/>
    <n v="57"/>
    <n v="3"/>
    <s v="Yes"/>
    <s v="No"/>
    <n v="0"/>
    <s v="No"/>
    <n v="0"/>
  </r>
  <r>
    <s v="AP-0106"/>
    <s v="VND-018"/>
    <s v="BuildFast Materials"/>
    <x v="2"/>
    <x v="1"/>
    <s v="Pedro Alvarez"/>
    <d v="2026-03-06T00:00:00"/>
    <d v="2026-05-05T00:00:00"/>
    <n v="60"/>
    <n v="30192.34"/>
    <n v="21643.27"/>
    <n v="8549.07"/>
    <d v="2026-05-19T00:00:00"/>
    <s v="Partial"/>
    <s v="Credit Card"/>
    <n v="74"/>
    <n v="-14"/>
    <s v="No"/>
    <s v="No"/>
    <n v="0"/>
    <s v="No"/>
    <n v="0"/>
  </r>
  <r>
    <s v="AP-0107"/>
    <s v="VND-014"/>
    <s v="NetConnect Systems"/>
    <x v="1"/>
    <x v="4"/>
    <s v="Sofia Reyes"/>
    <d v="2026-03-31T00:00:00"/>
    <d v="2026-04-30T00:00:00"/>
    <n v="30"/>
    <n v="38352.19"/>
    <n v="38352.19"/>
    <n v="0"/>
    <d v="2026-04-30T00:00:00"/>
    <s v="Paid"/>
    <s v="Check"/>
    <n v="30"/>
    <n v="0"/>
    <s v="Yes"/>
    <s v="Yes"/>
    <n v="0.01"/>
    <s v="No"/>
    <n v="0"/>
  </r>
  <r>
    <s v="AP-0108"/>
    <s v="VND-012"/>
    <s v="FacilityPro Services"/>
    <x v="5"/>
    <x v="3"/>
    <s v="Laura Chen"/>
    <d v="2025-10-10T00:00:00"/>
    <d v="2025-12-09T00:00:00"/>
    <n v="60"/>
    <n v="8263.68"/>
    <n v="4357.92"/>
    <n v="3905.76"/>
    <d v="2025-12-25T00:00:00"/>
    <s v="Partial"/>
    <s v="ACH"/>
    <n v="76"/>
    <n v="-16"/>
    <s v="No"/>
    <s v="Yes"/>
    <n v="0.01"/>
    <s v="No"/>
    <n v="0"/>
  </r>
  <r>
    <s v="AP-0109"/>
    <s v="VND-007"/>
    <s v="ProStaff Services"/>
    <x v="4"/>
    <x v="3"/>
    <s v="Sofia Reyes"/>
    <d v="2025-09-07T00:00:00"/>
    <d v="2025-11-06T00:00:00"/>
    <n v="60"/>
    <n v="39586.370000000003"/>
    <n v="39586.370000000003"/>
    <n v="0"/>
    <d v="2025-11-10T00:00:00"/>
    <s v="Paid"/>
    <s v="ACH"/>
    <n v="64"/>
    <n v="-4"/>
    <s v="No"/>
    <s v="No"/>
    <n v="0"/>
    <s v="No"/>
    <n v="0"/>
  </r>
  <r>
    <s v="AP-0110"/>
    <s v="VND-019"/>
    <s v="SkyNet IT Solutions"/>
    <x v="1"/>
    <x v="1"/>
    <s v="Marco Diaz"/>
    <d v="2025-01-03T00:00:00"/>
    <d v="2025-02-02T00:00:00"/>
    <n v="30"/>
    <n v="25795.61"/>
    <n v="0"/>
    <n v="25795.61"/>
    <m/>
    <s v="Overdue"/>
    <s v="Check"/>
    <m/>
    <n v="-483"/>
    <s v="No"/>
    <s v="No"/>
    <n v="0"/>
    <s v="No"/>
    <n v="0"/>
  </r>
  <r>
    <s v="AP-0111"/>
    <s v="VND-018"/>
    <s v="BuildFast Materials"/>
    <x v="2"/>
    <x v="4"/>
    <s v="Marco Diaz"/>
    <d v="2025-05-15T00:00:00"/>
    <d v="2025-05-30T00:00:00"/>
    <n v="15"/>
    <n v="2713.3"/>
    <n v="2713.3"/>
    <n v="0"/>
    <d v="2025-05-22T00:00:00"/>
    <s v="Paid"/>
    <s v="ACH"/>
    <n v="7"/>
    <n v="8"/>
    <s v="Yes"/>
    <s v="No"/>
    <n v="0"/>
    <s v="No"/>
    <n v="0"/>
  </r>
  <r>
    <s v="AP-0112"/>
    <s v="VND-011"/>
    <s v="QuickFreight Inc."/>
    <x v="0"/>
    <x v="0"/>
    <s v="Marco Diaz"/>
    <d v="2025-05-10T00:00:00"/>
    <d v="2025-05-25T00:00:00"/>
    <n v="15"/>
    <n v="15092.64"/>
    <n v="15092.64"/>
    <n v="0"/>
    <d v="2025-05-12T00:00:00"/>
    <s v="Paid"/>
    <s v="Check"/>
    <n v="2"/>
    <n v="13"/>
    <s v="Yes"/>
    <s v="Yes"/>
    <n v="0.02"/>
    <s v="Yes"/>
    <n v="301.85000000000002"/>
  </r>
  <r>
    <s v="AP-0113"/>
    <s v="VND-017"/>
    <s v="OfficePro Services"/>
    <x v="4"/>
    <x v="3"/>
    <s v="Sofia Reyes"/>
    <d v="2025-02-14T00:00:00"/>
    <d v="2025-03-16T00:00:00"/>
    <n v="30"/>
    <n v="29907.99"/>
    <n v="29907.99"/>
    <n v="0"/>
    <d v="2025-03-18T00:00:00"/>
    <s v="Paid"/>
    <s v="Credit Card"/>
    <n v="32"/>
    <n v="-2"/>
    <s v="No"/>
    <s v="No"/>
    <n v="0"/>
    <s v="No"/>
    <n v="0"/>
  </r>
  <r>
    <s v="AP-0114"/>
    <s v="VND-010"/>
    <s v="DataBridge IT"/>
    <x v="1"/>
    <x v="2"/>
    <s v="Sofia Reyes"/>
    <d v="2026-02-16T00:00:00"/>
    <d v="2026-05-17T00:00:00"/>
    <n v="90"/>
    <n v="36970.519999999997"/>
    <n v="36970.519999999997"/>
    <n v="0"/>
    <d v="2026-05-22T00:00:00"/>
    <s v="Paid"/>
    <s v="ACH"/>
    <n v="95"/>
    <n v="-5"/>
    <s v="No"/>
    <s v="Yes"/>
    <n v="5.0000000000000001E-3"/>
    <s v="No"/>
    <n v="0"/>
  </r>
  <r>
    <s v="AP-0115"/>
    <s v="VND-005"/>
    <s v="CloudSys Inc."/>
    <x v="1"/>
    <x v="0"/>
    <s v="Marco Diaz"/>
    <d v="2026-01-26T00:00:00"/>
    <d v="2026-03-27T00:00:00"/>
    <n v="60"/>
    <n v="79597.08"/>
    <n v="79597.08"/>
    <n v="0"/>
    <d v="2026-03-23T00:00:00"/>
    <s v="Paid"/>
    <s v="Check"/>
    <n v="56"/>
    <n v="4"/>
    <s v="Yes"/>
    <s v="Yes"/>
    <n v="0.01"/>
    <s v="No"/>
    <n v="0"/>
  </r>
  <r>
    <s v="AP-0116"/>
    <s v="VND-020"/>
    <s v="TrustBuild Facilities"/>
    <x v="5"/>
    <x v="2"/>
    <s v="Sofia Reyes"/>
    <d v="2026-03-17T00:00:00"/>
    <d v="2026-04-16T00:00:00"/>
    <n v="30"/>
    <n v="16901.310000000001"/>
    <n v="16901.310000000001"/>
    <n v="0"/>
    <d v="2026-04-13T00:00:00"/>
    <s v="Paid"/>
    <s v="ACH"/>
    <n v="27"/>
    <n v="3"/>
    <s v="Yes"/>
    <s v="Yes"/>
    <n v="0.01"/>
    <s v="No"/>
    <n v="0"/>
  </r>
  <r>
    <s v="AP-0117"/>
    <s v="VND-014"/>
    <s v="NetConnect Systems"/>
    <x v="1"/>
    <x v="4"/>
    <s v="Laura Chen"/>
    <d v="2026-05-01T00:00:00"/>
    <d v="2026-05-31T00:00:00"/>
    <n v="30"/>
    <n v="10035"/>
    <n v="0"/>
    <n v="10035"/>
    <m/>
    <s v="Pending"/>
    <s v="Check"/>
    <m/>
    <m/>
    <m/>
    <s v="No"/>
    <n v="0"/>
    <s v="No"/>
    <n v="0"/>
  </r>
  <r>
    <s v="AP-0118"/>
    <s v="VND-024"/>
    <s v="EliteFacilities Corp."/>
    <x v="5"/>
    <x v="4"/>
    <s v="Marco Diaz"/>
    <d v="2025-05-06T00:00:00"/>
    <d v="2025-07-05T00:00:00"/>
    <n v="60"/>
    <n v="15556.68"/>
    <n v="0"/>
    <n v="15556.68"/>
    <m/>
    <s v="Overdue"/>
    <s v="ACH"/>
    <m/>
    <n v="-330"/>
    <s v="No"/>
    <s v="No"/>
    <n v="0"/>
    <s v="No"/>
    <n v="0"/>
  </r>
  <r>
    <s v="AP-0119"/>
    <s v="VND-014"/>
    <s v="NetConnect Systems"/>
    <x v="1"/>
    <x v="0"/>
    <s v="Laura Chen"/>
    <d v="2025-04-17T00:00:00"/>
    <d v="2025-06-16T00:00:00"/>
    <n v="60"/>
    <n v="48343.89"/>
    <n v="48343.89"/>
    <n v="0"/>
    <d v="2025-06-17T00:00:00"/>
    <s v="Paid"/>
    <s v="Check"/>
    <n v="61"/>
    <n v="-1"/>
    <s v="No"/>
    <s v="Yes"/>
    <n v="0.01"/>
    <s v="No"/>
    <n v="0"/>
  </r>
  <r>
    <s v="AP-0120"/>
    <s v="VND-008"/>
    <s v="GreenEnergy Corp."/>
    <x v="3"/>
    <x v="0"/>
    <s v="Laura Chen"/>
    <d v="2025-10-13T00:00:00"/>
    <d v="2025-11-12T00:00:00"/>
    <n v="30"/>
    <n v="8824.4500000000007"/>
    <n v="6947.25"/>
    <n v="1877.2"/>
    <d v="2025-11-26T00:00:00"/>
    <s v="Partial"/>
    <s v="Check"/>
    <n v="44"/>
    <n v="-14"/>
    <s v="No"/>
    <s v="No"/>
    <n v="0"/>
    <s v="No"/>
    <n v="0"/>
  </r>
  <r>
    <s v="AP-0121"/>
    <s v="VND-020"/>
    <s v="TrustBuild Facilities"/>
    <x v="5"/>
    <x v="3"/>
    <s v="Sofia Reyes"/>
    <d v="2025-07-04T00:00:00"/>
    <d v="2025-07-19T00:00:00"/>
    <n v="15"/>
    <n v="11017.92"/>
    <n v="0"/>
    <n v="11017.92"/>
    <m/>
    <s v="Overdue"/>
    <s v="Check"/>
    <m/>
    <n v="-316"/>
    <s v="No"/>
    <s v="No"/>
    <n v="0"/>
    <s v="No"/>
    <n v="0"/>
  </r>
  <r>
    <s v="AP-0122"/>
    <s v="VND-012"/>
    <s v="FacilityPro Services"/>
    <x v="5"/>
    <x v="0"/>
    <s v="Marco Diaz"/>
    <d v="2025-03-13T00:00:00"/>
    <d v="2025-05-12T00:00:00"/>
    <n v="60"/>
    <n v="6681.86"/>
    <n v="6681.86"/>
    <n v="0"/>
    <d v="2025-05-12T00:00:00"/>
    <s v="Paid"/>
    <s v="Wire"/>
    <n v="60"/>
    <n v="0"/>
    <s v="Yes"/>
    <s v="Yes"/>
    <n v="0.01"/>
    <s v="No"/>
    <n v="0"/>
  </r>
  <r>
    <s v="AP-0123"/>
    <s v="VND-014"/>
    <s v="NetConnect Systems"/>
    <x v="1"/>
    <x v="2"/>
    <s v="Laura Chen"/>
    <d v="2025-11-16T00:00:00"/>
    <d v="2026-01-15T00:00:00"/>
    <n v="60"/>
    <n v="59119.7"/>
    <n v="59119.7"/>
    <n v="0"/>
    <d v="2026-01-10T00:00:00"/>
    <s v="Paid"/>
    <s v="Wire"/>
    <n v="55"/>
    <n v="5"/>
    <s v="Yes"/>
    <s v="No"/>
    <n v="0"/>
    <s v="No"/>
    <n v="0"/>
  </r>
  <r>
    <s v="AP-0124"/>
    <s v="VND-003"/>
    <s v="FastShip Logistics"/>
    <x v="0"/>
    <x v="0"/>
    <s v="Marco Diaz"/>
    <d v="2025-03-25T00:00:00"/>
    <d v="2025-04-09T00:00:00"/>
    <n v="15"/>
    <n v="6169.95"/>
    <n v="6169.95"/>
    <n v="0"/>
    <d v="2025-04-04T00:00:00"/>
    <s v="Paid"/>
    <s v="Wire"/>
    <n v="10"/>
    <n v="5"/>
    <s v="Yes"/>
    <s v="Yes"/>
    <n v="0.02"/>
    <s v="No"/>
    <n v="0"/>
  </r>
  <r>
    <s v="AP-0125"/>
    <s v="VND-025"/>
    <s v="RapidShip Co."/>
    <x v="0"/>
    <x v="3"/>
    <s v="Sofia Reyes"/>
    <d v="2025-04-24T00:00:00"/>
    <d v="2025-06-23T00:00:00"/>
    <n v="60"/>
    <n v="6381.68"/>
    <n v="6381.68"/>
    <n v="0"/>
    <d v="2025-06-25T00:00:00"/>
    <s v="Paid"/>
    <s v="Check"/>
    <n v="62"/>
    <n v="-2"/>
    <s v="No"/>
    <s v="Yes"/>
    <n v="0.01"/>
    <s v="No"/>
    <n v="0"/>
  </r>
  <r>
    <s v="AP-0126"/>
    <s v="VND-022"/>
    <s v="Apex Consulting"/>
    <x v="4"/>
    <x v="4"/>
    <s v="Sofia Reyes"/>
    <d v="2025-02-26T00:00:00"/>
    <d v="2025-04-27T00:00:00"/>
    <n v="60"/>
    <n v="3284.42"/>
    <n v="3284.42"/>
    <n v="0"/>
    <d v="2025-04-30T00:00:00"/>
    <s v="Paid"/>
    <s v="Wire"/>
    <n v="63"/>
    <n v="-3"/>
    <s v="No"/>
    <s v="Yes"/>
    <n v="0.01"/>
    <s v="No"/>
    <n v="0"/>
  </r>
  <r>
    <s v="AP-0127"/>
    <s v="VND-011"/>
    <s v="QuickFreight Inc."/>
    <x v="0"/>
    <x v="0"/>
    <s v="Sofia Reyes"/>
    <d v="2025-06-29T00:00:00"/>
    <d v="2025-08-28T00:00:00"/>
    <n v="60"/>
    <n v="3454.53"/>
    <n v="3454.53"/>
    <n v="0"/>
    <d v="2025-09-01T00:00:00"/>
    <s v="Paid"/>
    <s v="Credit Card"/>
    <n v="64"/>
    <n v="-4"/>
    <s v="No"/>
    <s v="Yes"/>
    <n v="0.01"/>
    <s v="No"/>
    <n v="0"/>
  </r>
  <r>
    <s v="AP-0128"/>
    <s v="VND-018"/>
    <s v="BuildFast Materials"/>
    <x v="2"/>
    <x v="4"/>
    <s v="Sofia Reyes"/>
    <d v="2026-03-23T00:00:00"/>
    <d v="2026-04-07T00:00:00"/>
    <n v="15"/>
    <n v="2899.59"/>
    <n v="1701.19"/>
    <n v="1198.4000000000001"/>
    <d v="2026-04-24T00:00:00"/>
    <s v="Partial"/>
    <s v="Credit Card"/>
    <n v="32"/>
    <n v="-17"/>
    <s v="No"/>
    <s v="No"/>
    <n v="0"/>
    <s v="No"/>
    <n v="0"/>
  </r>
  <r>
    <s v="AP-0129"/>
    <s v="VND-021"/>
    <s v="PrimePack Logistics"/>
    <x v="0"/>
    <x v="2"/>
    <s v="Laura Chen"/>
    <d v="2025-01-22T00:00:00"/>
    <d v="2025-03-23T00:00:00"/>
    <n v="60"/>
    <n v="19357.79"/>
    <n v="0"/>
    <n v="19357.79"/>
    <m/>
    <s v="Overdue"/>
    <s v="ACH"/>
    <m/>
    <n v="-434"/>
    <s v="No"/>
    <s v="Yes"/>
    <n v="0.01"/>
    <s v="No"/>
    <n v="0"/>
  </r>
  <r>
    <s v="AP-0130"/>
    <s v="VND-015"/>
    <s v="ExpressRoute Logistics"/>
    <x v="0"/>
    <x v="4"/>
    <s v="Sofia Reyes"/>
    <d v="2025-09-07T00:00:00"/>
    <d v="2025-10-07T00:00:00"/>
    <n v="30"/>
    <n v="9277.85"/>
    <n v="9277.85"/>
    <n v="0"/>
    <d v="2025-10-16T00:00:00"/>
    <s v="Paid"/>
    <s v="Credit Card"/>
    <n v="39"/>
    <n v="-9"/>
    <s v="No"/>
    <s v="Yes"/>
    <n v="0.01"/>
    <s v="No"/>
    <n v="0"/>
  </r>
  <r>
    <s v="AP-0131"/>
    <s v="VND-008"/>
    <s v="GreenEnergy Corp."/>
    <x v="3"/>
    <x v="4"/>
    <s v="Marco Diaz"/>
    <d v="2025-07-18T00:00:00"/>
    <d v="2025-08-17T00:00:00"/>
    <n v="30"/>
    <n v="13635.88"/>
    <n v="13635.88"/>
    <n v="0"/>
    <d v="2025-08-08T00:00:00"/>
    <s v="Paid"/>
    <s v="ACH"/>
    <n v="21"/>
    <n v="9"/>
    <s v="Yes"/>
    <s v="Yes"/>
    <n v="0.01"/>
    <s v="No"/>
    <n v="0"/>
  </r>
  <r>
    <s v="AP-0132"/>
    <s v="VND-021"/>
    <s v="PrimePack Logistics"/>
    <x v="0"/>
    <x v="1"/>
    <s v="Marco Diaz"/>
    <d v="2025-09-20T00:00:00"/>
    <d v="2025-10-20T00:00:00"/>
    <n v="30"/>
    <n v="4748.16"/>
    <n v="4748.16"/>
    <n v="0"/>
    <d v="2025-10-18T00:00:00"/>
    <s v="Paid"/>
    <s v="ACH"/>
    <n v="28"/>
    <n v="2"/>
    <s v="Yes"/>
    <s v="Yes"/>
    <n v="0.01"/>
    <s v="No"/>
    <n v="0"/>
  </r>
  <r>
    <s v="AP-0133"/>
    <s v="VND-025"/>
    <s v="RapidShip Co."/>
    <x v="0"/>
    <x v="2"/>
    <s v="Pedro Alvarez"/>
    <d v="2025-11-20T00:00:00"/>
    <d v="2026-01-19T00:00:00"/>
    <n v="60"/>
    <n v="3868.19"/>
    <n v="3868.19"/>
    <n v="0"/>
    <d v="2026-01-15T00:00:00"/>
    <s v="Paid"/>
    <s v="Credit Card"/>
    <n v="56"/>
    <n v="4"/>
    <s v="Yes"/>
    <s v="Yes"/>
    <n v="0.01"/>
    <s v="No"/>
    <n v="0"/>
  </r>
  <r>
    <s v="AP-0134"/>
    <s v="VND-010"/>
    <s v="DataBridge IT"/>
    <x v="1"/>
    <x v="4"/>
    <s v="Ana Torres"/>
    <d v="2025-03-17T00:00:00"/>
    <d v="2025-05-16T00:00:00"/>
    <n v="60"/>
    <n v="28280.59"/>
    <n v="28280.59"/>
    <n v="0"/>
    <d v="2025-05-17T00:00:00"/>
    <s v="Paid"/>
    <s v="ACH"/>
    <n v="61"/>
    <n v="-1"/>
    <s v="No"/>
    <s v="Yes"/>
    <n v="0.01"/>
    <s v="No"/>
    <n v="0"/>
  </r>
  <r>
    <s v="AP-0135"/>
    <s v="VND-003"/>
    <s v="FastShip Logistics"/>
    <x v="0"/>
    <x v="3"/>
    <s v="Ana Torres"/>
    <d v="2025-02-12T00:00:00"/>
    <d v="2025-05-13T00:00:00"/>
    <n v="90"/>
    <n v="9544.94"/>
    <n v="9544.94"/>
    <n v="0"/>
    <d v="2025-05-11T00:00:00"/>
    <s v="Paid"/>
    <s v="Credit Card"/>
    <n v="88"/>
    <n v="2"/>
    <s v="Yes"/>
    <s v="No"/>
    <n v="0"/>
    <s v="No"/>
    <n v="0"/>
  </r>
  <r>
    <s v="AP-0136"/>
    <s v="VND-011"/>
    <s v="QuickFreight Inc."/>
    <x v="0"/>
    <x v="3"/>
    <s v="Pedro Alvarez"/>
    <d v="2026-04-07T00:00:00"/>
    <d v="2026-04-22T00:00:00"/>
    <n v="15"/>
    <n v="2966.54"/>
    <n v="2966.54"/>
    <n v="0"/>
    <d v="2026-04-18T00:00:00"/>
    <s v="Paid"/>
    <s v="Wire"/>
    <n v="11"/>
    <n v="4"/>
    <s v="Yes"/>
    <s v="No"/>
    <n v="0"/>
    <s v="No"/>
    <n v="0"/>
  </r>
  <r>
    <s v="AP-0137"/>
    <s v="VND-008"/>
    <s v="GreenEnergy Corp."/>
    <x v="3"/>
    <x v="2"/>
    <s v="Pedro Alvarez"/>
    <d v="2026-01-17T00:00:00"/>
    <d v="2026-03-18T00:00:00"/>
    <n v="60"/>
    <n v="13810.08"/>
    <n v="13810.08"/>
    <n v="0"/>
    <d v="2026-03-18T00:00:00"/>
    <s v="Paid"/>
    <s v="Wire"/>
    <n v="60"/>
    <n v="0"/>
    <s v="Yes"/>
    <s v="Yes"/>
    <n v="0.01"/>
    <s v="No"/>
    <n v="0"/>
  </r>
  <r>
    <s v="AP-0138"/>
    <s v="VND-022"/>
    <s v="Apex Consulting"/>
    <x v="4"/>
    <x v="3"/>
    <s v="Sofia Reyes"/>
    <d v="2025-12-04T00:00:00"/>
    <d v="2026-01-03T00:00:00"/>
    <n v="30"/>
    <n v="6496.72"/>
    <n v="6496.72"/>
    <n v="0"/>
    <d v="2026-01-02T00:00:00"/>
    <s v="Paid"/>
    <s v="Check"/>
    <n v="29"/>
    <n v="1"/>
    <s v="Yes"/>
    <s v="Yes"/>
    <n v="0.01"/>
    <s v="No"/>
    <n v="0"/>
  </r>
  <r>
    <s v="AP-0139"/>
    <s v="VND-020"/>
    <s v="TrustBuild Facilities"/>
    <x v="5"/>
    <x v="1"/>
    <s v="Laura Chen"/>
    <d v="2025-12-25T00:00:00"/>
    <d v="2026-01-24T00:00:00"/>
    <n v="30"/>
    <n v="12237.65"/>
    <n v="12237.65"/>
    <n v="0"/>
    <d v="2026-01-13T00:00:00"/>
    <s v="Paid"/>
    <s v="ACH"/>
    <n v="19"/>
    <n v="11"/>
    <s v="Yes"/>
    <s v="Yes"/>
    <n v="0.01"/>
    <s v="No"/>
    <n v="0"/>
  </r>
  <r>
    <s v="AP-0140"/>
    <s v="VND-005"/>
    <s v="CloudSys Inc."/>
    <x v="1"/>
    <x v="3"/>
    <s v="Sofia Reyes"/>
    <d v="2025-12-03T00:00:00"/>
    <d v="2026-02-01T00:00:00"/>
    <n v="60"/>
    <n v="65988.86"/>
    <n v="44172.11"/>
    <n v="21816.75"/>
    <d v="2026-02-17T00:00:00"/>
    <s v="Partial"/>
    <s v="Check"/>
    <n v="76"/>
    <n v="-16"/>
    <s v="No"/>
    <s v="Yes"/>
    <n v="0.01"/>
    <s v="No"/>
    <n v="0"/>
  </r>
  <r>
    <s v="AP-0141"/>
    <s v="VND-017"/>
    <s v="OfficePro Services"/>
    <x v="4"/>
    <x v="0"/>
    <s v="Pedro Alvarez"/>
    <d v="2026-01-07T00:00:00"/>
    <d v="2026-01-22T00:00:00"/>
    <n v="15"/>
    <n v="14428.04"/>
    <n v="14428.04"/>
    <n v="0"/>
    <d v="2026-01-22T00:00:00"/>
    <s v="Paid"/>
    <s v="Check"/>
    <n v="15"/>
    <n v="0"/>
    <s v="Yes"/>
    <s v="No"/>
    <n v="0"/>
    <s v="No"/>
    <n v="0"/>
  </r>
  <r>
    <s v="AP-0142"/>
    <s v="VND-005"/>
    <s v="CloudSys Inc."/>
    <x v="1"/>
    <x v="1"/>
    <s v="Sofia Reyes"/>
    <d v="2025-02-08T00:00:00"/>
    <d v="2025-03-10T00:00:00"/>
    <n v="30"/>
    <n v="54644.69"/>
    <n v="54644.69"/>
    <n v="0"/>
    <d v="2025-03-05T00:00:00"/>
    <s v="Paid"/>
    <s v="Check"/>
    <n v="25"/>
    <n v="5"/>
    <s v="Yes"/>
    <s v="No"/>
    <n v="0"/>
    <s v="No"/>
    <n v="0"/>
  </r>
  <r>
    <s v="AP-0143"/>
    <s v="VND-020"/>
    <s v="TrustBuild Facilities"/>
    <x v="5"/>
    <x v="2"/>
    <s v="Marco Diaz"/>
    <d v="2025-06-19T00:00:00"/>
    <d v="2025-07-19T00:00:00"/>
    <n v="30"/>
    <n v="25799.040000000001"/>
    <n v="25799.040000000001"/>
    <n v="0"/>
    <d v="2025-07-15T00:00:00"/>
    <s v="Paid"/>
    <s v="Wire"/>
    <n v="26"/>
    <n v="4"/>
    <s v="Yes"/>
    <s v="Yes"/>
    <n v="0.01"/>
    <s v="No"/>
    <n v="0"/>
  </r>
  <r>
    <s v="AP-0144"/>
    <s v="VND-020"/>
    <s v="TrustBuild Facilities"/>
    <x v="5"/>
    <x v="4"/>
    <s v="Pedro Alvarez"/>
    <d v="2025-11-13T00:00:00"/>
    <d v="2025-12-13T00:00:00"/>
    <n v="30"/>
    <n v="33864.69"/>
    <n v="0"/>
    <n v="33864.69"/>
    <m/>
    <s v="Overdue"/>
    <s v="Wire"/>
    <m/>
    <n v="-169"/>
    <s v="No"/>
    <s v="No"/>
    <n v="0"/>
    <s v="No"/>
    <n v="0"/>
  </r>
  <r>
    <s v="AP-0145"/>
    <s v="VND-007"/>
    <s v="ProStaff Services"/>
    <x v="4"/>
    <x v="4"/>
    <s v="Ana Torres"/>
    <d v="2025-10-16T00:00:00"/>
    <d v="2026-01-14T00:00:00"/>
    <n v="90"/>
    <n v="31790.59"/>
    <n v="31790.59"/>
    <n v="0"/>
    <d v="2025-12-25T00:00:00"/>
    <s v="Paid"/>
    <s v="Credit Card"/>
    <n v="70"/>
    <n v="20"/>
    <s v="Yes"/>
    <s v="Yes"/>
    <n v="5.0000000000000001E-3"/>
    <s v="No"/>
    <n v="0"/>
  </r>
  <r>
    <s v="AP-0146"/>
    <s v="VND-006"/>
    <s v="PowerGrid Utilities"/>
    <x v="3"/>
    <x v="1"/>
    <s v="Ana Torres"/>
    <d v="2025-02-23T00:00:00"/>
    <d v="2025-04-09T00:00:00"/>
    <n v="45"/>
    <n v="9797.1"/>
    <n v="9797.1"/>
    <n v="0"/>
    <d v="2025-04-21T00:00:00"/>
    <s v="Paid"/>
    <s v="Wire"/>
    <n v="57"/>
    <n v="-12"/>
    <s v="No"/>
    <s v="No"/>
    <n v="0"/>
    <s v="No"/>
    <n v="0"/>
  </r>
  <r>
    <s v="AP-0147"/>
    <s v="VND-004"/>
    <s v="BuildRight Materials"/>
    <x v="2"/>
    <x v="4"/>
    <s v="Sofia Reyes"/>
    <d v="2026-04-06T00:00:00"/>
    <d v="2026-05-21T00:00:00"/>
    <n v="45"/>
    <n v="45454.7"/>
    <n v="45454.7"/>
    <n v="0"/>
    <d v="2026-05-30T00:00:00"/>
    <s v="Paid"/>
    <s v="Wire"/>
    <n v="54"/>
    <n v="-9"/>
    <s v="No"/>
    <s v="Yes"/>
    <n v="1.4999999999999999E-2"/>
    <s v="No"/>
    <n v="0"/>
  </r>
  <r>
    <s v="AP-0148"/>
    <s v="VND-008"/>
    <s v="GreenEnergy Corp."/>
    <x v="3"/>
    <x v="2"/>
    <s v="Laura Chen"/>
    <d v="2025-02-24T00:00:00"/>
    <d v="2025-04-25T00:00:00"/>
    <n v="60"/>
    <n v="6248.58"/>
    <n v="6248.58"/>
    <n v="0"/>
    <d v="2025-04-29T00:00:00"/>
    <s v="Paid"/>
    <s v="ACH"/>
    <n v="64"/>
    <n v="-4"/>
    <s v="No"/>
    <s v="Yes"/>
    <n v="0.01"/>
    <s v="No"/>
    <n v="0"/>
  </r>
  <r>
    <s v="AP-0149"/>
    <s v="VND-011"/>
    <s v="QuickFreight Inc."/>
    <x v="0"/>
    <x v="0"/>
    <s v="Laura Chen"/>
    <d v="2025-02-09T00:00:00"/>
    <d v="2025-03-11T00:00:00"/>
    <n v="30"/>
    <n v="6450.71"/>
    <n v="6450.71"/>
    <n v="0"/>
    <d v="2025-03-13T00:00:00"/>
    <s v="Paid"/>
    <s v="Wire"/>
    <n v="32"/>
    <n v="-2"/>
    <s v="No"/>
    <s v="No"/>
    <n v="0"/>
    <s v="No"/>
    <n v="0"/>
  </r>
  <r>
    <s v="AP-0150"/>
    <s v="VND-005"/>
    <s v="CloudSys Inc."/>
    <x v="1"/>
    <x v="2"/>
    <s v="Pedro Alvarez"/>
    <d v="2025-01-20T00:00:00"/>
    <d v="2025-02-19T00:00:00"/>
    <n v="30"/>
    <n v="24194.29"/>
    <n v="24194.29"/>
    <n v="0"/>
    <d v="2025-02-18T00:00:00"/>
    <s v="Paid"/>
    <s v="ACH"/>
    <n v="29"/>
    <n v="1"/>
    <s v="Yes"/>
    <s v="No"/>
    <n v="0"/>
    <s v="No"/>
    <n v="0"/>
  </r>
  <r>
    <s v="AP-0151"/>
    <s v="VND-004"/>
    <s v="BuildRight Materials"/>
    <x v="2"/>
    <x v="4"/>
    <s v="Marco Diaz"/>
    <d v="2025-02-18T00:00:00"/>
    <d v="2025-03-20T00:00:00"/>
    <n v="30"/>
    <n v="13445.1"/>
    <n v="13445.1"/>
    <n v="0"/>
    <d v="2025-03-11T00:00:00"/>
    <s v="Paid"/>
    <s v="Check"/>
    <n v="21"/>
    <n v="9"/>
    <s v="Yes"/>
    <s v="Yes"/>
    <n v="0.01"/>
    <s v="No"/>
    <n v="0"/>
  </r>
  <r>
    <s v="AP-0152"/>
    <s v="VND-003"/>
    <s v="FastShip Logistics"/>
    <x v="0"/>
    <x v="0"/>
    <s v="Pedro Alvarez"/>
    <d v="2025-05-28T00:00:00"/>
    <d v="2025-06-27T00:00:00"/>
    <n v="30"/>
    <n v="6534.17"/>
    <n v="6534.17"/>
    <n v="0"/>
    <d v="2025-06-23T00:00:00"/>
    <s v="Paid"/>
    <s v="ACH"/>
    <n v="26"/>
    <n v="4"/>
    <s v="Yes"/>
    <s v="Yes"/>
    <n v="0.01"/>
    <s v="No"/>
    <n v="0"/>
  </r>
  <r>
    <s v="AP-0153"/>
    <s v="VND-022"/>
    <s v="Apex Consulting"/>
    <x v="4"/>
    <x v="0"/>
    <s v="Ana Torres"/>
    <d v="2025-01-21T00:00:00"/>
    <d v="2025-02-20T00:00:00"/>
    <n v="30"/>
    <n v="17446.79"/>
    <n v="17446.79"/>
    <n v="0"/>
    <d v="2025-02-18T00:00:00"/>
    <s v="Paid"/>
    <s v="Check"/>
    <n v="28"/>
    <n v="2"/>
    <s v="Yes"/>
    <s v="Yes"/>
    <n v="0.01"/>
    <s v="No"/>
    <n v="0"/>
  </r>
  <r>
    <s v="AP-0154"/>
    <s v="VND-012"/>
    <s v="FacilityPro Services"/>
    <x v="5"/>
    <x v="4"/>
    <s v="Sofia Reyes"/>
    <d v="2025-12-20T00:00:00"/>
    <d v="2026-01-19T00:00:00"/>
    <n v="30"/>
    <n v="9957.16"/>
    <n v="9957.16"/>
    <n v="0"/>
    <d v="2026-01-08T00:00:00"/>
    <s v="Paid"/>
    <s v="Check"/>
    <n v="19"/>
    <n v="11"/>
    <s v="Yes"/>
    <s v="Yes"/>
    <n v="0.01"/>
    <s v="No"/>
    <n v="0"/>
  </r>
  <r>
    <s v="AP-0155"/>
    <s v="VND-005"/>
    <s v="CloudSys Inc."/>
    <x v="1"/>
    <x v="0"/>
    <s v="Laura Chen"/>
    <d v="2026-04-21T00:00:00"/>
    <d v="2026-05-21T00:00:00"/>
    <n v="30"/>
    <n v="78561.440000000002"/>
    <n v="0"/>
    <n v="78561.440000000002"/>
    <m/>
    <s v="Pending"/>
    <s v="Check"/>
    <m/>
    <m/>
    <m/>
    <s v="Yes"/>
    <n v="0.01"/>
    <s v="No"/>
    <n v="0"/>
  </r>
  <r>
    <s v="AP-0156"/>
    <s v="VND-023"/>
    <s v="CoolTech Systems"/>
    <x v="1"/>
    <x v="2"/>
    <s v="Sofia Reyes"/>
    <d v="2025-02-14T00:00:00"/>
    <d v="2025-03-16T00:00:00"/>
    <n v="30"/>
    <n v="64333.19"/>
    <n v="64333.19"/>
    <n v="0"/>
    <d v="2025-03-10T00:00:00"/>
    <s v="Paid"/>
    <s v="Check"/>
    <n v="24"/>
    <n v="6"/>
    <s v="Yes"/>
    <s v="No"/>
    <n v="0"/>
    <s v="No"/>
    <n v="0"/>
  </r>
  <r>
    <s v="AP-0157"/>
    <s v="VND-010"/>
    <s v="DataBridge IT"/>
    <x v="1"/>
    <x v="3"/>
    <s v="Pedro Alvarez"/>
    <d v="2025-02-07T00:00:00"/>
    <d v="2025-03-24T00:00:00"/>
    <n v="45"/>
    <n v="61496.82"/>
    <n v="61496.82"/>
    <n v="0"/>
    <d v="2025-03-27T00:00:00"/>
    <s v="Paid"/>
    <s v="Credit Card"/>
    <n v="48"/>
    <n v="-3"/>
    <s v="No"/>
    <s v="Yes"/>
    <n v="1.4999999999999999E-2"/>
    <s v="No"/>
    <n v="0"/>
  </r>
  <r>
    <s v="AP-0158"/>
    <s v="VND-011"/>
    <s v="QuickFreight Inc."/>
    <x v="0"/>
    <x v="4"/>
    <s v="Sofia Reyes"/>
    <d v="2026-02-14T00:00:00"/>
    <d v="2026-04-15T00:00:00"/>
    <n v="60"/>
    <n v="15122.85"/>
    <n v="15122.85"/>
    <n v="0"/>
    <d v="2026-03-31T00:00:00"/>
    <s v="Paid"/>
    <s v="Check"/>
    <n v="45"/>
    <n v="15"/>
    <s v="Yes"/>
    <s v="No"/>
    <n v="0"/>
    <s v="No"/>
    <n v="0"/>
  </r>
  <r>
    <s v="AP-0159"/>
    <s v="VND-016"/>
    <s v="CleanWater Utilities"/>
    <x v="3"/>
    <x v="2"/>
    <s v="Laura Chen"/>
    <d v="2026-03-11T00:00:00"/>
    <d v="2026-04-10T00:00:00"/>
    <n v="30"/>
    <n v="1644.44"/>
    <n v="757.44"/>
    <n v="887"/>
    <d v="2026-04-07T00:00:00"/>
    <s v="Partial"/>
    <s v="Check"/>
    <n v="27"/>
    <n v="3"/>
    <s v="Yes"/>
    <s v="Yes"/>
    <n v="0.01"/>
    <s v="No"/>
    <n v="0"/>
  </r>
  <r>
    <s v="AP-0160"/>
    <s v="VND-011"/>
    <s v="QuickFreight Inc."/>
    <x v="0"/>
    <x v="4"/>
    <s v="Laura Chen"/>
    <d v="2025-06-20T00:00:00"/>
    <d v="2025-08-19T00:00:00"/>
    <n v="60"/>
    <n v="14105.53"/>
    <n v="14105.53"/>
    <n v="0"/>
    <d v="2025-08-24T00:00:00"/>
    <s v="Paid"/>
    <s v="Credit Card"/>
    <n v="65"/>
    <n v="-5"/>
    <s v="No"/>
    <s v="Yes"/>
    <n v="0.01"/>
    <s v="No"/>
    <n v="0"/>
  </r>
  <r>
    <s v="AP-0161"/>
    <s v="VND-014"/>
    <s v="NetConnect Systems"/>
    <x v="1"/>
    <x v="4"/>
    <s v="Sofia Reyes"/>
    <d v="2026-01-08T00:00:00"/>
    <d v="2026-03-09T00:00:00"/>
    <n v="60"/>
    <n v="43481.45"/>
    <n v="43481.45"/>
    <n v="0"/>
    <d v="2026-03-04T00:00:00"/>
    <s v="Paid"/>
    <s v="ACH"/>
    <n v="55"/>
    <n v="5"/>
    <s v="Yes"/>
    <s v="No"/>
    <n v="0"/>
    <s v="No"/>
    <n v="0"/>
  </r>
  <r>
    <s v="AP-0162"/>
    <s v="VND-001"/>
    <s v="Acme Supplies Co."/>
    <x v="2"/>
    <x v="1"/>
    <s v="Ana Torres"/>
    <d v="2025-05-10T00:00:00"/>
    <d v="2025-05-25T00:00:00"/>
    <n v="15"/>
    <n v="5227.2"/>
    <n v="5227.2"/>
    <n v="0"/>
    <d v="2025-05-18T00:00:00"/>
    <s v="Paid"/>
    <s v="Credit Card"/>
    <n v="8"/>
    <n v="7"/>
    <s v="Yes"/>
    <s v="No"/>
    <n v="0"/>
    <s v="No"/>
    <n v="0"/>
  </r>
  <r>
    <s v="AP-0163"/>
    <s v="VND-020"/>
    <s v="TrustBuild Facilities"/>
    <x v="5"/>
    <x v="1"/>
    <s v="Pedro Alvarez"/>
    <d v="2026-03-31T00:00:00"/>
    <d v="2026-05-30T00:00:00"/>
    <n v="60"/>
    <n v="27181.79"/>
    <n v="0"/>
    <n v="27181.79"/>
    <m/>
    <s v="Pending"/>
    <s v="Check"/>
    <m/>
    <m/>
    <m/>
    <s v="Yes"/>
    <n v="0.01"/>
    <s v="No"/>
    <n v="0"/>
  </r>
  <r>
    <s v="AP-0164"/>
    <s v="VND-021"/>
    <s v="PrimePack Logistics"/>
    <x v="0"/>
    <x v="4"/>
    <s v="Marco Diaz"/>
    <d v="2025-07-10T00:00:00"/>
    <d v="2025-07-25T00:00:00"/>
    <n v="15"/>
    <n v="10481.84"/>
    <n v="10481.84"/>
    <n v="0"/>
    <d v="2025-07-31T00:00:00"/>
    <s v="Paid"/>
    <s v="ACH"/>
    <n v="21"/>
    <n v="-6"/>
    <s v="No"/>
    <s v="Yes"/>
    <n v="0.02"/>
    <s v="No"/>
    <n v="0"/>
  </r>
  <r>
    <s v="AP-0165"/>
    <s v="VND-009"/>
    <s v="MetalWorks Ltd."/>
    <x v="2"/>
    <x v="4"/>
    <s v="Pedro Alvarez"/>
    <d v="2026-05-18T00:00:00"/>
    <d v="2026-07-02T00:00:00"/>
    <n v="45"/>
    <n v="11608.56"/>
    <n v="0"/>
    <n v="11608.56"/>
    <m/>
    <s v="Pending"/>
    <s v="Wire"/>
    <m/>
    <m/>
    <m/>
    <s v="Yes"/>
    <n v="1.4999999999999999E-2"/>
    <s v="No"/>
    <n v="0"/>
  </r>
  <r>
    <s v="AP-0166"/>
    <s v="VND-023"/>
    <s v="CoolTech Systems"/>
    <x v="1"/>
    <x v="2"/>
    <s v="Sofia Reyes"/>
    <d v="2025-03-08T00:00:00"/>
    <d v="2025-05-07T00:00:00"/>
    <n v="60"/>
    <n v="46249.79"/>
    <n v="46249.79"/>
    <n v="0"/>
    <d v="2025-05-13T00:00:00"/>
    <s v="Paid"/>
    <s v="Check"/>
    <n v="66"/>
    <n v="-6"/>
    <s v="No"/>
    <s v="Yes"/>
    <n v="0.01"/>
    <s v="No"/>
    <n v="0"/>
  </r>
  <r>
    <s v="AP-0167"/>
    <s v="VND-023"/>
    <s v="CoolTech Systems"/>
    <x v="1"/>
    <x v="1"/>
    <s v="Laura Chen"/>
    <d v="2025-07-25T00:00:00"/>
    <d v="2025-08-24T00:00:00"/>
    <n v="30"/>
    <n v="64404.93"/>
    <n v="64404.93"/>
    <n v="0"/>
    <d v="2025-09-03T00:00:00"/>
    <s v="Paid"/>
    <s v="Wire"/>
    <n v="40"/>
    <n v="-10"/>
    <s v="No"/>
    <s v="Yes"/>
    <n v="0.01"/>
    <s v="No"/>
    <n v="0"/>
  </r>
  <r>
    <s v="AP-0168"/>
    <s v="VND-012"/>
    <s v="FacilityPro Services"/>
    <x v="5"/>
    <x v="3"/>
    <s v="Ana Torres"/>
    <d v="2025-05-13T00:00:00"/>
    <d v="2025-08-11T00:00:00"/>
    <n v="90"/>
    <n v="22194.3"/>
    <n v="22194.3"/>
    <n v="0"/>
    <d v="2025-08-23T00:00:00"/>
    <s v="Paid"/>
    <s v="Check"/>
    <n v="102"/>
    <n v="-12"/>
    <s v="No"/>
    <s v="Yes"/>
    <n v="5.0000000000000001E-3"/>
    <s v="No"/>
    <n v="0"/>
  </r>
  <r>
    <s v="AP-0169"/>
    <s v="VND-017"/>
    <s v="OfficePro Services"/>
    <x v="4"/>
    <x v="2"/>
    <s v="Pedro Alvarez"/>
    <d v="2025-11-21T00:00:00"/>
    <d v="2025-12-21T00:00:00"/>
    <n v="30"/>
    <n v="26766.53"/>
    <n v="26766.53"/>
    <n v="0"/>
    <d v="2025-12-21T00:00:00"/>
    <s v="Paid"/>
    <s v="ACH"/>
    <n v="30"/>
    <n v="0"/>
    <s v="Yes"/>
    <s v="Yes"/>
    <n v="0.01"/>
    <s v="No"/>
    <n v="0"/>
  </r>
  <r>
    <s v="AP-0170"/>
    <s v="VND-012"/>
    <s v="FacilityPro Services"/>
    <x v="5"/>
    <x v="1"/>
    <s v="Ana Torres"/>
    <d v="2026-03-20T00:00:00"/>
    <d v="2026-04-19T00:00:00"/>
    <n v="30"/>
    <n v="18594.5"/>
    <n v="8405.8700000000008"/>
    <n v="10188.629999999999"/>
    <d v="2026-04-19T00:00:00"/>
    <s v="Partial"/>
    <s v="Wire"/>
    <n v="30"/>
    <n v="0"/>
    <s v="Yes"/>
    <s v="No"/>
    <n v="0"/>
    <s v="No"/>
    <n v="0"/>
  </r>
  <r>
    <s v="AP-0171"/>
    <s v="VND-011"/>
    <s v="QuickFreight Inc."/>
    <x v="0"/>
    <x v="1"/>
    <s v="Laura Chen"/>
    <d v="2025-09-14T00:00:00"/>
    <d v="2025-10-14T00:00:00"/>
    <n v="30"/>
    <n v="4729.74"/>
    <n v="4729.74"/>
    <n v="0"/>
    <d v="2025-10-07T00:00:00"/>
    <s v="Paid"/>
    <s v="Check"/>
    <n v="23"/>
    <n v="7"/>
    <s v="Yes"/>
    <s v="No"/>
    <n v="0"/>
    <s v="No"/>
    <n v="0"/>
  </r>
  <r>
    <s v="AP-0172"/>
    <s v="VND-003"/>
    <s v="FastShip Logistics"/>
    <x v="0"/>
    <x v="3"/>
    <s v="Marco Diaz"/>
    <d v="2025-12-12T00:00:00"/>
    <d v="2026-01-11T00:00:00"/>
    <n v="30"/>
    <n v="17008.07"/>
    <n v="5343.71"/>
    <n v="11664.36"/>
    <d v="2026-01-07T00:00:00"/>
    <s v="Partial"/>
    <s v="Wire"/>
    <n v="26"/>
    <n v="4"/>
    <s v="Yes"/>
    <s v="Yes"/>
    <n v="0.01"/>
    <s v="No"/>
    <n v="0"/>
  </r>
  <r>
    <s v="AP-0173"/>
    <s v="VND-021"/>
    <s v="PrimePack Logistics"/>
    <x v="0"/>
    <x v="3"/>
    <s v="Laura Chen"/>
    <d v="2025-02-01T00:00:00"/>
    <d v="2025-04-02T00:00:00"/>
    <n v="60"/>
    <n v="10462.719999999999"/>
    <n v="10462.719999999999"/>
    <n v="0"/>
    <d v="2025-03-26T00:00:00"/>
    <s v="Paid"/>
    <s v="Wire"/>
    <n v="53"/>
    <n v="7"/>
    <s v="Yes"/>
    <s v="Yes"/>
    <n v="0.01"/>
    <s v="No"/>
    <n v="0"/>
  </r>
  <r>
    <s v="AP-0174"/>
    <s v="VND-010"/>
    <s v="DataBridge IT"/>
    <x v="1"/>
    <x v="2"/>
    <s v="Marco Diaz"/>
    <d v="2026-04-10T00:00:00"/>
    <d v="2026-05-25T00:00:00"/>
    <n v="45"/>
    <n v="10472.98"/>
    <n v="10472.98"/>
    <n v="0"/>
    <d v="2026-05-28T00:00:00"/>
    <s v="Paid"/>
    <s v="Credit Card"/>
    <n v="48"/>
    <n v="-3"/>
    <s v="No"/>
    <s v="Yes"/>
    <n v="1.4999999999999999E-2"/>
    <s v="No"/>
    <n v="0"/>
  </r>
  <r>
    <s v="AP-0175"/>
    <s v="VND-011"/>
    <s v="QuickFreight Inc."/>
    <x v="0"/>
    <x v="4"/>
    <s v="Laura Chen"/>
    <d v="2026-01-15T00:00:00"/>
    <d v="2026-02-14T00:00:00"/>
    <n v="30"/>
    <n v="10784.62"/>
    <n v="10784.62"/>
    <n v="0"/>
    <d v="2026-02-24T00:00:00"/>
    <s v="Paid"/>
    <s v="Credit Card"/>
    <n v="40"/>
    <n v="-10"/>
    <s v="No"/>
    <s v="Yes"/>
    <n v="0.01"/>
    <s v="No"/>
    <n v="0"/>
  </r>
  <r>
    <s v="AP-0176"/>
    <s v="VND-004"/>
    <s v="BuildRight Materials"/>
    <x v="2"/>
    <x v="4"/>
    <s v="Pedro Alvarez"/>
    <d v="2025-04-10T00:00:00"/>
    <d v="2025-05-10T00:00:00"/>
    <n v="30"/>
    <n v="4429.05"/>
    <n v="2254.6799999999998"/>
    <n v="2174.37"/>
    <d v="2025-05-10T00:00:00"/>
    <s v="Partial"/>
    <s v="Wire"/>
    <n v="30"/>
    <n v="0"/>
    <s v="Yes"/>
    <s v="No"/>
    <n v="0"/>
    <s v="No"/>
    <n v="0"/>
  </r>
  <r>
    <s v="AP-0177"/>
    <s v="VND-011"/>
    <s v="QuickFreight Inc."/>
    <x v="0"/>
    <x v="3"/>
    <s v="Laura Chen"/>
    <d v="2026-05-26T00:00:00"/>
    <d v="2026-06-25T00:00:00"/>
    <n v="30"/>
    <n v="19923.419999999998"/>
    <n v="6874.07"/>
    <n v="13049.35"/>
    <d v="2026-05-31T00:00:00"/>
    <s v="Partial"/>
    <s v="Wire"/>
    <n v="5"/>
    <n v="25"/>
    <s v="Yes"/>
    <s v="Yes"/>
    <n v="0.01"/>
    <s v="No"/>
    <n v="0"/>
  </r>
  <r>
    <s v="AP-0178"/>
    <s v="VND-017"/>
    <s v="OfficePro Services"/>
    <x v="4"/>
    <x v="2"/>
    <s v="Marco Diaz"/>
    <d v="2025-02-19T00:00:00"/>
    <d v="2025-04-20T00:00:00"/>
    <n v="60"/>
    <n v="4869.99"/>
    <n v="3054.12"/>
    <n v="1815.87"/>
    <d v="2025-04-30T00:00:00"/>
    <s v="Partial"/>
    <s v="Wire"/>
    <n v="70"/>
    <n v="-10"/>
    <s v="No"/>
    <s v="Yes"/>
    <n v="0.01"/>
    <s v="No"/>
    <n v="0"/>
  </r>
  <r>
    <s v="AP-0179"/>
    <s v="VND-010"/>
    <s v="DataBridge IT"/>
    <x v="1"/>
    <x v="3"/>
    <s v="Sofia Reyes"/>
    <d v="2025-05-18T00:00:00"/>
    <d v="2025-07-17T00:00:00"/>
    <n v="60"/>
    <n v="71184.179999999993"/>
    <n v="71184.179999999993"/>
    <n v="0"/>
    <d v="2025-07-12T00:00:00"/>
    <s v="Paid"/>
    <s v="ACH"/>
    <n v="55"/>
    <n v="5"/>
    <s v="Yes"/>
    <s v="No"/>
    <n v="0"/>
    <s v="No"/>
    <n v="0"/>
  </r>
  <r>
    <s v="AP-0180"/>
    <s v="VND-019"/>
    <s v="SkyNet IT Solutions"/>
    <x v="1"/>
    <x v="3"/>
    <s v="Marco Diaz"/>
    <d v="2025-03-17T00:00:00"/>
    <d v="2025-05-01T00:00:00"/>
    <n v="45"/>
    <n v="33976.160000000003"/>
    <n v="33976.160000000003"/>
    <n v="0"/>
    <d v="2025-05-07T00:00:00"/>
    <s v="Paid"/>
    <s v="Check"/>
    <n v="51"/>
    <n v="-6"/>
    <s v="No"/>
    <s v="Yes"/>
    <n v="1.4999999999999999E-2"/>
    <s v="No"/>
    <n v="0"/>
  </r>
  <r>
    <s v="AP-0181"/>
    <s v="VND-020"/>
    <s v="TrustBuild Facilities"/>
    <x v="5"/>
    <x v="3"/>
    <s v="Sofia Reyes"/>
    <d v="2026-02-08T00:00:00"/>
    <d v="2026-03-10T00:00:00"/>
    <n v="30"/>
    <n v="14315.55"/>
    <n v="14315.55"/>
    <n v="0"/>
    <d v="2026-03-08T00:00:00"/>
    <s v="Paid"/>
    <s v="Wire"/>
    <n v="28"/>
    <n v="2"/>
    <s v="Yes"/>
    <s v="No"/>
    <n v="0"/>
    <s v="No"/>
    <n v="0"/>
  </r>
  <r>
    <s v="AP-0182"/>
    <s v="VND-020"/>
    <s v="TrustBuild Facilities"/>
    <x v="5"/>
    <x v="3"/>
    <s v="Pedro Alvarez"/>
    <d v="2025-02-09T00:00:00"/>
    <d v="2025-02-24T00:00:00"/>
    <n v="15"/>
    <n v="6522.2"/>
    <n v="6522.2"/>
    <n v="0"/>
    <d v="2025-02-27T00:00:00"/>
    <s v="Paid"/>
    <s v="ACH"/>
    <n v="18"/>
    <n v="-3"/>
    <s v="No"/>
    <s v="Yes"/>
    <n v="0.02"/>
    <s v="No"/>
    <n v="0"/>
  </r>
  <r>
    <s v="AP-0183"/>
    <s v="VND-015"/>
    <s v="ExpressRoute Logistics"/>
    <x v="0"/>
    <x v="1"/>
    <s v="Ana Torres"/>
    <d v="2025-11-23T00:00:00"/>
    <d v="2026-01-22T00:00:00"/>
    <n v="60"/>
    <n v="4087.54"/>
    <n v="4087.54"/>
    <n v="0"/>
    <d v="2026-01-20T00:00:00"/>
    <s v="Paid"/>
    <s v="Wire"/>
    <n v="58"/>
    <n v="2"/>
    <s v="Yes"/>
    <s v="No"/>
    <n v="0"/>
    <s v="No"/>
    <n v="0"/>
  </r>
  <r>
    <s v="AP-0184"/>
    <s v="VND-017"/>
    <s v="OfficePro Services"/>
    <x v="4"/>
    <x v="3"/>
    <s v="Pedro Alvarez"/>
    <d v="2025-01-18T00:00:00"/>
    <d v="2025-04-18T00:00:00"/>
    <n v="90"/>
    <n v="16629.240000000002"/>
    <n v="0"/>
    <n v="16629.240000000002"/>
    <m/>
    <s v="Overdue"/>
    <s v="Check"/>
    <m/>
    <n v="-408"/>
    <s v="No"/>
    <s v="Yes"/>
    <n v="5.0000000000000001E-3"/>
    <s v="No"/>
    <n v="0"/>
  </r>
  <r>
    <s v="AP-0185"/>
    <s v="VND-019"/>
    <s v="SkyNet IT Solutions"/>
    <x v="1"/>
    <x v="4"/>
    <s v="Sofia Reyes"/>
    <d v="2025-08-22T00:00:00"/>
    <d v="2025-10-06T00:00:00"/>
    <n v="45"/>
    <n v="59105.01"/>
    <n v="59105.01"/>
    <n v="0"/>
    <d v="2025-10-12T00:00:00"/>
    <s v="Paid"/>
    <s v="Credit Card"/>
    <n v="51"/>
    <n v="-6"/>
    <s v="No"/>
    <s v="Yes"/>
    <n v="1.4999999999999999E-2"/>
    <s v="No"/>
    <n v="0"/>
  </r>
  <r>
    <s v="AP-0186"/>
    <s v="VND-021"/>
    <s v="PrimePack Logistics"/>
    <x v="0"/>
    <x v="3"/>
    <s v="Pedro Alvarez"/>
    <d v="2025-02-02T00:00:00"/>
    <d v="2025-03-04T00:00:00"/>
    <n v="30"/>
    <n v="11878.84"/>
    <n v="11878.84"/>
    <n v="0"/>
    <d v="2025-02-25T00:00:00"/>
    <s v="Paid"/>
    <s v="Wire"/>
    <n v="23"/>
    <n v="7"/>
    <s v="Yes"/>
    <s v="No"/>
    <n v="0"/>
    <s v="No"/>
    <n v="0"/>
  </r>
  <r>
    <s v="AP-0187"/>
    <s v="VND-014"/>
    <s v="NetConnect Systems"/>
    <x v="1"/>
    <x v="1"/>
    <s v="Pedro Alvarez"/>
    <d v="2025-05-22T00:00:00"/>
    <d v="2025-06-06T00:00:00"/>
    <n v="15"/>
    <n v="43901.24"/>
    <n v="0"/>
    <n v="43901.24"/>
    <m/>
    <s v="Overdue"/>
    <s v="Credit Card"/>
    <m/>
    <n v="-359"/>
    <s v="No"/>
    <s v="Yes"/>
    <n v="0.02"/>
    <s v="No"/>
    <n v="0"/>
  </r>
  <r>
    <s v="AP-0188"/>
    <s v="VND-016"/>
    <s v="CleanWater Utilities"/>
    <x v="3"/>
    <x v="3"/>
    <s v="Pedro Alvarez"/>
    <d v="2026-04-16T00:00:00"/>
    <d v="2026-05-16T00:00:00"/>
    <n v="30"/>
    <n v="13725.8"/>
    <n v="13725.8"/>
    <n v="0"/>
    <d v="2026-05-19T00:00:00"/>
    <s v="Paid"/>
    <s v="Check"/>
    <n v="33"/>
    <n v="-3"/>
    <s v="No"/>
    <s v="Yes"/>
    <n v="0.01"/>
    <s v="No"/>
    <n v="0"/>
  </r>
  <r>
    <s v="AP-0189"/>
    <s v="VND-024"/>
    <s v="EliteFacilities Corp."/>
    <x v="5"/>
    <x v="4"/>
    <s v="Ana Torres"/>
    <d v="2025-09-10T00:00:00"/>
    <d v="2025-10-10T00:00:00"/>
    <n v="30"/>
    <n v="11207.21"/>
    <n v="0"/>
    <n v="11207.21"/>
    <m/>
    <s v="Overdue"/>
    <s v="Credit Card"/>
    <m/>
    <n v="-233"/>
    <s v="No"/>
    <s v="Yes"/>
    <n v="0.01"/>
    <s v="No"/>
    <n v="0"/>
  </r>
  <r>
    <s v="AP-0190"/>
    <s v="VND-010"/>
    <s v="DataBridge IT"/>
    <x v="1"/>
    <x v="4"/>
    <s v="Marco Diaz"/>
    <d v="2026-05-07T00:00:00"/>
    <d v="2026-07-06T00:00:00"/>
    <n v="60"/>
    <n v="31160.240000000002"/>
    <n v="0"/>
    <n v="31160.240000000002"/>
    <m/>
    <s v="Pending"/>
    <s v="Credit Card"/>
    <m/>
    <m/>
    <m/>
    <s v="No"/>
    <n v="0"/>
    <s v="No"/>
    <n v="0"/>
  </r>
  <r>
    <s v="AP-0191"/>
    <s v="VND-004"/>
    <s v="BuildRight Materials"/>
    <x v="2"/>
    <x v="3"/>
    <s v="Ana Torres"/>
    <d v="2025-12-20T00:00:00"/>
    <d v="2026-02-18T00:00:00"/>
    <n v="60"/>
    <n v="47821.23"/>
    <n v="47821.23"/>
    <n v="0"/>
    <d v="2026-02-16T00:00:00"/>
    <s v="Paid"/>
    <s v="Credit Card"/>
    <n v="58"/>
    <n v="2"/>
    <s v="Yes"/>
    <s v="No"/>
    <n v="0"/>
    <s v="No"/>
    <n v="0"/>
  </r>
  <r>
    <s v="AP-0192"/>
    <s v="VND-012"/>
    <s v="FacilityPro Services"/>
    <x v="5"/>
    <x v="2"/>
    <s v="Laura Chen"/>
    <d v="2025-07-26T00:00:00"/>
    <d v="2025-08-25T00:00:00"/>
    <n v="30"/>
    <n v="29322.41"/>
    <n v="29322.41"/>
    <n v="0"/>
    <d v="2025-09-06T00:00:00"/>
    <s v="Paid"/>
    <s v="Credit Card"/>
    <n v="42"/>
    <n v="-12"/>
    <s v="No"/>
    <s v="Yes"/>
    <n v="0.01"/>
    <s v="No"/>
    <n v="0"/>
  </r>
  <r>
    <s v="AP-0193"/>
    <s v="VND-009"/>
    <s v="MetalWorks Ltd."/>
    <x v="2"/>
    <x v="1"/>
    <s v="Sofia Reyes"/>
    <d v="2025-02-21T00:00:00"/>
    <d v="2025-03-23T00:00:00"/>
    <n v="30"/>
    <n v="34152.03"/>
    <n v="34152.03"/>
    <n v="0"/>
    <d v="2025-03-30T00:00:00"/>
    <s v="Paid"/>
    <s v="Wire"/>
    <n v="37"/>
    <n v="-7"/>
    <s v="No"/>
    <s v="Yes"/>
    <n v="0.01"/>
    <s v="No"/>
    <n v="0"/>
  </r>
  <r>
    <s v="AP-0194"/>
    <s v="VND-023"/>
    <s v="CoolTech Systems"/>
    <x v="1"/>
    <x v="2"/>
    <s v="Sofia Reyes"/>
    <d v="2025-06-11T00:00:00"/>
    <d v="2025-06-26T00:00:00"/>
    <n v="15"/>
    <n v="35518.06"/>
    <n v="19134.439999999999"/>
    <n v="16383.62"/>
    <d v="2025-06-27T00:00:00"/>
    <s v="Partial"/>
    <s v="Wire"/>
    <n v="16"/>
    <n v="-1"/>
    <s v="No"/>
    <s v="No"/>
    <n v="0"/>
    <s v="No"/>
    <n v="0"/>
  </r>
  <r>
    <s v="AP-0195"/>
    <s v="VND-025"/>
    <s v="RapidShip Co."/>
    <x v="0"/>
    <x v="4"/>
    <s v="Laura Chen"/>
    <d v="2025-04-02T00:00:00"/>
    <d v="2025-04-17T00:00:00"/>
    <n v="15"/>
    <n v="13393.68"/>
    <n v="13393.68"/>
    <n v="0"/>
    <d v="2025-04-19T00:00:00"/>
    <s v="Paid"/>
    <s v="Check"/>
    <n v="17"/>
    <n v="-2"/>
    <s v="No"/>
    <s v="Yes"/>
    <n v="0.02"/>
    <s v="No"/>
    <n v="0"/>
  </r>
  <r>
    <s v="AP-0196"/>
    <s v="VND-002"/>
    <s v="TechCore Solutions"/>
    <x v="1"/>
    <x v="1"/>
    <s v="Pedro Alvarez"/>
    <d v="2026-02-11T00:00:00"/>
    <d v="2026-02-26T00:00:00"/>
    <n v="15"/>
    <n v="64097.05"/>
    <n v="64097.05"/>
    <n v="0"/>
    <d v="2026-03-02T00:00:00"/>
    <s v="Paid"/>
    <s v="Wire"/>
    <n v="19"/>
    <n v="-4"/>
    <s v="No"/>
    <s v="Yes"/>
    <n v="0.02"/>
    <s v="No"/>
    <n v="0"/>
  </r>
  <r>
    <s v="AP-0197"/>
    <s v="VND-002"/>
    <s v="TechCore Solutions"/>
    <x v="1"/>
    <x v="0"/>
    <s v="Laura Chen"/>
    <d v="2025-10-19T00:00:00"/>
    <d v="2025-12-18T00:00:00"/>
    <n v="60"/>
    <n v="39076.18"/>
    <n v="39076.18"/>
    <n v="0"/>
    <d v="2025-12-14T00:00:00"/>
    <s v="Paid"/>
    <s v="ACH"/>
    <n v="56"/>
    <n v="4"/>
    <s v="Yes"/>
    <s v="Yes"/>
    <n v="0.01"/>
    <s v="No"/>
    <n v="0"/>
  </r>
  <r>
    <s v="AP-0198"/>
    <s v="VND-005"/>
    <s v="CloudSys Inc."/>
    <x v="1"/>
    <x v="3"/>
    <s v="Pedro Alvarez"/>
    <d v="2025-04-26T00:00:00"/>
    <d v="2025-05-26T00:00:00"/>
    <n v="30"/>
    <n v="29801.31"/>
    <n v="29801.31"/>
    <n v="0"/>
    <d v="2025-05-26T00:00:00"/>
    <s v="Paid"/>
    <s v="Check"/>
    <n v="30"/>
    <n v="0"/>
    <s v="Yes"/>
    <s v="No"/>
    <n v="0"/>
    <s v="No"/>
    <n v="0"/>
  </r>
  <r>
    <s v="AP-0199"/>
    <s v="VND-011"/>
    <s v="QuickFreight Inc."/>
    <x v="0"/>
    <x v="4"/>
    <s v="Ana Torres"/>
    <d v="2026-02-20T00:00:00"/>
    <d v="2026-03-22T00:00:00"/>
    <n v="30"/>
    <n v="16712.810000000001"/>
    <n v="16712.810000000001"/>
    <n v="0"/>
    <d v="2026-03-21T00:00:00"/>
    <s v="Paid"/>
    <s v="Wire"/>
    <n v="29"/>
    <n v="1"/>
    <s v="Yes"/>
    <s v="Yes"/>
    <n v="0.01"/>
    <s v="No"/>
    <n v="0"/>
  </r>
  <r>
    <s v="AP-0200"/>
    <s v="VND-022"/>
    <s v="Apex Consulting"/>
    <x v="4"/>
    <x v="0"/>
    <s v="Marco Diaz"/>
    <d v="2025-11-28T00:00:00"/>
    <d v="2026-02-26T00:00:00"/>
    <n v="90"/>
    <n v="37625.54"/>
    <n v="37625.54"/>
    <n v="0"/>
    <d v="2026-02-21T00:00:00"/>
    <s v="Paid"/>
    <s v="Wire"/>
    <n v="85"/>
    <n v="5"/>
    <s v="Yes"/>
    <s v="Yes"/>
    <n v="5.0000000000000001E-3"/>
    <s v="No"/>
    <n v="0"/>
  </r>
  <r>
    <s v="AP-0201"/>
    <s v="VND-011"/>
    <s v="QuickFreight Inc."/>
    <x v="0"/>
    <x v="4"/>
    <s v="Ana Torres"/>
    <d v="2026-01-04T00:00:00"/>
    <d v="2026-02-18T00:00:00"/>
    <n v="45"/>
    <n v="14162.6"/>
    <n v="14162.6"/>
    <n v="0"/>
    <d v="2026-02-20T00:00:00"/>
    <s v="Paid"/>
    <s v="ACH"/>
    <n v="47"/>
    <n v="-2"/>
    <s v="No"/>
    <s v="Yes"/>
    <n v="1.4999999999999999E-2"/>
    <s v="No"/>
    <n v="0"/>
  </r>
  <r>
    <s v="AP-0202"/>
    <s v="VND-010"/>
    <s v="DataBridge IT"/>
    <x v="1"/>
    <x v="1"/>
    <s v="Pedro Alvarez"/>
    <d v="2025-10-30T00:00:00"/>
    <d v="2025-11-29T00:00:00"/>
    <n v="30"/>
    <n v="32565.79"/>
    <n v="0"/>
    <n v="32565.79"/>
    <m/>
    <s v="Overdue"/>
    <s v="Check"/>
    <m/>
    <n v="-183"/>
    <s v="No"/>
    <s v="Yes"/>
    <n v="0.01"/>
    <s v="No"/>
    <n v="0"/>
  </r>
  <r>
    <s v="AP-0203"/>
    <s v="VND-016"/>
    <s v="CleanWater Utilities"/>
    <x v="3"/>
    <x v="1"/>
    <s v="Pedro Alvarez"/>
    <d v="2026-04-28T00:00:00"/>
    <d v="2026-06-27T00:00:00"/>
    <n v="60"/>
    <n v="11481.58"/>
    <n v="7350.17"/>
    <n v="4131.41"/>
    <d v="2026-05-31T00:00:00"/>
    <s v="Partial"/>
    <s v="Check"/>
    <n v="33"/>
    <n v="27"/>
    <s v="Yes"/>
    <s v="No"/>
    <n v="0"/>
    <s v="No"/>
    <n v="0"/>
  </r>
  <r>
    <s v="AP-0204"/>
    <s v="VND-003"/>
    <s v="FastShip Logistics"/>
    <x v="0"/>
    <x v="3"/>
    <s v="Pedro Alvarez"/>
    <d v="2025-04-25T00:00:00"/>
    <d v="2025-05-25T00:00:00"/>
    <n v="30"/>
    <n v="2173.4"/>
    <n v="2173.4"/>
    <n v="0"/>
    <d v="2025-05-21T00:00:00"/>
    <s v="Paid"/>
    <s v="Check"/>
    <n v="26"/>
    <n v="4"/>
    <s v="Yes"/>
    <s v="Yes"/>
    <n v="0.01"/>
    <s v="No"/>
    <n v="0"/>
  </r>
  <r>
    <s v="AP-0205"/>
    <s v="VND-011"/>
    <s v="QuickFreight Inc."/>
    <x v="0"/>
    <x v="3"/>
    <s v="Pedro Alvarez"/>
    <d v="2026-05-16T00:00:00"/>
    <d v="2026-06-15T00:00:00"/>
    <n v="30"/>
    <n v="2727.89"/>
    <n v="1518.41"/>
    <n v="1209.48"/>
    <d v="2026-05-31T00:00:00"/>
    <s v="Partial"/>
    <s v="ACH"/>
    <n v="15"/>
    <n v="15"/>
    <s v="Yes"/>
    <s v="Yes"/>
    <n v="0.01"/>
    <s v="No"/>
    <n v="0"/>
  </r>
  <r>
    <s v="AP-0206"/>
    <s v="VND-019"/>
    <s v="SkyNet IT Solutions"/>
    <x v="1"/>
    <x v="0"/>
    <s v="Ana Torres"/>
    <d v="2025-01-23T00:00:00"/>
    <d v="2025-03-09T00:00:00"/>
    <n v="45"/>
    <n v="34696.15"/>
    <n v="34696.15"/>
    <n v="0"/>
    <d v="2025-03-07T00:00:00"/>
    <s v="Paid"/>
    <s v="Credit Card"/>
    <n v="43"/>
    <n v="2"/>
    <s v="Yes"/>
    <s v="No"/>
    <n v="0"/>
    <s v="No"/>
    <n v="0"/>
  </r>
  <r>
    <s v="AP-0207"/>
    <s v="VND-019"/>
    <s v="SkyNet IT Solutions"/>
    <x v="1"/>
    <x v="0"/>
    <s v="Sofia Reyes"/>
    <d v="2025-03-07T00:00:00"/>
    <d v="2025-05-06T00:00:00"/>
    <n v="60"/>
    <n v="45587.26"/>
    <n v="36153.83"/>
    <n v="9433.43"/>
    <d v="2025-05-16T00:00:00"/>
    <s v="Partial"/>
    <s v="Credit Card"/>
    <n v="70"/>
    <n v="-10"/>
    <s v="No"/>
    <s v="Yes"/>
    <n v="0.01"/>
    <s v="No"/>
    <n v="0"/>
  </r>
  <r>
    <s v="AP-0208"/>
    <s v="VND-002"/>
    <s v="TechCore Solutions"/>
    <x v="1"/>
    <x v="4"/>
    <s v="Pedro Alvarez"/>
    <d v="2026-03-07T00:00:00"/>
    <d v="2026-04-06T00:00:00"/>
    <n v="30"/>
    <n v="33084.57"/>
    <n v="33084.57"/>
    <n v="0"/>
    <d v="2026-04-04T00:00:00"/>
    <s v="Paid"/>
    <s v="Wire"/>
    <n v="28"/>
    <n v="2"/>
    <s v="Yes"/>
    <s v="No"/>
    <n v="0"/>
    <s v="No"/>
    <n v="0"/>
  </r>
  <r>
    <s v="AP-0209"/>
    <s v="VND-022"/>
    <s v="Apex Consulting"/>
    <x v="4"/>
    <x v="3"/>
    <s v="Marco Diaz"/>
    <d v="2025-07-02T00:00:00"/>
    <d v="2025-08-01T00:00:00"/>
    <n v="30"/>
    <n v="39735.33"/>
    <n v="39735.33"/>
    <n v="0"/>
    <d v="2025-08-03T00:00:00"/>
    <s v="Paid"/>
    <s v="Check"/>
    <n v="32"/>
    <n v="-2"/>
    <s v="No"/>
    <s v="Yes"/>
    <n v="0.01"/>
    <s v="No"/>
    <n v="0"/>
  </r>
  <r>
    <s v="AP-0210"/>
    <s v="VND-008"/>
    <s v="GreenEnergy Corp."/>
    <x v="3"/>
    <x v="0"/>
    <s v="Sofia Reyes"/>
    <d v="2026-03-11T00:00:00"/>
    <d v="2026-06-09T00:00:00"/>
    <n v="90"/>
    <n v="8213.0400000000009"/>
    <n v="0"/>
    <n v="8213.0400000000009"/>
    <m/>
    <s v="Pending"/>
    <s v="Check"/>
    <m/>
    <m/>
    <m/>
    <s v="No"/>
    <n v="0"/>
    <s v="No"/>
    <n v="0"/>
  </r>
  <r>
    <s v="AP-0211"/>
    <s v="VND-009"/>
    <s v="MetalWorks Ltd."/>
    <x v="2"/>
    <x v="1"/>
    <s v="Sofia Reyes"/>
    <d v="2025-01-17T00:00:00"/>
    <d v="2025-03-18T00:00:00"/>
    <n v="60"/>
    <n v="13551.98"/>
    <n v="13551.98"/>
    <n v="0"/>
    <d v="2025-03-07T00:00:00"/>
    <s v="Paid"/>
    <s v="ACH"/>
    <n v="49"/>
    <n v="11"/>
    <s v="Yes"/>
    <s v="Yes"/>
    <n v="0.01"/>
    <s v="No"/>
    <n v="0"/>
  </r>
  <r>
    <s v="AP-0212"/>
    <s v="VND-002"/>
    <s v="TechCore Solutions"/>
    <x v="1"/>
    <x v="1"/>
    <s v="Sofia Reyes"/>
    <d v="2025-08-28T00:00:00"/>
    <d v="2025-11-26T00:00:00"/>
    <n v="90"/>
    <n v="45481.99"/>
    <n v="45481.99"/>
    <n v="0"/>
    <d v="2025-11-29T00:00:00"/>
    <s v="Paid"/>
    <s v="Credit Card"/>
    <n v="93"/>
    <n v="-3"/>
    <s v="No"/>
    <s v="No"/>
    <n v="0"/>
    <s v="No"/>
    <n v="0"/>
  </r>
  <r>
    <s v="AP-0213"/>
    <s v="VND-005"/>
    <s v="CloudSys Inc."/>
    <x v="1"/>
    <x v="3"/>
    <s v="Laura Chen"/>
    <d v="2025-11-25T00:00:00"/>
    <d v="2026-01-24T00:00:00"/>
    <n v="60"/>
    <n v="22767.8"/>
    <n v="0"/>
    <n v="22767.8"/>
    <m/>
    <s v="Overdue"/>
    <s v="Wire"/>
    <m/>
    <n v="-127"/>
    <s v="No"/>
    <s v="No"/>
    <n v="0"/>
    <s v="No"/>
    <n v="0"/>
  </r>
  <r>
    <s v="AP-0214"/>
    <s v="VND-017"/>
    <s v="OfficePro Services"/>
    <x v="4"/>
    <x v="1"/>
    <s v="Pedro Alvarez"/>
    <d v="2025-03-04T00:00:00"/>
    <d v="2025-04-18T00:00:00"/>
    <n v="45"/>
    <n v="23598.57"/>
    <n v="23598.57"/>
    <n v="0"/>
    <d v="2025-04-23T00:00:00"/>
    <s v="Paid"/>
    <s v="Check"/>
    <n v="50"/>
    <n v="-5"/>
    <s v="No"/>
    <s v="Yes"/>
    <n v="1.4999999999999999E-2"/>
    <s v="No"/>
    <n v="0"/>
  </r>
  <r>
    <s v="AP-0215"/>
    <s v="VND-018"/>
    <s v="BuildFast Materials"/>
    <x v="2"/>
    <x v="2"/>
    <s v="Sofia Reyes"/>
    <d v="2025-11-23T00:00:00"/>
    <d v="2026-01-22T00:00:00"/>
    <n v="60"/>
    <n v="35422.800000000003"/>
    <n v="35422.800000000003"/>
    <n v="0"/>
    <d v="2026-02-01T00:00:00"/>
    <s v="Paid"/>
    <s v="Check"/>
    <n v="70"/>
    <n v="-10"/>
    <s v="No"/>
    <s v="Yes"/>
    <n v="0.01"/>
    <s v="No"/>
    <n v="0"/>
  </r>
  <r>
    <s v="AP-0216"/>
    <s v="VND-006"/>
    <s v="PowerGrid Utilities"/>
    <x v="3"/>
    <x v="3"/>
    <s v="Pedro Alvarez"/>
    <d v="2025-11-04T00:00:00"/>
    <d v="2025-12-04T00:00:00"/>
    <n v="30"/>
    <n v="12934.35"/>
    <n v="12934.35"/>
    <n v="0"/>
    <d v="2025-12-11T00:00:00"/>
    <s v="Paid"/>
    <s v="Wire"/>
    <n v="37"/>
    <n v="-7"/>
    <s v="No"/>
    <s v="Yes"/>
    <n v="0.01"/>
    <s v="No"/>
    <n v="0"/>
  </r>
  <r>
    <s v="AP-0217"/>
    <s v="VND-014"/>
    <s v="NetConnect Systems"/>
    <x v="1"/>
    <x v="3"/>
    <s v="Ana Torres"/>
    <d v="2025-09-06T00:00:00"/>
    <d v="2025-11-05T00:00:00"/>
    <n v="60"/>
    <n v="24124.67"/>
    <n v="24124.67"/>
    <n v="0"/>
    <d v="2025-11-07T00:00:00"/>
    <s v="Paid"/>
    <s v="Wire"/>
    <n v="62"/>
    <n v="-2"/>
    <s v="No"/>
    <s v="Yes"/>
    <n v="0.01"/>
    <s v="No"/>
    <n v="0"/>
  </r>
  <r>
    <s v="AP-0218"/>
    <s v="VND-015"/>
    <s v="ExpressRoute Logistics"/>
    <x v="0"/>
    <x v="4"/>
    <s v="Sofia Reyes"/>
    <d v="2025-10-02T00:00:00"/>
    <d v="2025-10-17T00:00:00"/>
    <n v="15"/>
    <n v="8166.19"/>
    <n v="8166.19"/>
    <n v="0"/>
    <d v="2025-10-29T00:00:00"/>
    <s v="Paid"/>
    <s v="Wire"/>
    <n v="27"/>
    <n v="-12"/>
    <s v="No"/>
    <s v="Yes"/>
    <n v="0.02"/>
    <s v="No"/>
    <n v="0"/>
  </r>
  <r>
    <s v="AP-0219"/>
    <s v="VND-019"/>
    <s v="SkyNet IT Solutions"/>
    <x v="1"/>
    <x v="3"/>
    <s v="Marco Diaz"/>
    <d v="2025-12-07T00:00:00"/>
    <d v="2026-01-06T00:00:00"/>
    <n v="30"/>
    <n v="27739.1"/>
    <n v="27739.1"/>
    <n v="0"/>
    <d v="2026-01-12T00:00:00"/>
    <s v="Paid"/>
    <s v="Credit Card"/>
    <n v="36"/>
    <n v="-6"/>
    <s v="No"/>
    <s v="No"/>
    <n v="0"/>
    <s v="No"/>
    <n v="0"/>
  </r>
  <r>
    <s v="AP-0220"/>
    <s v="VND-007"/>
    <s v="ProStaff Services"/>
    <x v="4"/>
    <x v="0"/>
    <s v="Pedro Alvarez"/>
    <d v="2026-02-11T00:00:00"/>
    <d v="2026-03-13T00:00:00"/>
    <n v="30"/>
    <n v="36859.68"/>
    <n v="36859.68"/>
    <n v="0"/>
    <d v="2026-03-06T00:00:00"/>
    <s v="Paid"/>
    <s v="Wire"/>
    <n v="23"/>
    <n v="7"/>
    <s v="Yes"/>
    <s v="Yes"/>
    <n v="0.01"/>
    <s v="No"/>
    <n v="0"/>
  </r>
  <r>
    <s v="AP-0221"/>
    <s v="VND-012"/>
    <s v="FacilityPro Services"/>
    <x v="5"/>
    <x v="4"/>
    <s v="Laura Chen"/>
    <d v="2026-04-23T00:00:00"/>
    <d v="2026-07-22T00:00:00"/>
    <n v="90"/>
    <n v="5254.07"/>
    <n v="5254.07"/>
    <n v="0"/>
    <d v="2026-05-31T00:00:00"/>
    <s v="Paid"/>
    <s v="Check"/>
    <n v="38"/>
    <n v="52"/>
    <s v="Yes"/>
    <s v="No"/>
    <n v="0"/>
    <s v="No"/>
    <n v="0"/>
  </r>
  <r>
    <s v="AP-0222"/>
    <s v="VND-007"/>
    <s v="ProStaff Services"/>
    <x v="4"/>
    <x v="4"/>
    <s v="Laura Chen"/>
    <d v="2025-08-15T00:00:00"/>
    <d v="2025-08-30T00:00:00"/>
    <n v="15"/>
    <n v="30426.34"/>
    <n v="30426.34"/>
    <n v="0"/>
    <d v="2025-08-19T00:00:00"/>
    <s v="Paid"/>
    <s v="Credit Card"/>
    <n v="4"/>
    <n v="11"/>
    <s v="Yes"/>
    <s v="Yes"/>
    <n v="0.02"/>
    <s v="Yes"/>
    <n v="608.53"/>
  </r>
  <r>
    <s v="AP-0223"/>
    <s v="VND-010"/>
    <s v="DataBridge IT"/>
    <x v="1"/>
    <x v="1"/>
    <s v="Marco Diaz"/>
    <d v="2026-01-24T00:00:00"/>
    <d v="2026-02-23T00:00:00"/>
    <n v="30"/>
    <n v="47734.21"/>
    <n v="47734.21"/>
    <n v="0"/>
    <d v="2026-02-17T00:00:00"/>
    <s v="Paid"/>
    <s v="Check"/>
    <n v="24"/>
    <n v="6"/>
    <s v="Yes"/>
    <s v="Yes"/>
    <n v="0.01"/>
    <s v="No"/>
    <n v="0"/>
  </r>
  <r>
    <s v="AP-0224"/>
    <s v="VND-022"/>
    <s v="Apex Consulting"/>
    <x v="4"/>
    <x v="4"/>
    <s v="Laura Chen"/>
    <d v="2026-04-17T00:00:00"/>
    <d v="2026-07-16T00:00:00"/>
    <n v="90"/>
    <n v="9224.64"/>
    <n v="9224.64"/>
    <n v="0"/>
    <d v="2026-05-31T00:00:00"/>
    <s v="Paid"/>
    <s v="Credit Card"/>
    <n v="44"/>
    <n v="46"/>
    <s v="Yes"/>
    <s v="No"/>
    <n v="0"/>
    <s v="No"/>
    <n v="0"/>
  </r>
  <r>
    <s v="AP-0225"/>
    <s v="VND-018"/>
    <s v="BuildFast Materials"/>
    <x v="2"/>
    <x v="0"/>
    <s v="Ana Torres"/>
    <d v="2025-02-19T00:00:00"/>
    <d v="2025-03-21T00:00:00"/>
    <n v="30"/>
    <n v="38688.26"/>
    <n v="16083.36"/>
    <n v="22604.9"/>
    <d v="2025-04-07T00:00:00"/>
    <s v="Partial"/>
    <s v="ACH"/>
    <n v="47"/>
    <n v="-17"/>
    <s v="No"/>
    <s v="Yes"/>
    <n v="0.01"/>
    <s v="No"/>
    <n v="0"/>
  </r>
  <r>
    <s v="AP-0226"/>
    <s v="VND-005"/>
    <s v="CloudSys Inc."/>
    <x v="1"/>
    <x v="0"/>
    <s v="Marco Diaz"/>
    <d v="2025-03-03T00:00:00"/>
    <d v="2025-05-02T00:00:00"/>
    <n v="60"/>
    <n v="51337.64"/>
    <n v="51337.64"/>
    <n v="0"/>
    <d v="2025-05-03T00:00:00"/>
    <s v="Paid"/>
    <s v="Credit Card"/>
    <n v="61"/>
    <n v="-1"/>
    <s v="No"/>
    <s v="Yes"/>
    <n v="0.01"/>
    <s v="No"/>
    <n v="0"/>
  </r>
  <r>
    <s v="AP-0227"/>
    <s v="VND-016"/>
    <s v="CleanWater Utilities"/>
    <x v="3"/>
    <x v="2"/>
    <s v="Sofia Reyes"/>
    <d v="2025-01-13T00:00:00"/>
    <d v="2025-03-14T00:00:00"/>
    <n v="60"/>
    <n v="742.53"/>
    <n v="742.53"/>
    <n v="0"/>
    <d v="2025-03-12T00:00:00"/>
    <s v="Paid"/>
    <s v="ACH"/>
    <n v="58"/>
    <n v="2"/>
    <s v="Yes"/>
    <s v="No"/>
    <n v="0"/>
    <s v="No"/>
    <n v="0"/>
  </r>
  <r>
    <s v="AP-0228"/>
    <s v="VND-023"/>
    <s v="CoolTech Systems"/>
    <x v="1"/>
    <x v="2"/>
    <s v="Marco Diaz"/>
    <d v="2025-06-02T00:00:00"/>
    <d v="2025-07-02T00:00:00"/>
    <n v="30"/>
    <n v="23072.66"/>
    <n v="23072.66"/>
    <n v="0"/>
    <d v="2025-07-11T00:00:00"/>
    <s v="Paid"/>
    <s v="ACH"/>
    <n v="39"/>
    <n v="-9"/>
    <s v="No"/>
    <s v="Yes"/>
    <n v="0.01"/>
    <s v="No"/>
    <n v="0"/>
  </r>
  <r>
    <s v="AP-0229"/>
    <s v="VND-012"/>
    <s v="FacilityPro Services"/>
    <x v="5"/>
    <x v="4"/>
    <s v="Pedro Alvarez"/>
    <d v="2026-02-20T00:00:00"/>
    <d v="2026-04-21T00:00:00"/>
    <n v="60"/>
    <n v="17146.93"/>
    <n v="0"/>
    <n v="17146.93"/>
    <m/>
    <s v="Pending"/>
    <s v="ACH"/>
    <m/>
    <m/>
    <m/>
    <s v="Yes"/>
    <n v="0.01"/>
    <s v="No"/>
    <n v="0"/>
  </r>
  <r>
    <s v="AP-0230"/>
    <s v="VND-003"/>
    <s v="FastShip Logistics"/>
    <x v="0"/>
    <x v="0"/>
    <s v="Sofia Reyes"/>
    <d v="2026-01-22T00:00:00"/>
    <d v="2026-03-23T00:00:00"/>
    <n v="60"/>
    <n v="11501.33"/>
    <n v="11501.33"/>
    <n v="0"/>
    <d v="2026-03-27T00:00:00"/>
    <s v="Paid"/>
    <s v="Credit Card"/>
    <n v="64"/>
    <n v="-4"/>
    <s v="No"/>
    <s v="Yes"/>
    <n v="0.01"/>
    <s v="No"/>
    <n v="0"/>
  </r>
  <r>
    <s v="AP-0231"/>
    <s v="VND-014"/>
    <s v="NetConnect Systems"/>
    <x v="1"/>
    <x v="4"/>
    <s v="Ana Torres"/>
    <d v="2025-08-24T00:00:00"/>
    <d v="2025-09-08T00:00:00"/>
    <n v="15"/>
    <n v="20856.28"/>
    <n v="11215.47"/>
    <n v="9640.81"/>
    <d v="2025-09-04T00:00:00"/>
    <s v="Partial"/>
    <s v="ACH"/>
    <n v="11"/>
    <n v="4"/>
    <s v="Yes"/>
    <s v="No"/>
    <n v="0"/>
    <s v="No"/>
    <n v="0"/>
  </r>
  <r>
    <s v="AP-0232"/>
    <s v="VND-003"/>
    <s v="FastShip Logistics"/>
    <x v="0"/>
    <x v="4"/>
    <s v="Ana Torres"/>
    <d v="2025-11-19T00:00:00"/>
    <d v="2025-12-19T00:00:00"/>
    <n v="30"/>
    <n v="1297.5"/>
    <n v="1297.5"/>
    <n v="0"/>
    <d v="2025-12-27T00:00:00"/>
    <s v="Paid"/>
    <s v="ACH"/>
    <n v="38"/>
    <n v="-8"/>
    <s v="No"/>
    <s v="Yes"/>
    <n v="0.01"/>
    <s v="No"/>
    <n v="0"/>
  </r>
  <r>
    <s v="AP-0233"/>
    <s v="VND-023"/>
    <s v="CoolTech Systems"/>
    <x v="1"/>
    <x v="2"/>
    <s v="Sofia Reyes"/>
    <d v="2025-09-04T00:00:00"/>
    <d v="2025-10-04T00:00:00"/>
    <n v="30"/>
    <n v="47502.19"/>
    <n v="47502.19"/>
    <n v="0"/>
    <d v="2025-09-27T00:00:00"/>
    <s v="Paid"/>
    <s v="Check"/>
    <n v="23"/>
    <n v="7"/>
    <s v="Yes"/>
    <s v="No"/>
    <n v="0"/>
    <s v="No"/>
    <n v="0"/>
  </r>
  <r>
    <s v="AP-0234"/>
    <s v="VND-024"/>
    <s v="EliteFacilities Corp."/>
    <x v="5"/>
    <x v="1"/>
    <s v="Sofia Reyes"/>
    <d v="2025-04-11T00:00:00"/>
    <d v="2025-04-26T00:00:00"/>
    <n v="15"/>
    <n v="16423.91"/>
    <n v="16423.91"/>
    <n v="0"/>
    <d v="2025-04-25T00:00:00"/>
    <s v="Paid"/>
    <s v="Check"/>
    <n v="14"/>
    <n v="1"/>
    <s v="Yes"/>
    <s v="No"/>
    <n v="0"/>
    <s v="No"/>
    <n v="0"/>
  </r>
  <r>
    <s v="AP-0235"/>
    <s v="VND-025"/>
    <s v="RapidShip Co."/>
    <x v="0"/>
    <x v="3"/>
    <s v="Ana Torres"/>
    <d v="2025-01-31T00:00:00"/>
    <d v="2025-04-01T00:00:00"/>
    <n v="60"/>
    <n v="13048.34"/>
    <n v="13048.34"/>
    <n v="0"/>
    <d v="2025-04-02T00:00:00"/>
    <s v="Paid"/>
    <s v="Credit Card"/>
    <n v="61"/>
    <n v="-1"/>
    <s v="No"/>
    <s v="No"/>
    <n v="0"/>
    <s v="No"/>
    <n v="0"/>
  </r>
  <r>
    <s v="AP-0236"/>
    <s v="VND-013"/>
    <s v="SafetyFirst Supplies"/>
    <x v="2"/>
    <x v="2"/>
    <s v="Marco Diaz"/>
    <d v="2025-10-30T00:00:00"/>
    <d v="2025-11-29T00:00:00"/>
    <n v="30"/>
    <n v="40306.65"/>
    <n v="40306.65"/>
    <n v="0"/>
    <d v="2025-12-09T00:00:00"/>
    <s v="Paid"/>
    <s v="Credit Card"/>
    <n v="40"/>
    <n v="-10"/>
    <s v="No"/>
    <s v="No"/>
    <n v="0"/>
    <s v="No"/>
    <n v="0"/>
  </r>
  <r>
    <s v="AP-0237"/>
    <s v="VND-005"/>
    <s v="CloudSys Inc."/>
    <x v="1"/>
    <x v="2"/>
    <s v="Marco Diaz"/>
    <d v="2026-01-05T00:00:00"/>
    <d v="2026-03-06T00:00:00"/>
    <n v="60"/>
    <n v="12991.32"/>
    <n v="12991.32"/>
    <n v="0"/>
    <d v="2026-03-02T00:00:00"/>
    <s v="Paid"/>
    <s v="Credit Card"/>
    <n v="56"/>
    <n v="4"/>
    <s v="Yes"/>
    <s v="Yes"/>
    <n v="0.01"/>
    <s v="No"/>
    <n v="0"/>
  </r>
  <r>
    <s v="AP-0238"/>
    <s v="VND-005"/>
    <s v="CloudSys Inc."/>
    <x v="1"/>
    <x v="0"/>
    <s v="Marco Diaz"/>
    <d v="2026-02-22T00:00:00"/>
    <d v="2026-05-23T00:00:00"/>
    <n v="90"/>
    <n v="12746.97"/>
    <n v="12746.97"/>
    <n v="0"/>
    <d v="2026-05-27T00:00:00"/>
    <s v="Paid"/>
    <s v="Credit Card"/>
    <n v="94"/>
    <n v="-4"/>
    <s v="No"/>
    <s v="Yes"/>
    <n v="5.0000000000000001E-3"/>
    <s v="No"/>
    <n v="0"/>
  </r>
  <r>
    <s v="AP-0239"/>
    <s v="VND-011"/>
    <s v="QuickFreight Inc."/>
    <x v="0"/>
    <x v="2"/>
    <s v="Sofia Reyes"/>
    <d v="2026-02-02T00:00:00"/>
    <d v="2026-04-03T00:00:00"/>
    <n v="60"/>
    <n v="15804.21"/>
    <n v="15804.21"/>
    <n v="0"/>
    <d v="2026-04-03T00:00:00"/>
    <s v="Paid"/>
    <s v="Check"/>
    <n v="60"/>
    <n v="0"/>
    <s v="Yes"/>
    <s v="No"/>
    <n v="0"/>
    <s v="No"/>
    <n v="0"/>
  </r>
  <r>
    <s v="AP-0240"/>
    <s v="VND-022"/>
    <s v="Apex Consulting"/>
    <x v="4"/>
    <x v="2"/>
    <s v="Marco Diaz"/>
    <d v="2025-11-05T00:00:00"/>
    <d v="2025-12-20T00:00:00"/>
    <n v="45"/>
    <n v="12931.05"/>
    <n v="12931.05"/>
    <n v="0"/>
    <d v="2025-12-29T00:00:00"/>
    <s v="Paid"/>
    <s v="Wire"/>
    <n v="54"/>
    <n v="-9"/>
    <s v="No"/>
    <s v="Yes"/>
    <n v="1.4999999999999999E-2"/>
    <s v="No"/>
    <n v="0"/>
  </r>
  <r>
    <s v="AP-0241"/>
    <s v="VND-009"/>
    <s v="MetalWorks Ltd."/>
    <x v="2"/>
    <x v="2"/>
    <s v="Laura Chen"/>
    <d v="2026-01-05T00:00:00"/>
    <d v="2026-02-04T00:00:00"/>
    <n v="30"/>
    <n v="14081.59"/>
    <n v="14081.59"/>
    <n v="0"/>
    <d v="2026-01-31T00:00:00"/>
    <s v="Paid"/>
    <s v="Credit Card"/>
    <n v="26"/>
    <n v="4"/>
    <s v="Yes"/>
    <s v="Yes"/>
    <n v="0.01"/>
    <s v="No"/>
    <n v="0"/>
  </r>
  <r>
    <s v="AP-0242"/>
    <s v="VND-004"/>
    <s v="BuildRight Materials"/>
    <x v="2"/>
    <x v="1"/>
    <s v="Laura Chen"/>
    <d v="2025-12-07T00:00:00"/>
    <d v="2026-02-05T00:00:00"/>
    <n v="60"/>
    <n v="42397.440000000002"/>
    <n v="22051.39"/>
    <n v="20346.05"/>
    <d v="2026-02-13T00:00:00"/>
    <s v="Partial"/>
    <s v="ACH"/>
    <n v="68"/>
    <n v="-8"/>
    <s v="No"/>
    <s v="Yes"/>
    <n v="0.01"/>
    <s v="No"/>
    <n v="0"/>
  </r>
  <r>
    <s v="AP-0243"/>
    <s v="VND-021"/>
    <s v="PrimePack Logistics"/>
    <x v="0"/>
    <x v="3"/>
    <s v="Marco Diaz"/>
    <d v="2025-07-25T00:00:00"/>
    <d v="2025-09-23T00:00:00"/>
    <n v="60"/>
    <n v="10101.19"/>
    <n v="10101.19"/>
    <n v="0"/>
    <d v="2025-09-21T00:00:00"/>
    <s v="Paid"/>
    <s v="Check"/>
    <n v="58"/>
    <n v="2"/>
    <s v="Yes"/>
    <s v="Yes"/>
    <n v="0.01"/>
    <s v="No"/>
    <n v="0"/>
  </r>
  <r>
    <s v="AP-0244"/>
    <s v="VND-011"/>
    <s v="QuickFreight Inc."/>
    <x v="0"/>
    <x v="4"/>
    <s v="Pedro Alvarez"/>
    <d v="2026-01-21T00:00:00"/>
    <d v="2026-03-22T00:00:00"/>
    <n v="60"/>
    <n v="6325.7"/>
    <n v="6325.7"/>
    <n v="0"/>
    <d v="2026-03-26T00:00:00"/>
    <s v="Paid"/>
    <s v="Wire"/>
    <n v="64"/>
    <n v="-4"/>
    <s v="No"/>
    <s v="No"/>
    <n v="0"/>
    <s v="No"/>
    <n v="0"/>
  </r>
  <r>
    <s v="AP-0245"/>
    <s v="VND-018"/>
    <s v="BuildFast Materials"/>
    <x v="2"/>
    <x v="1"/>
    <s v="Ana Torres"/>
    <d v="2025-08-03T00:00:00"/>
    <d v="2025-11-01T00:00:00"/>
    <n v="90"/>
    <n v="23045.84"/>
    <n v="23045.84"/>
    <n v="0"/>
    <d v="2025-10-30T00:00:00"/>
    <s v="Paid"/>
    <s v="ACH"/>
    <n v="88"/>
    <n v="2"/>
    <s v="Yes"/>
    <s v="Yes"/>
    <n v="5.0000000000000001E-3"/>
    <s v="No"/>
    <n v="0"/>
  </r>
  <r>
    <s v="AP-0246"/>
    <s v="VND-014"/>
    <s v="NetConnect Systems"/>
    <x v="1"/>
    <x v="2"/>
    <s v="Marco Diaz"/>
    <d v="2025-09-16T00:00:00"/>
    <d v="2025-10-16T00:00:00"/>
    <n v="30"/>
    <n v="54399.72"/>
    <n v="18331.759999999998"/>
    <n v="36067.96"/>
    <d v="2025-10-30T00:00:00"/>
    <s v="Partial"/>
    <s v="Check"/>
    <n v="44"/>
    <n v="-14"/>
    <s v="No"/>
    <s v="No"/>
    <n v="0"/>
    <s v="No"/>
    <n v="0"/>
  </r>
  <r>
    <s v="AP-0247"/>
    <s v="VND-016"/>
    <s v="CleanWater Utilities"/>
    <x v="3"/>
    <x v="3"/>
    <s v="Pedro Alvarez"/>
    <d v="2026-01-04T00:00:00"/>
    <d v="2026-01-19T00:00:00"/>
    <n v="15"/>
    <n v="10673.7"/>
    <n v="10673.7"/>
    <n v="0"/>
    <d v="2026-01-22T00:00:00"/>
    <s v="Paid"/>
    <s v="Credit Card"/>
    <n v="18"/>
    <n v="-3"/>
    <s v="No"/>
    <s v="No"/>
    <n v="0"/>
    <s v="No"/>
    <n v="0"/>
  </r>
  <r>
    <s v="AP-0248"/>
    <s v="VND-008"/>
    <s v="GreenEnergy Corp."/>
    <x v="3"/>
    <x v="4"/>
    <s v="Marco Diaz"/>
    <d v="2025-12-06T00:00:00"/>
    <d v="2026-02-04T00:00:00"/>
    <n v="60"/>
    <n v="14502.89"/>
    <n v="14502.89"/>
    <n v="0"/>
    <d v="2026-02-03T00:00:00"/>
    <s v="Paid"/>
    <s v="ACH"/>
    <n v="59"/>
    <n v="1"/>
    <s v="Yes"/>
    <s v="Yes"/>
    <n v="0.01"/>
    <s v="No"/>
    <n v="0"/>
  </r>
  <r>
    <s v="AP-0249"/>
    <s v="VND-009"/>
    <s v="MetalWorks Ltd."/>
    <x v="2"/>
    <x v="1"/>
    <s v="Ana Torres"/>
    <d v="2026-01-19T00:00:00"/>
    <d v="2026-04-19T00:00:00"/>
    <n v="90"/>
    <n v="20774.439999999999"/>
    <n v="20774.439999999999"/>
    <n v="0"/>
    <d v="2026-04-18T00:00:00"/>
    <s v="Paid"/>
    <s v="Wire"/>
    <n v="89"/>
    <n v="1"/>
    <s v="Yes"/>
    <s v="No"/>
    <n v="0"/>
    <s v="No"/>
    <n v="0"/>
  </r>
  <r>
    <s v="AP-0250"/>
    <s v="VND-004"/>
    <s v="BuildRight Materials"/>
    <x v="2"/>
    <x v="4"/>
    <s v="Pedro Alvarez"/>
    <d v="2025-05-26T00:00:00"/>
    <d v="2025-06-25T00:00:00"/>
    <n v="30"/>
    <n v="18719.78"/>
    <n v="10493.51"/>
    <n v="8226.27"/>
    <d v="2025-07-01T00:00:00"/>
    <s v="Partial"/>
    <s v="ACH"/>
    <n v="36"/>
    <n v="-6"/>
    <s v="No"/>
    <s v="Yes"/>
    <n v="0.01"/>
    <s v="No"/>
    <n v="0"/>
  </r>
  <r>
    <s v="AP-0251"/>
    <s v="VND-016"/>
    <s v="CleanWater Utilities"/>
    <x v="3"/>
    <x v="0"/>
    <s v="Pedro Alvarez"/>
    <d v="2025-03-10T00:00:00"/>
    <d v="2025-05-09T00:00:00"/>
    <n v="60"/>
    <n v="4853.83"/>
    <n v="4853.83"/>
    <n v="0"/>
    <d v="2025-05-10T00:00:00"/>
    <s v="Paid"/>
    <s v="Credit Card"/>
    <n v="61"/>
    <n v="-1"/>
    <s v="No"/>
    <s v="No"/>
    <n v="0"/>
    <s v="No"/>
    <n v="0"/>
  </r>
  <r>
    <s v="AP-0252"/>
    <s v="VND-011"/>
    <s v="QuickFreight Inc."/>
    <x v="0"/>
    <x v="0"/>
    <s v="Marco Diaz"/>
    <d v="2025-06-13T00:00:00"/>
    <d v="2025-07-13T00:00:00"/>
    <n v="30"/>
    <n v="7288.8"/>
    <n v="7288.8"/>
    <n v="0"/>
    <d v="2025-07-16T00:00:00"/>
    <s v="Paid"/>
    <s v="Wire"/>
    <n v="33"/>
    <n v="-3"/>
    <s v="No"/>
    <s v="Yes"/>
    <n v="0.01"/>
    <s v="No"/>
    <n v="0"/>
  </r>
  <r>
    <s v="AP-0253"/>
    <s v="VND-006"/>
    <s v="PowerGrid Utilities"/>
    <x v="3"/>
    <x v="2"/>
    <s v="Pedro Alvarez"/>
    <d v="2026-04-06T00:00:00"/>
    <d v="2026-05-06T00:00:00"/>
    <n v="30"/>
    <n v="9086.9500000000007"/>
    <n v="0"/>
    <n v="9086.9500000000007"/>
    <m/>
    <s v="Pending"/>
    <s v="ACH"/>
    <m/>
    <m/>
    <m/>
    <s v="Yes"/>
    <n v="0.01"/>
    <s v="No"/>
    <n v="0"/>
  </r>
  <r>
    <s v="AP-0254"/>
    <s v="VND-025"/>
    <s v="RapidShip Co."/>
    <x v="0"/>
    <x v="0"/>
    <s v="Ana Torres"/>
    <d v="2026-01-10T00:00:00"/>
    <d v="2026-02-09T00:00:00"/>
    <n v="30"/>
    <n v="7193.71"/>
    <n v="7193.71"/>
    <n v="0"/>
    <d v="2026-01-30T00:00:00"/>
    <s v="Paid"/>
    <s v="ACH"/>
    <n v="20"/>
    <n v="10"/>
    <s v="Yes"/>
    <s v="Yes"/>
    <n v="0.01"/>
    <s v="No"/>
    <n v="0"/>
  </r>
  <r>
    <s v="AP-0255"/>
    <s v="VND-016"/>
    <s v="CleanWater Utilities"/>
    <x v="3"/>
    <x v="3"/>
    <s v="Laura Chen"/>
    <d v="2025-04-27T00:00:00"/>
    <d v="2025-06-26T00:00:00"/>
    <n v="60"/>
    <n v="5544.91"/>
    <n v="5544.91"/>
    <n v="0"/>
    <d v="2025-06-30T00:00:00"/>
    <s v="Paid"/>
    <s v="Credit Card"/>
    <n v="64"/>
    <n v="-4"/>
    <s v="No"/>
    <s v="No"/>
    <n v="0"/>
    <s v="No"/>
    <n v="0"/>
  </r>
  <r>
    <s v="AP-0256"/>
    <s v="VND-010"/>
    <s v="DataBridge IT"/>
    <x v="1"/>
    <x v="3"/>
    <s v="Ana Torres"/>
    <d v="2025-11-17T00:00:00"/>
    <d v="2025-12-17T00:00:00"/>
    <n v="30"/>
    <n v="13839.62"/>
    <n v="13839.62"/>
    <n v="0"/>
    <d v="2025-12-06T00:00:00"/>
    <s v="Paid"/>
    <s v="ACH"/>
    <n v="19"/>
    <n v="11"/>
    <s v="Yes"/>
    <s v="Yes"/>
    <n v="0.01"/>
    <s v="No"/>
    <n v="0"/>
  </r>
  <r>
    <s v="AP-0257"/>
    <s v="VND-023"/>
    <s v="CoolTech Systems"/>
    <x v="1"/>
    <x v="1"/>
    <s v="Ana Torres"/>
    <d v="2025-05-22T00:00:00"/>
    <d v="2025-07-21T00:00:00"/>
    <n v="60"/>
    <n v="48110.45"/>
    <n v="48110.45"/>
    <n v="0"/>
    <d v="2025-07-04T00:00:00"/>
    <s v="Paid"/>
    <s v="Credit Card"/>
    <n v="43"/>
    <n v="17"/>
    <s v="Yes"/>
    <s v="Yes"/>
    <n v="0.01"/>
    <s v="No"/>
    <n v="0"/>
  </r>
  <r>
    <s v="AP-0258"/>
    <s v="VND-006"/>
    <s v="PowerGrid Utilities"/>
    <x v="3"/>
    <x v="3"/>
    <s v="Marco Diaz"/>
    <d v="2025-05-24T00:00:00"/>
    <d v="2025-07-08T00:00:00"/>
    <n v="45"/>
    <n v="3212.93"/>
    <n v="3212.93"/>
    <n v="0"/>
    <d v="2025-07-04T00:00:00"/>
    <s v="Paid"/>
    <s v="Credit Card"/>
    <n v="41"/>
    <n v="4"/>
    <s v="Yes"/>
    <s v="No"/>
    <n v="0"/>
    <s v="No"/>
    <n v="0"/>
  </r>
  <r>
    <s v="AP-0259"/>
    <s v="VND-012"/>
    <s v="FacilityPro Services"/>
    <x v="5"/>
    <x v="0"/>
    <s v="Pedro Alvarez"/>
    <d v="2026-01-29T00:00:00"/>
    <d v="2026-02-28T00:00:00"/>
    <n v="30"/>
    <n v="33806.36"/>
    <n v="33806.36"/>
    <n v="0"/>
    <d v="2026-02-25T00:00:00"/>
    <s v="Paid"/>
    <s v="Wire"/>
    <n v="27"/>
    <n v="3"/>
    <s v="Yes"/>
    <s v="Yes"/>
    <n v="0.01"/>
    <s v="No"/>
    <n v="0"/>
  </r>
  <r>
    <s v="AP-0260"/>
    <s v="VND-015"/>
    <s v="ExpressRoute Logistics"/>
    <x v="0"/>
    <x v="2"/>
    <s v="Marco Diaz"/>
    <d v="2025-08-14T00:00:00"/>
    <d v="2025-08-29T00:00:00"/>
    <n v="15"/>
    <n v="6549.71"/>
    <n v="6549.71"/>
    <n v="0"/>
    <d v="2025-08-22T00:00:00"/>
    <s v="Paid"/>
    <s v="ACH"/>
    <n v="8"/>
    <n v="7"/>
    <s v="Yes"/>
    <s v="Yes"/>
    <n v="0.02"/>
    <s v="No"/>
    <n v="0"/>
  </r>
  <r>
    <s v="AP-0261"/>
    <s v="VND-006"/>
    <s v="PowerGrid Utilities"/>
    <x v="3"/>
    <x v="2"/>
    <s v="Ana Torres"/>
    <d v="2025-04-27T00:00:00"/>
    <d v="2025-05-27T00:00:00"/>
    <n v="30"/>
    <n v="4384.3900000000003"/>
    <n v="0"/>
    <n v="4384.3900000000003"/>
    <m/>
    <s v="Overdue"/>
    <s v="Credit Card"/>
    <m/>
    <n v="-369"/>
    <s v="No"/>
    <s v="Yes"/>
    <n v="0.01"/>
    <s v="No"/>
    <n v="0"/>
  </r>
  <r>
    <s v="AP-0262"/>
    <s v="VND-018"/>
    <s v="BuildFast Materials"/>
    <x v="2"/>
    <x v="0"/>
    <s v="Pedro Alvarez"/>
    <d v="2025-04-15T00:00:00"/>
    <d v="2025-06-14T00:00:00"/>
    <n v="60"/>
    <n v="37327.46"/>
    <n v="37327.46"/>
    <n v="0"/>
    <d v="2025-06-15T00:00:00"/>
    <s v="Paid"/>
    <s v="Wire"/>
    <n v="61"/>
    <n v="-1"/>
    <s v="No"/>
    <s v="Yes"/>
    <n v="0.01"/>
    <s v="No"/>
    <n v="0"/>
  </r>
  <r>
    <s v="AP-0263"/>
    <s v="VND-009"/>
    <s v="MetalWorks Ltd."/>
    <x v="2"/>
    <x v="4"/>
    <s v="Sofia Reyes"/>
    <d v="2025-08-31T00:00:00"/>
    <d v="2025-09-30T00:00:00"/>
    <n v="30"/>
    <n v="12074.15"/>
    <n v="12074.15"/>
    <n v="0"/>
    <d v="2025-09-29T00:00:00"/>
    <s v="Paid"/>
    <s v="Credit Card"/>
    <n v="29"/>
    <n v="1"/>
    <s v="Yes"/>
    <s v="No"/>
    <n v="0"/>
    <s v="No"/>
    <n v="0"/>
  </r>
  <r>
    <s v="AP-0264"/>
    <s v="VND-023"/>
    <s v="CoolTech Systems"/>
    <x v="1"/>
    <x v="3"/>
    <s v="Pedro Alvarez"/>
    <d v="2025-07-31T00:00:00"/>
    <d v="2025-08-30T00:00:00"/>
    <n v="30"/>
    <n v="66014.740000000005"/>
    <n v="66014.740000000005"/>
    <n v="0"/>
    <d v="2025-08-20T00:00:00"/>
    <s v="Paid"/>
    <s v="Wire"/>
    <n v="20"/>
    <n v="10"/>
    <s v="Yes"/>
    <s v="No"/>
    <n v="0"/>
    <s v="No"/>
    <n v="0"/>
  </r>
  <r>
    <s v="AP-0265"/>
    <s v="VND-006"/>
    <s v="PowerGrid Utilities"/>
    <x v="3"/>
    <x v="4"/>
    <s v="Laura Chen"/>
    <d v="2025-04-08T00:00:00"/>
    <d v="2025-05-23T00:00:00"/>
    <n v="45"/>
    <n v="2466.04"/>
    <n v="2466.04"/>
    <n v="0"/>
    <d v="2025-05-21T00:00:00"/>
    <s v="Paid"/>
    <s v="Check"/>
    <n v="43"/>
    <n v="2"/>
    <s v="Yes"/>
    <s v="No"/>
    <n v="0"/>
    <s v="No"/>
    <n v="0"/>
  </r>
  <r>
    <s v="AP-0266"/>
    <s v="VND-002"/>
    <s v="TechCore Solutions"/>
    <x v="1"/>
    <x v="4"/>
    <s v="Marco Diaz"/>
    <d v="2025-05-30T00:00:00"/>
    <d v="2025-06-29T00:00:00"/>
    <n v="30"/>
    <n v="58354.61"/>
    <n v="58354.61"/>
    <n v="0"/>
    <d v="2025-06-25T00:00:00"/>
    <s v="Paid"/>
    <s v="Wire"/>
    <n v="26"/>
    <n v="4"/>
    <s v="Yes"/>
    <s v="No"/>
    <n v="0"/>
    <s v="No"/>
    <n v="0"/>
  </r>
  <r>
    <s v="AP-0267"/>
    <s v="VND-019"/>
    <s v="SkyNet IT Solutions"/>
    <x v="1"/>
    <x v="4"/>
    <s v="Pedro Alvarez"/>
    <d v="2025-03-19T00:00:00"/>
    <d v="2025-06-17T00:00:00"/>
    <n v="90"/>
    <n v="52522.080000000002"/>
    <n v="52522.080000000002"/>
    <n v="0"/>
    <d v="2025-06-09T00:00:00"/>
    <s v="Paid"/>
    <s v="Credit Card"/>
    <n v="82"/>
    <n v="8"/>
    <s v="Yes"/>
    <s v="No"/>
    <n v="0"/>
    <s v="No"/>
    <n v="0"/>
  </r>
  <r>
    <s v="AP-0268"/>
    <s v="VND-017"/>
    <s v="OfficePro Services"/>
    <x v="4"/>
    <x v="4"/>
    <s v="Laura Chen"/>
    <d v="2025-12-02T00:00:00"/>
    <d v="2026-03-02T00:00:00"/>
    <n v="90"/>
    <n v="24532.36"/>
    <n v="8502.2000000000007"/>
    <n v="16030.16"/>
    <d v="2026-03-11T00:00:00"/>
    <s v="Partial"/>
    <s v="Credit Card"/>
    <n v="99"/>
    <n v="-9"/>
    <s v="No"/>
    <s v="No"/>
    <n v="0"/>
    <s v="No"/>
    <n v="0"/>
  </r>
  <r>
    <s v="AP-0269"/>
    <s v="VND-021"/>
    <s v="PrimePack Logistics"/>
    <x v="0"/>
    <x v="4"/>
    <s v="Sofia Reyes"/>
    <d v="2026-03-16T00:00:00"/>
    <d v="2026-04-15T00:00:00"/>
    <n v="30"/>
    <n v="16672.11"/>
    <n v="0"/>
    <n v="16672.11"/>
    <m/>
    <s v="Pending"/>
    <s v="Credit Card"/>
    <m/>
    <m/>
    <m/>
    <s v="Yes"/>
    <n v="0.01"/>
    <s v="No"/>
    <n v="0"/>
  </r>
  <r>
    <s v="AP-0270"/>
    <s v="VND-018"/>
    <s v="BuildFast Materials"/>
    <x v="2"/>
    <x v="3"/>
    <s v="Marco Diaz"/>
    <d v="2025-02-19T00:00:00"/>
    <d v="2025-04-20T00:00:00"/>
    <n v="60"/>
    <n v="4205.26"/>
    <n v="1295.81"/>
    <n v="2909.45"/>
    <d v="2025-04-20T00:00:00"/>
    <s v="Partial"/>
    <s v="Credit Card"/>
    <n v="60"/>
    <n v="0"/>
    <s v="Yes"/>
    <s v="Yes"/>
    <n v="0.01"/>
    <s v="No"/>
    <n v="0"/>
  </r>
  <r>
    <s v="AP-0271"/>
    <s v="VND-015"/>
    <s v="ExpressRoute Logistics"/>
    <x v="0"/>
    <x v="2"/>
    <s v="Sofia Reyes"/>
    <d v="2025-05-16T00:00:00"/>
    <d v="2025-06-15T00:00:00"/>
    <n v="30"/>
    <n v="17760.810000000001"/>
    <n v="13112.76"/>
    <n v="4648.05"/>
    <d v="2025-06-12T00:00:00"/>
    <s v="Partial"/>
    <s v="Credit Card"/>
    <n v="27"/>
    <n v="3"/>
    <s v="Yes"/>
    <s v="Yes"/>
    <n v="0.01"/>
    <s v="No"/>
    <n v="0"/>
  </r>
  <r>
    <s v="AP-0272"/>
    <s v="VND-021"/>
    <s v="PrimePack Logistics"/>
    <x v="0"/>
    <x v="4"/>
    <s v="Laura Chen"/>
    <d v="2025-06-19T00:00:00"/>
    <d v="2025-08-18T00:00:00"/>
    <n v="60"/>
    <n v="1983.96"/>
    <n v="1983.96"/>
    <n v="0"/>
    <d v="2025-08-18T00:00:00"/>
    <s v="Paid"/>
    <s v="ACH"/>
    <n v="60"/>
    <n v="0"/>
    <s v="Yes"/>
    <s v="Yes"/>
    <n v="0.01"/>
    <s v="No"/>
    <n v="0"/>
  </r>
  <r>
    <s v="AP-0273"/>
    <s v="VND-003"/>
    <s v="FastShip Logistics"/>
    <x v="0"/>
    <x v="0"/>
    <s v="Sofia Reyes"/>
    <d v="2025-03-21T00:00:00"/>
    <d v="2025-06-19T00:00:00"/>
    <n v="90"/>
    <n v="3521.3"/>
    <n v="3521.3"/>
    <n v="0"/>
    <d v="2025-06-11T00:00:00"/>
    <s v="Paid"/>
    <s v="Wire"/>
    <n v="82"/>
    <n v="8"/>
    <s v="Yes"/>
    <s v="Yes"/>
    <n v="5.0000000000000001E-3"/>
    <s v="No"/>
    <n v="0"/>
  </r>
  <r>
    <s v="AP-0274"/>
    <s v="VND-001"/>
    <s v="Acme Supplies Co."/>
    <x v="2"/>
    <x v="0"/>
    <s v="Laura Chen"/>
    <d v="2025-05-16T00:00:00"/>
    <d v="2025-07-15T00:00:00"/>
    <n v="60"/>
    <n v="24929.61"/>
    <n v="24929.61"/>
    <n v="0"/>
    <d v="2025-07-16T00:00:00"/>
    <s v="Paid"/>
    <s v="ACH"/>
    <n v="61"/>
    <n v="-1"/>
    <s v="No"/>
    <s v="Yes"/>
    <n v="0.01"/>
    <s v="No"/>
    <n v="0"/>
  </r>
  <r>
    <s v="AP-0275"/>
    <s v="VND-012"/>
    <s v="FacilityPro Services"/>
    <x v="5"/>
    <x v="4"/>
    <s v="Marco Diaz"/>
    <d v="2025-05-27T00:00:00"/>
    <d v="2025-06-26T00:00:00"/>
    <n v="30"/>
    <n v="4257.58"/>
    <n v="4257.58"/>
    <n v="0"/>
    <d v="2025-06-23T00:00:00"/>
    <s v="Paid"/>
    <s v="Credit Card"/>
    <n v="27"/>
    <n v="3"/>
    <s v="Yes"/>
    <s v="Yes"/>
    <n v="0.01"/>
    <s v="No"/>
    <n v="0"/>
  </r>
  <r>
    <s v="AP-0276"/>
    <s v="VND-006"/>
    <s v="PowerGrid Utilities"/>
    <x v="3"/>
    <x v="2"/>
    <s v="Laura Chen"/>
    <d v="2026-02-26T00:00:00"/>
    <d v="2026-03-28T00:00:00"/>
    <n v="30"/>
    <n v="9433.1"/>
    <n v="9433.1"/>
    <n v="0"/>
    <d v="2026-03-31T00:00:00"/>
    <s v="Paid"/>
    <s v="Wire"/>
    <n v="33"/>
    <n v="-3"/>
    <s v="No"/>
    <s v="Yes"/>
    <n v="0.01"/>
    <s v="No"/>
    <n v="0"/>
  </r>
  <r>
    <s v="AP-0277"/>
    <s v="VND-004"/>
    <s v="BuildRight Materials"/>
    <x v="2"/>
    <x v="3"/>
    <s v="Pedro Alvarez"/>
    <d v="2025-11-19T00:00:00"/>
    <d v="2026-01-18T00:00:00"/>
    <n v="60"/>
    <n v="39971.68"/>
    <n v="39971.68"/>
    <n v="0"/>
    <d v="2026-01-16T00:00:00"/>
    <s v="Paid"/>
    <s v="Check"/>
    <n v="58"/>
    <n v="2"/>
    <s v="Yes"/>
    <s v="Yes"/>
    <n v="0.01"/>
    <s v="No"/>
    <n v="0"/>
  </r>
  <r>
    <s v="AP-0278"/>
    <s v="VND-008"/>
    <s v="GreenEnergy Corp."/>
    <x v="3"/>
    <x v="3"/>
    <s v="Ana Torres"/>
    <d v="2025-11-05T00:00:00"/>
    <d v="2025-11-20T00:00:00"/>
    <n v="15"/>
    <n v="3478.96"/>
    <n v="3478.96"/>
    <n v="0"/>
    <d v="2025-11-12T00:00:00"/>
    <s v="Paid"/>
    <s v="Check"/>
    <n v="7"/>
    <n v="8"/>
    <s v="Yes"/>
    <s v="Yes"/>
    <n v="0.02"/>
    <s v="No"/>
    <n v="0"/>
  </r>
  <r>
    <s v="AP-0279"/>
    <s v="VND-008"/>
    <s v="GreenEnergy Corp."/>
    <x v="3"/>
    <x v="2"/>
    <s v="Pedro Alvarez"/>
    <d v="2026-05-27T00:00:00"/>
    <d v="2026-06-26T00:00:00"/>
    <n v="30"/>
    <n v="9752.19"/>
    <n v="0"/>
    <n v="9752.19"/>
    <m/>
    <s v="Pending"/>
    <s v="ACH"/>
    <m/>
    <m/>
    <m/>
    <s v="Yes"/>
    <n v="0.01"/>
    <s v="No"/>
    <n v="0"/>
  </r>
  <r>
    <s v="AP-0280"/>
    <s v="VND-012"/>
    <s v="FacilityPro Services"/>
    <x v="5"/>
    <x v="4"/>
    <s v="Marco Diaz"/>
    <d v="2026-01-10T00:00:00"/>
    <d v="2026-03-11T00:00:00"/>
    <n v="60"/>
    <n v="20029.759999999998"/>
    <n v="20029.759999999998"/>
    <n v="0"/>
    <d v="2026-03-18T00:00:00"/>
    <s v="Paid"/>
    <s v="Credit Card"/>
    <n v="67"/>
    <n v="-7"/>
    <s v="No"/>
    <s v="Yes"/>
    <n v="0.01"/>
    <s v="No"/>
    <n v="0"/>
  </r>
  <r>
    <s v="AP-0281"/>
    <s v="VND-025"/>
    <s v="RapidShip Co."/>
    <x v="0"/>
    <x v="0"/>
    <s v="Sofia Reyes"/>
    <d v="2025-09-26T00:00:00"/>
    <d v="2025-10-11T00:00:00"/>
    <n v="15"/>
    <n v="5099.12"/>
    <n v="0"/>
    <n v="5099.12"/>
    <m/>
    <s v="Overdue"/>
    <s v="ACH"/>
    <m/>
    <n v="-232"/>
    <s v="No"/>
    <s v="No"/>
    <n v="0"/>
    <s v="No"/>
    <n v="0"/>
  </r>
  <r>
    <s v="AP-0282"/>
    <s v="VND-013"/>
    <s v="SafetyFirst Supplies"/>
    <x v="2"/>
    <x v="3"/>
    <s v="Laura Chen"/>
    <d v="2026-02-16T00:00:00"/>
    <d v="2026-04-17T00:00:00"/>
    <n v="60"/>
    <n v="5956.53"/>
    <n v="0"/>
    <n v="5956.53"/>
    <m/>
    <s v="Pending"/>
    <s v="Credit Card"/>
    <m/>
    <m/>
    <m/>
    <s v="Yes"/>
    <n v="0.01"/>
    <s v="No"/>
    <n v="0"/>
  </r>
  <r>
    <s v="AP-0283"/>
    <s v="VND-010"/>
    <s v="DataBridge IT"/>
    <x v="1"/>
    <x v="0"/>
    <s v="Ana Torres"/>
    <d v="2025-12-01T00:00:00"/>
    <d v="2025-12-31T00:00:00"/>
    <n v="30"/>
    <n v="34304.86"/>
    <n v="21973.22"/>
    <n v="12331.64"/>
    <d v="2025-12-28T00:00:00"/>
    <s v="Partial"/>
    <s v="Wire"/>
    <n v="27"/>
    <n v="3"/>
    <s v="Yes"/>
    <s v="Yes"/>
    <n v="0.01"/>
    <s v="No"/>
    <n v="0"/>
  </r>
  <r>
    <s v="AP-0284"/>
    <s v="VND-010"/>
    <s v="DataBridge IT"/>
    <x v="1"/>
    <x v="2"/>
    <s v="Marco Diaz"/>
    <d v="2025-03-30T00:00:00"/>
    <d v="2025-04-29T00:00:00"/>
    <n v="30"/>
    <n v="74347.08"/>
    <n v="74347.08"/>
    <n v="0"/>
    <d v="2025-05-10T00:00:00"/>
    <s v="Paid"/>
    <s v="ACH"/>
    <n v="41"/>
    <n v="-11"/>
    <s v="No"/>
    <s v="Yes"/>
    <n v="0.01"/>
    <s v="No"/>
    <n v="0"/>
  </r>
  <r>
    <s v="AP-0285"/>
    <s v="VND-022"/>
    <s v="Apex Consulting"/>
    <x v="4"/>
    <x v="1"/>
    <s v="Sofia Reyes"/>
    <d v="2025-01-12T00:00:00"/>
    <d v="2025-02-11T00:00:00"/>
    <n v="30"/>
    <n v="9061.81"/>
    <n v="9061.81"/>
    <n v="0"/>
    <d v="2025-02-15T00:00:00"/>
    <s v="Paid"/>
    <s v="ACH"/>
    <n v="34"/>
    <n v="-4"/>
    <s v="No"/>
    <s v="No"/>
    <n v="0"/>
    <s v="No"/>
    <n v="0"/>
  </r>
  <r>
    <s v="AP-0286"/>
    <s v="VND-024"/>
    <s v="EliteFacilities Corp."/>
    <x v="5"/>
    <x v="4"/>
    <s v="Marco Diaz"/>
    <d v="2025-10-03T00:00:00"/>
    <d v="2025-11-02T00:00:00"/>
    <n v="30"/>
    <n v="26186.880000000001"/>
    <n v="12242.51"/>
    <n v="13944.37"/>
    <d v="2025-11-10T00:00:00"/>
    <s v="Partial"/>
    <s v="Check"/>
    <n v="38"/>
    <n v="-8"/>
    <s v="No"/>
    <s v="Yes"/>
    <n v="0.01"/>
    <s v="No"/>
    <n v="0"/>
  </r>
  <r>
    <s v="AP-0287"/>
    <s v="VND-009"/>
    <s v="MetalWorks Ltd."/>
    <x v="2"/>
    <x v="3"/>
    <s v="Sofia Reyes"/>
    <d v="2026-05-24T00:00:00"/>
    <d v="2026-06-23T00:00:00"/>
    <n v="30"/>
    <n v="23849.49"/>
    <n v="23849.49"/>
    <n v="0"/>
    <d v="2026-05-31T00:00:00"/>
    <s v="Paid"/>
    <s v="Check"/>
    <n v="7"/>
    <n v="23"/>
    <s v="Yes"/>
    <s v="Yes"/>
    <n v="0.01"/>
    <s v="Yes"/>
    <n v="238.49"/>
  </r>
  <r>
    <s v="AP-0288"/>
    <s v="VND-004"/>
    <s v="BuildRight Materials"/>
    <x v="2"/>
    <x v="3"/>
    <s v="Sofia Reyes"/>
    <d v="2025-02-15T00:00:00"/>
    <d v="2025-03-02T00:00:00"/>
    <n v="15"/>
    <n v="43217.07"/>
    <n v="43217.07"/>
    <n v="0"/>
    <d v="2025-03-06T00:00:00"/>
    <s v="Paid"/>
    <s v="Wire"/>
    <n v="19"/>
    <n v="-4"/>
    <s v="No"/>
    <s v="Yes"/>
    <n v="0.02"/>
    <s v="No"/>
    <n v="0"/>
  </r>
  <r>
    <s v="AP-0289"/>
    <s v="VND-012"/>
    <s v="FacilityPro Services"/>
    <x v="5"/>
    <x v="2"/>
    <s v="Marco Diaz"/>
    <d v="2026-03-06T00:00:00"/>
    <d v="2026-03-21T00:00:00"/>
    <n v="15"/>
    <n v="9409.01"/>
    <n v="0"/>
    <n v="9409.01"/>
    <m/>
    <s v="Overdue"/>
    <s v="Wire"/>
    <m/>
    <n v="-71"/>
    <s v="No"/>
    <s v="Yes"/>
    <n v="0.02"/>
    <s v="No"/>
    <n v="0"/>
  </r>
  <r>
    <s v="AP-0290"/>
    <s v="VND-011"/>
    <s v="QuickFreight Inc."/>
    <x v="0"/>
    <x v="4"/>
    <s v="Sofia Reyes"/>
    <d v="2026-05-30T00:00:00"/>
    <d v="2026-06-29T00:00:00"/>
    <n v="30"/>
    <n v="13793.19"/>
    <n v="13793.19"/>
    <n v="0"/>
    <d v="2026-05-31T00:00:00"/>
    <s v="Paid"/>
    <s v="Check"/>
    <n v="1"/>
    <n v="29"/>
    <s v="Yes"/>
    <s v="Yes"/>
    <n v="0.01"/>
    <s v="Yes"/>
    <n v="137.93"/>
  </r>
  <r>
    <s v="AP-0291"/>
    <s v="VND-015"/>
    <s v="ExpressRoute Logistics"/>
    <x v="0"/>
    <x v="4"/>
    <s v="Laura Chen"/>
    <d v="2026-04-13T00:00:00"/>
    <d v="2026-05-13T00:00:00"/>
    <n v="30"/>
    <n v="1151.4100000000001"/>
    <n v="0"/>
    <n v="1151.4100000000001"/>
    <m/>
    <s v="Pending"/>
    <s v="Check"/>
    <m/>
    <m/>
    <m/>
    <s v="Yes"/>
    <n v="0.01"/>
    <s v="No"/>
    <n v="0"/>
  </r>
  <r>
    <s v="AP-0292"/>
    <s v="VND-020"/>
    <s v="TrustBuild Facilities"/>
    <x v="5"/>
    <x v="1"/>
    <s v="Pedro Alvarez"/>
    <d v="2025-07-20T00:00:00"/>
    <d v="2025-10-18T00:00:00"/>
    <n v="90"/>
    <n v="26171.29"/>
    <n v="9821.65"/>
    <n v="16349.64"/>
    <d v="2025-10-26T00:00:00"/>
    <s v="Partial"/>
    <s v="Check"/>
    <n v="98"/>
    <n v="-8"/>
    <s v="No"/>
    <s v="Yes"/>
    <n v="5.0000000000000001E-3"/>
    <s v="No"/>
    <n v="0"/>
  </r>
  <r>
    <s v="AP-0293"/>
    <s v="VND-001"/>
    <s v="Acme Supplies Co."/>
    <x v="2"/>
    <x v="1"/>
    <s v="Ana Torres"/>
    <d v="2025-12-10T00:00:00"/>
    <d v="2025-12-25T00:00:00"/>
    <n v="15"/>
    <n v="2070.1799999999998"/>
    <n v="1373.79"/>
    <n v="696.39"/>
    <d v="2025-12-23T00:00:00"/>
    <s v="Partial"/>
    <s v="Check"/>
    <n v="13"/>
    <n v="2"/>
    <s v="Yes"/>
    <s v="Yes"/>
    <n v="0.02"/>
    <s v="No"/>
    <n v="0"/>
  </r>
  <r>
    <s v="AP-0294"/>
    <s v="VND-007"/>
    <s v="ProStaff Services"/>
    <x v="4"/>
    <x v="3"/>
    <s v="Marco Diaz"/>
    <d v="2025-03-03T00:00:00"/>
    <d v="2025-06-01T00:00:00"/>
    <n v="90"/>
    <n v="38984.69"/>
    <n v="38984.69"/>
    <n v="0"/>
    <d v="2025-06-03T00:00:00"/>
    <s v="Paid"/>
    <s v="Credit Card"/>
    <n v="92"/>
    <n v="-2"/>
    <s v="No"/>
    <s v="Yes"/>
    <n v="5.0000000000000001E-3"/>
    <s v="No"/>
    <n v="0"/>
  </r>
  <r>
    <s v="AP-0295"/>
    <s v="VND-002"/>
    <s v="TechCore Solutions"/>
    <x v="1"/>
    <x v="1"/>
    <s v="Ana Torres"/>
    <d v="2026-04-15T00:00:00"/>
    <d v="2026-06-14T00:00:00"/>
    <n v="60"/>
    <n v="78091.61"/>
    <n v="0"/>
    <n v="78091.61"/>
    <m/>
    <s v="Pending"/>
    <s v="Credit Card"/>
    <m/>
    <m/>
    <m/>
    <s v="Yes"/>
    <n v="0.01"/>
    <s v="No"/>
    <n v="0"/>
  </r>
  <r>
    <s v="AP-0296"/>
    <s v="VND-013"/>
    <s v="SafetyFirst Supplies"/>
    <x v="2"/>
    <x v="0"/>
    <s v="Ana Torres"/>
    <d v="2025-05-14T00:00:00"/>
    <d v="2025-07-13T00:00:00"/>
    <n v="60"/>
    <n v="13365.04"/>
    <n v="13365.04"/>
    <n v="0"/>
    <d v="2025-07-16T00:00:00"/>
    <s v="Paid"/>
    <s v="ACH"/>
    <n v="63"/>
    <n v="-3"/>
    <s v="No"/>
    <s v="Yes"/>
    <n v="0.01"/>
    <s v="No"/>
    <n v="0"/>
  </r>
  <r>
    <s v="AP-0297"/>
    <s v="VND-024"/>
    <s v="EliteFacilities Corp."/>
    <x v="5"/>
    <x v="4"/>
    <s v="Laura Chen"/>
    <d v="2025-08-28T00:00:00"/>
    <d v="2025-10-12T00:00:00"/>
    <n v="45"/>
    <n v="4464.6899999999996"/>
    <n v="4464.6899999999996"/>
    <n v="0"/>
    <d v="2025-10-01T00:00:00"/>
    <s v="Paid"/>
    <s v="Credit Card"/>
    <n v="34"/>
    <n v="11"/>
    <s v="Yes"/>
    <s v="Yes"/>
    <n v="1.4999999999999999E-2"/>
    <s v="No"/>
    <n v="0"/>
  </r>
  <r>
    <s v="AP-0298"/>
    <s v="VND-019"/>
    <s v="SkyNet IT Solutions"/>
    <x v="1"/>
    <x v="0"/>
    <s v="Marco Diaz"/>
    <d v="2026-04-06T00:00:00"/>
    <d v="2026-05-06T00:00:00"/>
    <n v="30"/>
    <n v="39954.129999999997"/>
    <n v="39954.129999999997"/>
    <n v="0"/>
    <d v="2026-05-07T00:00:00"/>
    <s v="Paid"/>
    <s v="ACH"/>
    <n v="31"/>
    <n v="-1"/>
    <s v="No"/>
    <s v="Yes"/>
    <n v="0.01"/>
    <s v="No"/>
    <n v="0"/>
  </r>
  <r>
    <s v="AP-0299"/>
    <s v="VND-009"/>
    <s v="MetalWorks Ltd."/>
    <x v="2"/>
    <x v="0"/>
    <s v="Sofia Reyes"/>
    <d v="2025-02-11T00:00:00"/>
    <d v="2025-03-28T00:00:00"/>
    <n v="45"/>
    <n v="12321"/>
    <n v="12321"/>
    <n v="0"/>
    <d v="2025-04-03T00:00:00"/>
    <s v="Paid"/>
    <s v="Wire"/>
    <n v="51"/>
    <n v="-6"/>
    <s v="No"/>
    <s v="No"/>
    <n v="0"/>
    <s v="No"/>
    <n v="0"/>
  </r>
  <r>
    <s v="AP-0300"/>
    <s v="VND-023"/>
    <s v="CoolTech Systems"/>
    <x v="1"/>
    <x v="1"/>
    <s v="Laura Chen"/>
    <d v="2025-11-03T00:00:00"/>
    <d v="2025-11-18T00:00:00"/>
    <n v="15"/>
    <n v="24512.51"/>
    <n v="24512.51"/>
    <n v="0"/>
    <d v="2025-11-11T00:00:00"/>
    <s v="Paid"/>
    <s v="Credit Card"/>
    <n v="8"/>
    <n v="7"/>
    <s v="Yes"/>
    <s v="No"/>
    <n v="0"/>
    <s v="No"/>
    <n v="0"/>
  </r>
  <r>
    <s v="AP-0301"/>
    <s v="VND-024"/>
    <s v="EliteFacilities Corp."/>
    <x v="5"/>
    <x v="3"/>
    <s v="Marco Diaz"/>
    <d v="2025-04-15T00:00:00"/>
    <d v="2025-07-14T00:00:00"/>
    <n v="90"/>
    <n v="28528.59"/>
    <n v="28528.59"/>
    <n v="0"/>
    <d v="2025-07-18T00:00:00"/>
    <s v="Paid"/>
    <s v="ACH"/>
    <n v="94"/>
    <n v="-4"/>
    <s v="No"/>
    <s v="Yes"/>
    <n v="5.0000000000000001E-3"/>
    <s v="No"/>
    <n v="0"/>
  </r>
  <r>
    <s v="AP-0302"/>
    <s v="VND-025"/>
    <s v="RapidShip Co."/>
    <x v="0"/>
    <x v="1"/>
    <s v="Marco Diaz"/>
    <d v="2026-01-17T00:00:00"/>
    <d v="2026-03-18T00:00:00"/>
    <n v="60"/>
    <n v="14039.42"/>
    <n v="14039.42"/>
    <n v="0"/>
    <d v="2026-03-03T00:00:00"/>
    <s v="Paid"/>
    <s v="Wire"/>
    <n v="45"/>
    <n v="15"/>
    <s v="Yes"/>
    <s v="No"/>
    <n v="0"/>
    <s v="No"/>
    <n v="0"/>
  </r>
  <r>
    <s v="AP-0303"/>
    <s v="VND-003"/>
    <s v="FastShip Logistics"/>
    <x v="0"/>
    <x v="0"/>
    <s v="Sofia Reyes"/>
    <d v="2025-05-12T00:00:00"/>
    <d v="2025-08-10T00:00:00"/>
    <n v="90"/>
    <n v="2747.59"/>
    <n v="992.6"/>
    <n v="1754.99"/>
    <d v="2025-08-19T00:00:00"/>
    <s v="Partial"/>
    <s v="Wire"/>
    <n v="99"/>
    <n v="-9"/>
    <s v="No"/>
    <s v="No"/>
    <n v="0"/>
    <s v="No"/>
    <n v="0"/>
  </r>
  <r>
    <s v="AP-0304"/>
    <s v="VND-002"/>
    <s v="TechCore Solutions"/>
    <x v="1"/>
    <x v="1"/>
    <s v="Ana Torres"/>
    <d v="2026-05-24T00:00:00"/>
    <d v="2026-07-23T00:00:00"/>
    <n v="60"/>
    <n v="7211.17"/>
    <n v="0"/>
    <n v="7211.17"/>
    <m/>
    <s v="Pending"/>
    <s v="Credit Card"/>
    <m/>
    <m/>
    <m/>
    <s v="Yes"/>
    <n v="0.01"/>
    <s v="No"/>
    <n v="0"/>
  </r>
  <r>
    <s v="AP-0305"/>
    <s v="VND-006"/>
    <s v="PowerGrid Utilities"/>
    <x v="3"/>
    <x v="4"/>
    <s v="Laura Chen"/>
    <d v="2025-02-05T00:00:00"/>
    <d v="2025-03-07T00:00:00"/>
    <n v="30"/>
    <n v="9404.5499999999993"/>
    <n v="9404.5499999999993"/>
    <n v="0"/>
    <d v="2025-02-26T00:00:00"/>
    <s v="Paid"/>
    <s v="Credit Card"/>
    <n v="21"/>
    <n v="9"/>
    <s v="Yes"/>
    <s v="Yes"/>
    <n v="0.01"/>
    <s v="No"/>
    <n v="0"/>
  </r>
  <r>
    <s v="AP-0306"/>
    <s v="VND-016"/>
    <s v="CleanWater Utilities"/>
    <x v="3"/>
    <x v="2"/>
    <s v="Ana Torres"/>
    <d v="2025-03-31T00:00:00"/>
    <d v="2025-04-15T00:00:00"/>
    <n v="15"/>
    <n v="4556.75"/>
    <n v="4556.75"/>
    <n v="0"/>
    <d v="2025-04-22T00:00:00"/>
    <s v="Paid"/>
    <s v="Credit Card"/>
    <n v="22"/>
    <n v="-7"/>
    <s v="No"/>
    <s v="Yes"/>
    <n v="0.02"/>
    <s v="No"/>
    <n v="0"/>
  </r>
  <r>
    <s v="AP-0307"/>
    <s v="VND-021"/>
    <s v="PrimePack Logistics"/>
    <x v="0"/>
    <x v="3"/>
    <s v="Sofia Reyes"/>
    <d v="2026-05-07T00:00:00"/>
    <d v="2026-07-06T00:00:00"/>
    <n v="60"/>
    <n v="11345.84"/>
    <n v="0"/>
    <n v="11345.84"/>
    <m/>
    <s v="Overdue"/>
    <s v="Credit Card"/>
    <m/>
    <n v="36"/>
    <s v="No"/>
    <s v="Yes"/>
    <n v="0.01"/>
    <s v="No"/>
    <n v="0"/>
  </r>
  <r>
    <s v="AP-0308"/>
    <s v="VND-013"/>
    <s v="SafetyFirst Supplies"/>
    <x v="2"/>
    <x v="4"/>
    <s v="Marco Diaz"/>
    <d v="2025-08-13T00:00:00"/>
    <d v="2025-10-12T00:00:00"/>
    <n v="60"/>
    <n v="3406.57"/>
    <n v="3406.57"/>
    <n v="0"/>
    <d v="2025-10-06T00:00:00"/>
    <s v="Paid"/>
    <s v="ACH"/>
    <n v="54"/>
    <n v="6"/>
    <s v="Yes"/>
    <s v="No"/>
    <n v="0"/>
    <s v="No"/>
    <n v="0"/>
  </r>
  <r>
    <s v="AP-0309"/>
    <s v="VND-016"/>
    <s v="CleanWater Utilities"/>
    <x v="3"/>
    <x v="3"/>
    <s v="Laura Chen"/>
    <d v="2025-04-13T00:00:00"/>
    <d v="2025-05-13T00:00:00"/>
    <n v="30"/>
    <n v="4093.93"/>
    <n v="4093.93"/>
    <n v="0"/>
    <d v="2025-05-16T00:00:00"/>
    <s v="Paid"/>
    <s v="Wire"/>
    <n v="33"/>
    <n v="-3"/>
    <s v="No"/>
    <s v="Yes"/>
    <n v="0.01"/>
    <s v="No"/>
    <n v="0"/>
  </r>
  <r>
    <s v="AP-0310"/>
    <s v="VND-025"/>
    <s v="RapidShip Co."/>
    <x v="0"/>
    <x v="1"/>
    <s v="Ana Torres"/>
    <d v="2025-06-27T00:00:00"/>
    <d v="2025-08-26T00:00:00"/>
    <n v="60"/>
    <n v="4345.91"/>
    <n v="2819.68"/>
    <n v="1526.23"/>
    <d v="2025-09-08T00:00:00"/>
    <s v="Partial"/>
    <s v="Credit Card"/>
    <n v="73"/>
    <n v="-13"/>
    <s v="No"/>
    <s v="Yes"/>
    <n v="0.01"/>
    <s v="No"/>
    <n v="0"/>
  </r>
  <r>
    <s v="AP-0311"/>
    <s v="VND-001"/>
    <s v="Acme Supplies Co."/>
    <x v="2"/>
    <x v="4"/>
    <s v="Ana Torres"/>
    <d v="2026-05-20T00:00:00"/>
    <d v="2026-06-19T00:00:00"/>
    <n v="30"/>
    <n v="28021.98"/>
    <n v="0"/>
    <n v="28021.98"/>
    <m/>
    <s v="Pending"/>
    <s v="Wire"/>
    <m/>
    <m/>
    <m/>
    <s v="Yes"/>
    <n v="0.01"/>
    <s v="No"/>
    <n v="0"/>
  </r>
  <r>
    <s v="AP-0312"/>
    <s v="VND-020"/>
    <s v="TrustBuild Facilities"/>
    <x v="5"/>
    <x v="1"/>
    <s v="Sofia Reyes"/>
    <d v="2025-12-06T00:00:00"/>
    <d v="2025-12-21T00:00:00"/>
    <n v="15"/>
    <n v="32290.57"/>
    <n v="32290.57"/>
    <n v="0"/>
    <d v="2025-12-09T00:00:00"/>
    <s v="Paid"/>
    <s v="Credit Card"/>
    <n v="3"/>
    <n v="12"/>
    <s v="Yes"/>
    <s v="Yes"/>
    <n v="0.02"/>
    <s v="Yes"/>
    <n v="645.80999999999995"/>
  </r>
  <r>
    <s v="AP-0313"/>
    <s v="VND-023"/>
    <s v="CoolTech Systems"/>
    <x v="1"/>
    <x v="1"/>
    <s v="Laura Chen"/>
    <d v="2025-06-01T00:00:00"/>
    <d v="2025-06-16T00:00:00"/>
    <n v="15"/>
    <n v="48995.69"/>
    <n v="48995.69"/>
    <n v="0"/>
    <d v="2025-06-25T00:00:00"/>
    <s v="Paid"/>
    <s v="ACH"/>
    <n v="24"/>
    <n v="-9"/>
    <s v="No"/>
    <s v="No"/>
    <n v="0"/>
    <s v="No"/>
    <n v="0"/>
  </r>
  <r>
    <s v="AP-0314"/>
    <s v="VND-003"/>
    <s v="FastShip Logistics"/>
    <x v="0"/>
    <x v="4"/>
    <s v="Pedro Alvarez"/>
    <d v="2025-11-06T00:00:00"/>
    <d v="2026-01-05T00:00:00"/>
    <n v="60"/>
    <n v="7129.46"/>
    <n v="7129.46"/>
    <n v="0"/>
    <d v="2025-12-23T00:00:00"/>
    <s v="Paid"/>
    <s v="ACH"/>
    <n v="47"/>
    <n v="13"/>
    <s v="Yes"/>
    <s v="No"/>
    <n v="0"/>
    <s v="No"/>
    <n v="0"/>
  </r>
  <r>
    <s v="AP-0315"/>
    <s v="VND-014"/>
    <s v="NetConnect Systems"/>
    <x v="1"/>
    <x v="2"/>
    <s v="Laura Chen"/>
    <d v="2025-08-17T00:00:00"/>
    <d v="2025-10-16T00:00:00"/>
    <n v="60"/>
    <n v="54914.879999999997"/>
    <n v="54914.879999999997"/>
    <n v="0"/>
    <d v="2025-10-16T00:00:00"/>
    <s v="Paid"/>
    <s v="Wire"/>
    <n v="60"/>
    <n v="0"/>
    <s v="Yes"/>
    <s v="No"/>
    <n v="0"/>
    <s v="No"/>
    <n v="0"/>
  </r>
  <r>
    <s v="AP-0316"/>
    <s v="VND-006"/>
    <s v="PowerGrid Utilities"/>
    <x v="3"/>
    <x v="0"/>
    <s v="Ana Torres"/>
    <d v="2025-07-06T00:00:00"/>
    <d v="2025-07-21T00:00:00"/>
    <n v="15"/>
    <n v="9234.64"/>
    <n v="0"/>
    <n v="9234.64"/>
    <m/>
    <s v="Overdue"/>
    <s v="Credit Card"/>
    <m/>
    <n v="-314"/>
    <s v="No"/>
    <s v="No"/>
    <n v="0"/>
    <s v="No"/>
    <n v="0"/>
  </r>
  <r>
    <s v="AP-0317"/>
    <s v="VND-008"/>
    <s v="GreenEnergy Corp."/>
    <x v="3"/>
    <x v="3"/>
    <s v="Sofia Reyes"/>
    <d v="2025-12-06T00:00:00"/>
    <d v="2026-01-05T00:00:00"/>
    <n v="30"/>
    <n v="11307.48"/>
    <n v="0"/>
    <n v="11307.48"/>
    <m/>
    <s v="Overdue"/>
    <s v="Credit Card"/>
    <m/>
    <n v="-146"/>
    <s v="No"/>
    <s v="Yes"/>
    <n v="0.01"/>
    <s v="No"/>
    <n v="0"/>
  </r>
  <r>
    <s v="AP-0318"/>
    <s v="VND-006"/>
    <s v="PowerGrid Utilities"/>
    <x v="3"/>
    <x v="0"/>
    <s v="Laura Chen"/>
    <d v="2025-09-29T00:00:00"/>
    <d v="2025-10-14T00:00:00"/>
    <n v="15"/>
    <n v="3540.42"/>
    <n v="3540.42"/>
    <n v="0"/>
    <d v="2025-10-08T00:00:00"/>
    <s v="Paid"/>
    <s v="Credit Card"/>
    <n v="9"/>
    <n v="6"/>
    <s v="Yes"/>
    <s v="Yes"/>
    <n v="0.02"/>
    <s v="No"/>
    <n v="0"/>
  </r>
  <r>
    <s v="AP-0319"/>
    <s v="VND-004"/>
    <s v="BuildRight Materials"/>
    <x v="2"/>
    <x v="0"/>
    <s v="Sofia Reyes"/>
    <d v="2026-03-06T00:00:00"/>
    <d v="2026-06-04T00:00:00"/>
    <n v="90"/>
    <n v="48516.89"/>
    <n v="0"/>
    <n v="48516.89"/>
    <m/>
    <s v="Pending"/>
    <s v="Credit Card"/>
    <m/>
    <m/>
    <m/>
    <s v="No"/>
    <n v="0"/>
    <s v="No"/>
    <n v="0"/>
  </r>
  <r>
    <s v="AP-0320"/>
    <s v="VND-018"/>
    <s v="BuildFast Materials"/>
    <x v="2"/>
    <x v="2"/>
    <s v="Sofia Reyes"/>
    <d v="2025-06-16T00:00:00"/>
    <d v="2025-07-16T00:00:00"/>
    <n v="30"/>
    <n v="23661.8"/>
    <n v="23661.8"/>
    <n v="0"/>
    <d v="2025-07-22T00:00:00"/>
    <s v="Paid"/>
    <s v="Credit Card"/>
    <n v="36"/>
    <n v="-6"/>
    <s v="No"/>
    <s v="No"/>
    <n v="0"/>
    <s v="No"/>
    <n v="0"/>
  </r>
  <r>
    <s v="AP-0321"/>
    <s v="VND-004"/>
    <s v="BuildRight Materials"/>
    <x v="2"/>
    <x v="0"/>
    <s v="Laura Chen"/>
    <d v="2025-06-14T00:00:00"/>
    <d v="2025-08-13T00:00:00"/>
    <n v="60"/>
    <n v="37135.279999999999"/>
    <n v="12869.32"/>
    <n v="24265.96"/>
    <d v="2025-08-27T00:00:00"/>
    <s v="Partial"/>
    <s v="Wire"/>
    <n v="74"/>
    <n v="-14"/>
    <s v="No"/>
    <s v="Yes"/>
    <n v="0.01"/>
    <s v="No"/>
    <n v="0"/>
  </r>
  <r>
    <s v="AP-0322"/>
    <s v="VND-020"/>
    <s v="TrustBuild Facilities"/>
    <x v="5"/>
    <x v="2"/>
    <s v="Sofia Reyes"/>
    <d v="2026-03-21T00:00:00"/>
    <d v="2026-04-20T00:00:00"/>
    <n v="30"/>
    <n v="7184.42"/>
    <n v="0"/>
    <n v="7184.42"/>
    <m/>
    <s v="Pending"/>
    <s v="Credit Card"/>
    <m/>
    <m/>
    <m/>
    <s v="Yes"/>
    <n v="0.01"/>
    <s v="No"/>
    <n v="0"/>
  </r>
  <r>
    <s v="AP-0323"/>
    <s v="VND-023"/>
    <s v="CoolTech Systems"/>
    <x v="1"/>
    <x v="3"/>
    <s v="Ana Torres"/>
    <d v="2025-11-01T00:00:00"/>
    <d v="2025-12-16T00:00:00"/>
    <n v="45"/>
    <n v="22816.12"/>
    <n v="22816.12"/>
    <n v="0"/>
    <d v="2025-12-16T00:00:00"/>
    <s v="Paid"/>
    <s v="Check"/>
    <n v="45"/>
    <n v="0"/>
    <s v="Yes"/>
    <s v="Yes"/>
    <n v="1.4999999999999999E-2"/>
    <s v="No"/>
    <n v="0"/>
  </r>
  <r>
    <s v="AP-0324"/>
    <s v="VND-016"/>
    <s v="CleanWater Utilities"/>
    <x v="3"/>
    <x v="1"/>
    <s v="Sofia Reyes"/>
    <d v="2026-03-14T00:00:00"/>
    <d v="2026-03-29T00:00:00"/>
    <n v="15"/>
    <n v="1770.61"/>
    <n v="1770.61"/>
    <n v="0"/>
    <d v="2026-03-26T00:00:00"/>
    <s v="Paid"/>
    <s v="Check"/>
    <n v="12"/>
    <n v="3"/>
    <s v="Yes"/>
    <s v="No"/>
    <n v="0"/>
    <s v="No"/>
    <n v="0"/>
  </r>
  <r>
    <s v="AP-0325"/>
    <s v="VND-007"/>
    <s v="ProStaff Services"/>
    <x v="4"/>
    <x v="1"/>
    <s v="Laura Chen"/>
    <d v="2025-04-29T00:00:00"/>
    <d v="2025-07-28T00:00:00"/>
    <n v="90"/>
    <n v="14409.08"/>
    <n v="14409.08"/>
    <n v="0"/>
    <d v="2025-07-28T00:00:00"/>
    <s v="Paid"/>
    <s v="ACH"/>
    <n v="90"/>
    <n v="0"/>
    <s v="Yes"/>
    <s v="Yes"/>
    <n v="5.0000000000000001E-3"/>
    <s v="No"/>
    <n v="0"/>
  </r>
  <r>
    <s v="AP-0326"/>
    <s v="VND-022"/>
    <s v="Apex Consulting"/>
    <x v="4"/>
    <x v="4"/>
    <s v="Sofia Reyes"/>
    <d v="2026-01-15T00:00:00"/>
    <d v="2026-02-14T00:00:00"/>
    <n v="30"/>
    <n v="35763.230000000003"/>
    <n v="35763.230000000003"/>
    <n v="0"/>
    <d v="2026-02-14T00:00:00"/>
    <s v="Paid"/>
    <s v="Credit Card"/>
    <n v="30"/>
    <n v="0"/>
    <s v="Yes"/>
    <s v="Yes"/>
    <n v="0.01"/>
    <s v="No"/>
    <n v="0"/>
  </r>
  <r>
    <s v="AP-0327"/>
    <s v="VND-008"/>
    <s v="GreenEnergy Corp."/>
    <x v="3"/>
    <x v="4"/>
    <s v="Ana Torres"/>
    <d v="2025-04-10T00:00:00"/>
    <d v="2025-05-10T00:00:00"/>
    <n v="30"/>
    <n v="1742.76"/>
    <n v="1742.76"/>
    <n v="0"/>
    <d v="2025-05-18T00:00:00"/>
    <s v="Paid"/>
    <s v="ACH"/>
    <n v="38"/>
    <n v="-8"/>
    <s v="No"/>
    <s v="Yes"/>
    <n v="0.01"/>
    <s v="No"/>
    <n v="0"/>
  </r>
  <r>
    <s v="AP-0328"/>
    <s v="VND-025"/>
    <s v="RapidShip Co."/>
    <x v="0"/>
    <x v="3"/>
    <s v="Marco Diaz"/>
    <d v="2026-03-05T00:00:00"/>
    <d v="2026-05-04T00:00:00"/>
    <n v="60"/>
    <n v="19346.93"/>
    <n v="0"/>
    <n v="19346.93"/>
    <m/>
    <s v="Overdue"/>
    <s v="ACH"/>
    <m/>
    <n v="-27"/>
    <s v="No"/>
    <s v="Yes"/>
    <n v="0.01"/>
    <s v="No"/>
    <n v="0"/>
  </r>
  <r>
    <s v="AP-0329"/>
    <s v="VND-008"/>
    <s v="GreenEnergy Corp."/>
    <x v="3"/>
    <x v="2"/>
    <s v="Laura Chen"/>
    <d v="2025-02-05T00:00:00"/>
    <d v="2025-04-06T00:00:00"/>
    <n v="60"/>
    <n v="7780.47"/>
    <n v="4969.91"/>
    <n v="2810.56"/>
    <d v="2025-04-20T00:00:00"/>
    <s v="Partial"/>
    <s v="ACH"/>
    <n v="74"/>
    <n v="-14"/>
    <s v="No"/>
    <s v="No"/>
    <n v="0"/>
    <s v="No"/>
    <n v="0"/>
  </r>
  <r>
    <s v="AP-0330"/>
    <s v="VND-005"/>
    <s v="CloudSys Inc."/>
    <x v="1"/>
    <x v="0"/>
    <s v="Pedro Alvarez"/>
    <d v="2025-08-05T00:00:00"/>
    <d v="2025-09-04T00:00:00"/>
    <n v="30"/>
    <n v="65634.55"/>
    <n v="65634.55"/>
    <n v="0"/>
    <d v="2025-09-12T00:00:00"/>
    <s v="Paid"/>
    <s v="Wire"/>
    <n v="38"/>
    <n v="-8"/>
    <s v="No"/>
    <s v="Yes"/>
    <n v="0.01"/>
    <s v="No"/>
    <n v="0"/>
  </r>
  <r>
    <s v="AP-0331"/>
    <s v="VND-021"/>
    <s v="PrimePack Logistics"/>
    <x v="0"/>
    <x v="1"/>
    <s v="Ana Torres"/>
    <d v="2025-03-10T00:00:00"/>
    <d v="2025-05-09T00:00:00"/>
    <n v="60"/>
    <n v="2653.52"/>
    <n v="2653.52"/>
    <n v="0"/>
    <d v="2025-05-09T00:00:00"/>
    <s v="Paid"/>
    <s v="Check"/>
    <n v="60"/>
    <n v="0"/>
    <s v="Yes"/>
    <s v="Yes"/>
    <n v="0.01"/>
    <s v="No"/>
    <n v="0"/>
  </r>
  <r>
    <s v="AP-0332"/>
    <s v="VND-009"/>
    <s v="MetalWorks Ltd."/>
    <x v="2"/>
    <x v="3"/>
    <s v="Pedro Alvarez"/>
    <d v="2025-04-26T00:00:00"/>
    <d v="2025-06-25T00:00:00"/>
    <n v="60"/>
    <n v="21893.24"/>
    <n v="21893.24"/>
    <n v="0"/>
    <d v="2025-06-25T00:00:00"/>
    <s v="Paid"/>
    <s v="ACH"/>
    <n v="60"/>
    <n v="0"/>
    <s v="Yes"/>
    <s v="Yes"/>
    <n v="0.01"/>
    <s v="No"/>
    <n v="0"/>
  </r>
  <r>
    <s v="AP-0333"/>
    <s v="VND-004"/>
    <s v="BuildRight Materials"/>
    <x v="2"/>
    <x v="3"/>
    <s v="Sofia Reyes"/>
    <d v="2026-02-25T00:00:00"/>
    <d v="2026-04-26T00:00:00"/>
    <n v="60"/>
    <n v="14678.56"/>
    <n v="14678.56"/>
    <n v="0"/>
    <d v="2026-04-08T00:00:00"/>
    <s v="Paid"/>
    <s v="Check"/>
    <n v="42"/>
    <n v="18"/>
    <s v="Yes"/>
    <s v="Yes"/>
    <n v="0.01"/>
    <s v="No"/>
    <n v="0"/>
  </r>
  <r>
    <s v="AP-0334"/>
    <s v="VND-006"/>
    <s v="PowerGrid Utilities"/>
    <x v="3"/>
    <x v="4"/>
    <s v="Pedro Alvarez"/>
    <d v="2025-02-09T00:00:00"/>
    <d v="2025-04-10T00:00:00"/>
    <n v="60"/>
    <n v="6238.99"/>
    <n v="6238.99"/>
    <n v="0"/>
    <d v="2025-04-18T00:00:00"/>
    <s v="Paid"/>
    <s v="Wire"/>
    <n v="68"/>
    <n v="-8"/>
    <s v="No"/>
    <s v="No"/>
    <n v="0"/>
    <s v="No"/>
    <n v="0"/>
  </r>
  <r>
    <s v="AP-0335"/>
    <s v="VND-009"/>
    <s v="MetalWorks Ltd."/>
    <x v="2"/>
    <x v="4"/>
    <s v="Sofia Reyes"/>
    <d v="2025-11-15T00:00:00"/>
    <d v="2025-12-30T00:00:00"/>
    <n v="45"/>
    <n v="15456.64"/>
    <n v="15456.64"/>
    <n v="0"/>
    <d v="2026-01-01T00:00:00"/>
    <s v="Paid"/>
    <s v="Check"/>
    <n v="47"/>
    <n v="-2"/>
    <s v="No"/>
    <s v="Yes"/>
    <n v="1.4999999999999999E-2"/>
    <s v="No"/>
    <n v="0"/>
  </r>
  <r>
    <s v="AP-0336"/>
    <s v="VND-004"/>
    <s v="BuildRight Materials"/>
    <x v="2"/>
    <x v="1"/>
    <s v="Marco Diaz"/>
    <d v="2025-11-25T00:00:00"/>
    <d v="2026-02-23T00:00:00"/>
    <n v="90"/>
    <n v="14932.16"/>
    <n v="14932.16"/>
    <n v="0"/>
    <d v="2026-02-25T00:00:00"/>
    <s v="Paid"/>
    <s v="Check"/>
    <n v="92"/>
    <n v="-2"/>
    <s v="No"/>
    <s v="Yes"/>
    <n v="5.0000000000000001E-3"/>
    <s v="No"/>
    <n v="0"/>
  </r>
  <r>
    <s v="AP-0337"/>
    <s v="VND-014"/>
    <s v="NetConnect Systems"/>
    <x v="1"/>
    <x v="2"/>
    <s v="Ana Torres"/>
    <d v="2025-06-12T00:00:00"/>
    <d v="2025-06-27T00:00:00"/>
    <n v="15"/>
    <n v="9921.27"/>
    <n v="9921.27"/>
    <n v="0"/>
    <d v="2025-07-02T00:00:00"/>
    <s v="Paid"/>
    <s v="Check"/>
    <n v="20"/>
    <n v="-5"/>
    <s v="No"/>
    <s v="No"/>
    <n v="0"/>
    <s v="No"/>
    <n v="0"/>
  </r>
  <r>
    <s v="AP-0338"/>
    <s v="VND-025"/>
    <s v="RapidShip Co."/>
    <x v="0"/>
    <x v="3"/>
    <s v="Ana Torres"/>
    <d v="2025-07-17T00:00:00"/>
    <d v="2025-08-16T00:00:00"/>
    <n v="30"/>
    <n v="17628.43"/>
    <n v="17628.43"/>
    <n v="0"/>
    <d v="2025-08-18T00:00:00"/>
    <s v="Paid"/>
    <s v="ACH"/>
    <n v="32"/>
    <n v="-2"/>
    <s v="No"/>
    <s v="Yes"/>
    <n v="0.01"/>
    <s v="No"/>
    <n v="0"/>
  </r>
  <r>
    <s v="AP-0339"/>
    <s v="VND-012"/>
    <s v="FacilityPro Services"/>
    <x v="5"/>
    <x v="1"/>
    <s v="Laura Chen"/>
    <d v="2026-02-11T00:00:00"/>
    <d v="2026-05-12T00:00:00"/>
    <n v="90"/>
    <n v="22968.52"/>
    <n v="0"/>
    <n v="22968.52"/>
    <m/>
    <s v="Pending"/>
    <s v="Check"/>
    <m/>
    <m/>
    <m/>
    <s v="Yes"/>
    <n v="5.0000000000000001E-3"/>
    <s v="No"/>
    <n v="0"/>
  </r>
  <r>
    <s v="AP-0340"/>
    <s v="VND-020"/>
    <s v="TrustBuild Facilities"/>
    <x v="5"/>
    <x v="2"/>
    <s v="Marco Diaz"/>
    <d v="2025-12-19T00:00:00"/>
    <d v="2026-02-17T00:00:00"/>
    <n v="60"/>
    <n v="7395.95"/>
    <n v="7395.95"/>
    <n v="0"/>
    <d v="2026-02-17T00:00:00"/>
    <s v="Paid"/>
    <s v="Credit Card"/>
    <n v="60"/>
    <n v="0"/>
    <s v="Yes"/>
    <s v="No"/>
    <n v="0"/>
    <s v="No"/>
    <n v="0"/>
  </r>
  <r>
    <s v="AP-0341"/>
    <s v="VND-023"/>
    <s v="CoolTech Systems"/>
    <x v="1"/>
    <x v="0"/>
    <s v="Laura Chen"/>
    <d v="2025-02-20T00:00:00"/>
    <d v="2025-04-21T00:00:00"/>
    <n v="60"/>
    <n v="17218.060000000001"/>
    <n v="0"/>
    <n v="17218.060000000001"/>
    <m/>
    <s v="Overdue"/>
    <s v="ACH"/>
    <m/>
    <n v="-405"/>
    <s v="No"/>
    <s v="Yes"/>
    <n v="0.01"/>
    <s v="No"/>
    <n v="0"/>
  </r>
  <r>
    <s v="AP-0342"/>
    <s v="VND-008"/>
    <s v="GreenEnergy Corp."/>
    <x v="3"/>
    <x v="1"/>
    <s v="Marco Diaz"/>
    <d v="2025-01-21T00:00:00"/>
    <d v="2025-03-22T00:00:00"/>
    <n v="60"/>
    <n v="13037.13"/>
    <n v="13037.13"/>
    <n v="0"/>
    <d v="2025-03-18T00:00:00"/>
    <s v="Paid"/>
    <s v="Check"/>
    <n v="56"/>
    <n v="4"/>
    <s v="Yes"/>
    <s v="No"/>
    <n v="0"/>
    <s v="No"/>
    <n v="0"/>
  </r>
  <r>
    <s v="AP-0343"/>
    <s v="VND-006"/>
    <s v="PowerGrid Utilities"/>
    <x v="3"/>
    <x v="3"/>
    <s v="Sofia Reyes"/>
    <d v="2025-11-09T00:00:00"/>
    <d v="2025-12-24T00:00:00"/>
    <n v="45"/>
    <n v="10834.74"/>
    <n v="10834.74"/>
    <n v="0"/>
    <d v="2025-12-24T00:00:00"/>
    <s v="Paid"/>
    <s v="Wire"/>
    <n v="45"/>
    <n v="0"/>
    <s v="Yes"/>
    <s v="No"/>
    <n v="0"/>
    <s v="No"/>
    <n v="0"/>
  </r>
  <r>
    <s v="AP-0344"/>
    <s v="VND-013"/>
    <s v="SafetyFirst Supplies"/>
    <x v="2"/>
    <x v="4"/>
    <s v="Pedro Alvarez"/>
    <d v="2026-04-23T00:00:00"/>
    <d v="2026-05-23T00:00:00"/>
    <n v="30"/>
    <n v="16502.96"/>
    <n v="16502.96"/>
    <n v="0"/>
    <d v="2026-05-31T00:00:00"/>
    <s v="Paid"/>
    <s v="Check"/>
    <n v="38"/>
    <n v="-8"/>
    <s v="No"/>
    <s v="Yes"/>
    <n v="0.01"/>
    <s v="No"/>
    <n v="0"/>
  </r>
  <r>
    <s v="AP-0345"/>
    <s v="VND-012"/>
    <s v="FacilityPro Services"/>
    <x v="5"/>
    <x v="3"/>
    <s v="Ana Torres"/>
    <d v="2025-04-21T00:00:00"/>
    <d v="2025-06-05T00:00:00"/>
    <n v="45"/>
    <n v="17897.37"/>
    <n v="17897.37"/>
    <n v="0"/>
    <d v="2025-06-06T00:00:00"/>
    <s v="Paid"/>
    <s v="Check"/>
    <n v="46"/>
    <n v="-1"/>
    <s v="No"/>
    <s v="Yes"/>
    <n v="1.4999999999999999E-2"/>
    <s v="No"/>
    <n v="0"/>
  </r>
  <r>
    <s v="AP-0346"/>
    <s v="VND-011"/>
    <s v="QuickFreight Inc."/>
    <x v="0"/>
    <x v="4"/>
    <s v="Laura Chen"/>
    <d v="2025-06-03T00:00:00"/>
    <d v="2025-07-03T00:00:00"/>
    <n v="30"/>
    <n v="10828.58"/>
    <n v="10828.58"/>
    <n v="0"/>
    <d v="2025-07-12T00:00:00"/>
    <s v="Paid"/>
    <s v="Check"/>
    <n v="39"/>
    <n v="-9"/>
    <s v="No"/>
    <s v="Yes"/>
    <n v="0.01"/>
    <s v="No"/>
    <n v="0"/>
  </r>
  <r>
    <s v="AP-0347"/>
    <s v="VND-013"/>
    <s v="SafetyFirst Supplies"/>
    <x v="2"/>
    <x v="4"/>
    <s v="Marco Diaz"/>
    <d v="2025-10-30T00:00:00"/>
    <d v="2026-01-28T00:00:00"/>
    <n v="90"/>
    <n v="14452.46"/>
    <n v="14452.46"/>
    <n v="0"/>
    <d v="2026-01-17T00:00:00"/>
    <s v="Paid"/>
    <s v="ACH"/>
    <n v="79"/>
    <n v="11"/>
    <s v="Yes"/>
    <s v="Yes"/>
    <n v="5.0000000000000001E-3"/>
    <s v="No"/>
    <n v="0"/>
  </r>
  <r>
    <s v="AP-0348"/>
    <s v="VND-002"/>
    <s v="TechCore Solutions"/>
    <x v="1"/>
    <x v="3"/>
    <s v="Ana Torres"/>
    <d v="2025-08-16T00:00:00"/>
    <d v="2025-10-15T00:00:00"/>
    <n v="60"/>
    <n v="56473.86"/>
    <n v="56473.86"/>
    <n v="0"/>
    <d v="2025-10-22T00:00:00"/>
    <s v="Paid"/>
    <s v="Wire"/>
    <n v="67"/>
    <n v="-7"/>
    <s v="No"/>
    <s v="Yes"/>
    <n v="0.01"/>
    <s v="No"/>
    <n v="0"/>
  </r>
  <r>
    <s v="AP-0349"/>
    <s v="VND-010"/>
    <s v="DataBridge IT"/>
    <x v="1"/>
    <x v="1"/>
    <s v="Ana Torres"/>
    <d v="2025-04-10T00:00:00"/>
    <d v="2025-05-25T00:00:00"/>
    <n v="45"/>
    <n v="40308.57"/>
    <n v="40308.57"/>
    <n v="0"/>
    <d v="2025-05-23T00:00:00"/>
    <s v="Paid"/>
    <s v="Wire"/>
    <n v="43"/>
    <n v="2"/>
    <s v="Yes"/>
    <s v="No"/>
    <n v="0"/>
    <s v="No"/>
    <n v="0"/>
  </r>
  <r>
    <s v="AP-0350"/>
    <s v="VND-018"/>
    <s v="BuildFast Materials"/>
    <x v="2"/>
    <x v="1"/>
    <s v="Laura Chen"/>
    <d v="2025-12-30T00:00:00"/>
    <d v="2026-01-29T00:00:00"/>
    <n v="30"/>
    <n v="12719.74"/>
    <n v="12719.74"/>
    <n v="0"/>
    <d v="2026-02-03T00:00:00"/>
    <s v="Paid"/>
    <s v="ACH"/>
    <n v="35"/>
    <n v="-5"/>
    <s v="No"/>
    <s v="No"/>
    <n v="0"/>
    <s v="No"/>
    <n v="0"/>
  </r>
  <r>
    <s v="AP-0351"/>
    <s v="VND-019"/>
    <s v="SkyNet IT Solutions"/>
    <x v="1"/>
    <x v="4"/>
    <s v="Pedro Alvarez"/>
    <d v="2025-02-24T00:00:00"/>
    <d v="2025-05-25T00:00:00"/>
    <n v="90"/>
    <n v="69979.5"/>
    <n v="0"/>
    <n v="69979.5"/>
    <m/>
    <s v="Overdue"/>
    <s v="ACH"/>
    <m/>
    <n v="-371"/>
    <s v="No"/>
    <s v="Yes"/>
    <n v="5.0000000000000001E-3"/>
    <s v="No"/>
    <n v="0"/>
  </r>
  <r>
    <s v="AP-0352"/>
    <s v="VND-003"/>
    <s v="FastShip Logistics"/>
    <x v="0"/>
    <x v="2"/>
    <s v="Marco Diaz"/>
    <d v="2025-11-02T00:00:00"/>
    <d v="2026-01-01T00:00:00"/>
    <n v="60"/>
    <n v="8849.0400000000009"/>
    <n v="8849.0400000000009"/>
    <n v="0"/>
    <d v="2025-12-27T00:00:00"/>
    <s v="Paid"/>
    <s v="ACH"/>
    <n v="55"/>
    <n v="5"/>
    <s v="Yes"/>
    <s v="No"/>
    <n v="0"/>
    <s v="No"/>
    <n v="0"/>
  </r>
  <r>
    <s v="AP-0353"/>
    <s v="VND-007"/>
    <s v="ProStaff Services"/>
    <x v="4"/>
    <x v="4"/>
    <s v="Pedro Alvarez"/>
    <d v="2025-11-20T00:00:00"/>
    <d v="2025-12-20T00:00:00"/>
    <n v="30"/>
    <n v="34908.58"/>
    <n v="34908.58"/>
    <n v="0"/>
    <d v="2025-12-09T00:00:00"/>
    <s v="Paid"/>
    <s v="Credit Card"/>
    <n v="19"/>
    <n v="11"/>
    <s v="Yes"/>
    <s v="Yes"/>
    <n v="0.01"/>
    <s v="No"/>
    <n v="0"/>
  </r>
  <r>
    <s v="AP-0354"/>
    <s v="VND-011"/>
    <s v="QuickFreight Inc."/>
    <x v="0"/>
    <x v="0"/>
    <s v="Sofia Reyes"/>
    <d v="2025-08-03T00:00:00"/>
    <d v="2025-09-17T00:00:00"/>
    <n v="45"/>
    <n v="15462.67"/>
    <n v="15462.67"/>
    <n v="0"/>
    <d v="2025-10-07T00:00:00"/>
    <s v="Paid"/>
    <s v="Credit Card"/>
    <n v="65"/>
    <n v="-20"/>
    <s v="No"/>
    <s v="Yes"/>
    <n v="1.4999999999999999E-2"/>
    <s v="No"/>
    <n v="0"/>
  </r>
  <r>
    <s v="AP-0355"/>
    <s v="VND-016"/>
    <s v="CleanWater Utilities"/>
    <x v="3"/>
    <x v="0"/>
    <s v="Marco Diaz"/>
    <d v="2026-02-18T00:00:00"/>
    <d v="2026-04-19T00:00:00"/>
    <n v="60"/>
    <n v="6720.87"/>
    <n v="6720.87"/>
    <n v="0"/>
    <d v="2026-04-17T00:00:00"/>
    <s v="Paid"/>
    <s v="Credit Card"/>
    <n v="58"/>
    <n v="2"/>
    <s v="Yes"/>
    <s v="Yes"/>
    <n v="0.01"/>
    <s v="No"/>
    <n v="0"/>
  </r>
  <r>
    <s v="AP-0356"/>
    <s v="VND-011"/>
    <s v="QuickFreight Inc."/>
    <x v="0"/>
    <x v="3"/>
    <s v="Marco Diaz"/>
    <d v="2025-09-12T00:00:00"/>
    <d v="2025-09-27T00:00:00"/>
    <n v="15"/>
    <n v="5299.05"/>
    <n v="5299.05"/>
    <n v="0"/>
    <d v="2025-09-13T00:00:00"/>
    <s v="Paid"/>
    <s v="ACH"/>
    <n v="1"/>
    <n v="14"/>
    <s v="Yes"/>
    <s v="No"/>
    <n v="0"/>
    <s v="No"/>
    <n v="0"/>
  </r>
  <r>
    <s v="AP-0357"/>
    <s v="VND-004"/>
    <s v="BuildRight Materials"/>
    <x v="2"/>
    <x v="2"/>
    <s v="Ana Torres"/>
    <d v="2025-03-08T00:00:00"/>
    <d v="2025-04-07T00:00:00"/>
    <n v="30"/>
    <n v="41544.5"/>
    <n v="41544.5"/>
    <n v="0"/>
    <d v="2025-04-06T00:00:00"/>
    <s v="Paid"/>
    <s v="Check"/>
    <n v="29"/>
    <n v="1"/>
    <s v="Yes"/>
    <s v="Yes"/>
    <n v="0.01"/>
    <s v="No"/>
    <n v="0"/>
  </r>
  <r>
    <s v="AP-0358"/>
    <s v="VND-011"/>
    <s v="QuickFreight Inc."/>
    <x v="0"/>
    <x v="2"/>
    <s v="Marco Diaz"/>
    <d v="2026-01-03T00:00:00"/>
    <d v="2026-04-03T00:00:00"/>
    <n v="90"/>
    <n v="15252.2"/>
    <n v="0"/>
    <n v="15252.2"/>
    <m/>
    <s v="Overdue"/>
    <s v="Check"/>
    <m/>
    <n v="-58"/>
    <s v="No"/>
    <s v="Yes"/>
    <n v="5.0000000000000001E-3"/>
    <s v="No"/>
    <n v="0"/>
  </r>
  <r>
    <s v="AP-0359"/>
    <s v="VND-001"/>
    <s v="Acme Supplies Co."/>
    <x v="2"/>
    <x v="1"/>
    <s v="Marco Diaz"/>
    <d v="2025-01-23T00:00:00"/>
    <d v="2025-02-22T00:00:00"/>
    <n v="30"/>
    <n v="30305.26"/>
    <n v="30305.26"/>
    <n v="0"/>
    <d v="2025-02-12T00:00:00"/>
    <s v="Paid"/>
    <s v="Wire"/>
    <n v="20"/>
    <n v="10"/>
    <s v="Yes"/>
    <s v="Yes"/>
    <n v="0.01"/>
    <s v="No"/>
    <n v="0"/>
  </r>
  <r>
    <s v="AP-0360"/>
    <s v="VND-021"/>
    <s v="PrimePack Logistics"/>
    <x v="0"/>
    <x v="0"/>
    <s v="Pedro Alvarez"/>
    <d v="2025-02-19T00:00:00"/>
    <d v="2025-03-06T00:00:00"/>
    <n v="15"/>
    <n v="13577.43"/>
    <n v="13577.43"/>
    <n v="0"/>
    <d v="2025-03-03T00:00:00"/>
    <s v="Paid"/>
    <s v="Check"/>
    <n v="12"/>
    <n v="3"/>
    <s v="Yes"/>
    <s v="Yes"/>
    <n v="0.02"/>
    <s v="No"/>
    <n v="0"/>
  </r>
  <r>
    <s v="AP-0361"/>
    <s v="VND-013"/>
    <s v="SafetyFirst Supplies"/>
    <x v="2"/>
    <x v="0"/>
    <s v="Ana Torres"/>
    <d v="2025-06-06T00:00:00"/>
    <d v="2025-09-04T00:00:00"/>
    <n v="90"/>
    <n v="11863.76"/>
    <n v="11863.76"/>
    <n v="0"/>
    <d v="2025-08-28T00:00:00"/>
    <s v="Paid"/>
    <s v="Check"/>
    <n v="83"/>
    <n v="7"/>
    <s v="Yes"/>
    <s v="Yes"/>
    <n v="5.0000000000000001E-3"/>
    <s v="No"/>
    <n v="0"/>
  </r>
  <r>
    <s v="AP-0362"/>
    <s v="VND-014"/>
    <s v="NetConnect Systems"/>
    <x v="1"/>
    <x v="0"/>
    <s v="Ana Torres"/>
    <d v="2026-03-05T00:00:00"/>
    <d v="2026-04-04T00:00:00"/>
    <n v="30"/>
    <n v="67298.95"/>
    <n v="0"/>
    <n v="67298.95"/>
    <m/>
    <s v="Pending"/>
    <s v="Check"/>
    <m/>
    <m/>
    <m/>
    <s v="Yes"/>
    <n v="0.01"/>
    <s v="No"/>
    <n v="0"/>
  </r>
  <r>
    <s v="AP-0363"/>
    <s v="VND-004"/>
    <s v="BuildRight Materials"/>
    <x v="2"/>
    <x v="0"/>
    <s v="Pedro Alvarez"/>
    <d v="2025-09-27T00:00:00"/>
    <d v="2025-10-27T00:00:00"/>
    <n v="30"/>
    <n v="41911.94"/>
    <n v="41911.94"/>
    <n v="0"/>
    <d v="2025-10-24T00:00:00"/>
    <s v="Paid"/>
    <s v="Wire"/>
    <n v="27"/>
    <n v="3"/>
    <s v="Yes"/>
    <s v="No"/>
    <n v="0"/>
    <s v="No"/>
    <n v="0"/>
  </r>
  <r>
    <s v="AP-0364"/>
    <s v="VND-018"/>
    <s v="BuildFast Materials"/>
    <x v="2"/>
    <x v="2"/>
    <s v="Marco Diaz"/>
    <d v="2025-08-29T00:00:00"/>
    <d v="2025-10-28T00:00:00"/>
    <n v="60"/>
    <n v="2131.42"/>
    <n v="0"/>
    <n v="2131.42"/>
    <m/>
    <s v="Overdue"/>
    <s v="Credit Card"/>
    <m/>
    <n v="-215"/>
    <s v="No"/>
    <s v="Yes"/>
    <n v="0.01"/>
    <s v="No"/>
    <n v="0"/>
  </r>
  <r>
    <s v="AP-0365"/>
    <s v="VND-019"/>
    <s v="SkyNet IT Solutions"/>
    <x v="1"/>
    <x v="2"/>
    <s v="Marco Diaz"/>
    <d v="2025-04-14T00:00:00"/>
    <d v="2025-05-14T00:00:00"/>
    <n v="30"/>
    <n v="72858.45"/>
    <n v="72858.45"/>
    <n v="0"/>
    <d v="2025-05-16T00:00:00"/>
    <s v="Paid"/>
    <s v="ACH"/>
    <n v="32"/>
    <n v="-2"/>
    <s v="No"/>
    <s v="Yes"/>
    <n v="0.01"/>
    <s v="No"/>
    <n v="0"/>
  </r>
  <r>
    <s v="AP-0366"/>
    <s v="VND-010"/>
    <s v="DataBridge IT"/>
    <x v="1"/>
    <x v="4"/>
    <s v="Pedro Alvarez"/>
    <d v="2025-06-28T00:00:00"/>
    <d v="2025-07-28T00:00:00"/>
    <n v="30"/>
    <n v="70560.53"/>
    <n v="70560.53"/>
    <n v="0"/>
    <d v="2025-07-25T00:00:00"/>
    <s v="Paid"/>
    <s v="ACH"/>
    <n v="27"/>
    <n v="3"/>
    <s v="Yes"/>
    <s v="No"/>
    <n v="0"/>
    <s v="No"/>
    <n v="0"/>
  </r>
  <r>
    <s v="AP-0367"/>
    <s v="VND-004"/>
    <s v="BuildRight Materials"/>
    <x v="2"/>
    <x v="0"/>
    <s v="Sofia Reyes"/>
    <d v="2025-06-24T00:00:00"/>
    <d v="2025-07-24T00:00:00"/>
    <n v="30"/>
    <n v="17775.72"/>
    <n v="0"/>
    <n v="17775.72"/>
    <m/>
    <s v="Overdue"/>
    <s v="ACH"/>
    <m/>
    <n v="-311"/>
    <s v="No"/>
    <s v="No"/>
    <n v="0"/>
    <s v="No"/>
    <n v="0"/>
  </r>
  <r>
    <s v="AP-0368"/>
    <s v="VND-009"/>
    <s v="MetalWorks Ltd."/>
    <x v="2"/>
    <x v="0"/>
    <s v="Laura Chen"/>
    <d v="2025-04-27T00:00:00"/>
    <d v="2025-05-27T00:00:00"/>
    <n v="30"/>
    <n v="21237.32"/>
    <n v="21237.32"/>
    <n v="0"/>
    <d v="2025-05-20T00:00:00"/>
    <s v="Paid"/>
    <s v="Check"/>
    <n v="23"/>
    <n v="7"/>
    <s v="Yes"/>
    <s v="No"/>
    <n v="0"/>
    <s v="No"/>
    <n v="0"/>
  </r>
  <r>
    <s v="AP-0369"/>
    <s v="VND-013"/>
    <s v="SafetyFirst Supplies"/>
    <x v="2"/>
    <x v="2"/>
    <s v="Pedro Alvarez"/>
    <d v="2025-05-16T00:00:00"/>
    <d v="2025-06-15T00:00:00"/>
    <n v="30"/>
    <n v="35416.15"/>
    <n v="0"/>
    <n v="35416.15"/>
    <m/>
    <s v="Overdue"/>
    <s v="Wire"/>
    <m/>
    <n v="-350"/>
    <s v="No"/>
    <s v="Yes"/>
    <n v="0.01"/>
    <s v="No"/>
    <n v="0"/>
  </r>
  <r>
    <s v="AP-0370"/>
    <s v="VND-006"/>
    <s v="PowerGrid Utilities"/>
    <x v="3"/>
    <x v="0"/>
    <s v="Pedro Alvarez"/>
    <d v="2025-07-05T00:00:00"/>
    <d v="2025-10-03T00:00:00"/>
    <n v="90"/>
    <n v="9364.19"/>
    <n v="9364.19"/>
    <n v="0"/>
    <d v="2025-10-13T00:00:00"/>
    <s v="Paid"/>
    <s v="Credit Card"/>
    <n v="100"/>
    <n v="-10"/>
    <s v="No"/>
    <s v="No"/>
    <n v="0"/>
    <s v="No"/>
    <n v="0"/>
  </r>
  <r>
    <s v="AP-0371"/>
    <s v="VND-024"/>
    <s v="EliteFacilities Corp."/>
    <x v="5"/>
    <x v="1"/>
    <s v="Pedro Alvarez"/>
    <d v="2026-02-26T00:00:00"/>
    <d v="2026-03-28T00:00:00"/>
    <n v="30"/>
    <n v="16542.7"/>
    <n v="16542.7"/>
    <n v="0"/>
    <d v="2026-03-16T00:00:00"/>
    <s v="Paid"/>
    <s v="Credit Card"/>
    <n v="18"/>
    <n v="12"/>
    <s v="Yes"/>
    <s v="Yes"/>
    <n v="0.01"/>
    <s v="No"/>
    <n v="0"/>
  </r>
  <r>
    <s v="AP-0372"/>
    <s v="VND-001"/>
    <s v="Acme Supplies Co."/>
    <x v="2"/>
    <x v="3"/>
    <s v="Ana Torres"/>
    <d v="2025-04-08T00:00:00"/>
    <d v="2025-06-07T00:00:00"/>
    <n v="60"/>
    <n v="22776.7"/>
    <n v="22776.7"/>
    <n v="0"/>
    <d v="2025-06-02T00:00:00"/>
    <s v="Paid"/>
    <s v="Wire"/>
    <n v="55"/>
    <n v="5"/>
    <s v="Yes"/>
    <s v="No"/>
    <n v="0"/>
    <s v="No"/>
    <n v="0"/>
  </r>
  <r>
    <s v="AP-0373"/>
    <s v="VND-005"/>
    <s v="CloudSys Inc."/>
    <x v="1"/>
    <x v="3"/>
    <s v="Ana Torres"/>
    <d v="2025-06-10T00:00:00"/>
    <d v="2025-06-25T00:00:00"/>
    <n v="15"/>
    <n v="42917.57"/>
    <n v="42917.57"/>
    <n v="0"/>
    <d v="2025-06-16T00:00:00"/>
    <s v="Paid"/>
    <s v="ACH"/>
    <n v="6"/>
    <n v="9"/>
    <s v="Yes"/>
    <s v="Yes"/>
    <n v="0.02"/>
    <s v="No"/>
    <n v="0"/>
  </r>
  <r>
    <s v="AP-0374"/>
    <s v="VND-006"/>
    <s v="PowerGrid Utilities"/>
    <x v="3"/>
    <x v="0"/>
    <s v="Pedro Alvarez"/>
    <d v="2025-12-05T00:00:00"/>
    <d v="2026-01-04T00:00:00"/>
    <n v="30"/>
    <n v="14567.1"/>
    <n v="14567.1"/>
    <n v="0"/>
    <d v="2025-12-30T00:00:00"/>
    <s v="Paid"/>
    <s v="Check"/>
    <n v="25"/>
    <n v="5"/>
    <s v="Yes"/>
    <s v="Yes"/>
    <n v="0.01"/>
    <s v="No"/>
    <n v="0"/>
  </r>
  <r>
    <s v="AP-0375"/>
    <s v="VND-008"/>
    <s v="GreenEnergy Corp."/>
    <x v="3"/>
    <x v="0"/>
    <s v="Pedro Alvarez"/>
    <d v="2025-04-01T00:00:00"/>
    <d v="2025-06-30T00:00:00"/>
    <n v="90"/>
    <n v="12920.54"/>
    <n v="12920.54"/>
    <n v="0"/>
    <d v="2025-06-24T00:00:00"/>
    <s v="Paid"/>
    <s v="Credit Card"/>
    <n v="84"/>
    <n v="6"/>
    <s v="Yes"/>
    <s v="Yes"/>
    <n v="5.0000000000000001E-3"/>
    <s v="No"/>
    <n v="0"/>
  </r>
  <r>
    <s v="AP-0376"/>
    <s v="VND-016"/>
    <s v="CleanWater Utilities"/>
    <x v="3"/>
    <x v="0"/>
    <s v="Sofia Reyes"/>
    <d v="2025-02-06T00:00:00"/>
    <d v="2025-04-07T00:00:00"/>
    <n v="60"/>
    <n v="8578.4"/>
    <n v="8578.4"/>
    <n v="0"/>
    <d v="2025-03-30T00:00:00"/>
    <s v="Paid"/>
    <s v="Credit Card"/>
    <n v="52"/>
    <n v="8"/>
    <s v="Yes"/>
    <s v="Yes"/>
    <n v="0.01"/>
    <s v="No"/>
    <n v="0"/>
  </r>
  <r>
    <s v="AP-0377"/>
    <s v="VND-010"/>
    <s v="DataBridge IT"/>
    <x v="1"/>
    <x v="3"/>
    <s v="Ana Torres"/>
    <d v="2025-12-16T00:00:00"/>
    <d v="2026-03-16T00:00:00"/>
    <n v="90"/>
    <n v="32250.69"/>
    <n v="32250.69"/>
    <n v="0"/>
    <d v="2026-03-10T00:00:00"/>
    <s v="Paid"/>
    <s v="Wire"/>
    <n v="84"/>
    <n v="6"/>
    <s v="Yes"/>
    <s v="Yes"/>
    <n v="5.0000000000000001E-3"/>
    <s v="No"/>
    <n v="0"/>
  </r>
  <r>
    <s v="AP-0378"/>
    <s v="VND-015"/>
    <s v="ExpressRoute Logistics"/>
    <x v="0"/>
    <x v="4"/>
    <s v="Ana Torres"/>
    <d v="2026-04-09T00:00:00"/>
    <d v="2026-06-08T00:00:00"/>
    <n v="60"/>
    <n v="3166.44"/>
    <n v="0"/>
    <n v="3166.44"/>
    <m/>
    <s v="Pending"/>
    <s v="Credit Card"/>
    <m/>
    <m/>
    <m/>
    <s v="No"/>
    <n v="0"/>
    <s v="No"/>
    <n v="0"/>
  </r>
  <r>
    <s v="AP-0379"/>
    <s v="VND-021"/>
    <s v="PrimePack Logistics"/>
    <x v="0"/>
    <x v="4"/>
    <s v="Ana Torres"/>
    <d v="2025-02-16T00:00:00"/>
    <d v="2025-03-18T00:00:00"/>
    <n v="30"/>
    <n v="18040.669999999998"/>
    <n v="12109.9"/>
    <n v="5930.77"/>
    <d v="2025-03-26T00:00:00"/>
    <s v="Partial"/>
    <s v="Check"/>
    <n v="38"/>
    <n v="-8"/>
    <s v="No"/>
    <s v="Yes"/>
    <n v="0.01"/>
    <s v="No"/>
    <n v="0"/>
  </r>
  <r>
    <s v="AP-0380"/>
    <s v="VND-004"/>
    <s v="BuildRight Materials"/>
    <x v="2"/>
    <x v="4"/>
    <s v="Ana Torres"/>
    <d v="2025-05-04T00:00:00"/>
    <d v="2025-06-03T00:00:00"/>
    <n v="30"/>
    <n v="46650.38"/>
    <n v="46650.38"/>
    <n v="0"/>
    <d v="2025-06-05T00:00:00"/>
    <s v="Paid"/>
    <s v="Wire"/>
    <n v="32"/>
    <n v="-2"/>
    <s v="No"/>
    <s v="Yes"/>
    <n v="0.01"/>
    <s v="No"/>
    <n v="0"/>
  </r>
  <r>
    <s v="AP-0381"/>
    <s v="VND-004"/>
    <s v="BuildRight Materials"/>
    <x v="2"/>
    <x v="2"/>
    <s v="Sofia Reyes"/>
    <d v="2026-04-14T00:00:00"/>
    <d v="2026-07-13T00:00:00"/>
    <n v="90"/>
    <n v="33605.919999999998"/>
    <n v="33605.919999999998"/>
    <n v="0"/>
    <d v="2026-05-31T00:00:00"/>
    <s v="Paid"/>
    <s v="ACH"/>
    <n v="47"/>
    <n v="43"/>
    <s v="Yes"/>
    <s v="No"/>
    <n v="0"/>
    <s v="No"/>
    <n v="0"/>
  </r>
  <r>
    <s v="AP-0382"/>
    <s v="VND-017"/>
    <s v="OfficePro Services"/>
    <x v="4"/>
    <x v="0"/>
    <s v="Ana Torres"/>
    <d v="2025-07-01T00:00:00"/>
    <d v="2025-09-29T00:00:00"/>
    <n v="90"/>
    <n v="28597.26"/>
    <n v="10059.86"/>
    <n v="18537.400000000001"/>
    <d v="2025-10-15T00:00:00"/>
    <s v="Partial"/>
    <s v="Credit Card"/>
    <n v="106"/>
    <n v="-16"/>
    <s v="No"/>
    <s v="Yes"/>
    <n v="5.0000000000000001E-3"/>
    <s v="No"/>
    <n v="0"/>
  </r>
  <r>
    <s v="AP-0383"/>
    <s v="VND-020"/>
    <s v="TrustBuild Facilities"/>
    <x v="5"/>
    <x v="3"/>
    <s v="Laura Chen"/>
    <d v="2025-09-12T00:00:00"/>
    <d v="2025-11-11T00:00:00"/>
    <n v="60"/>
    <n v="11028.66"/>
    <n v="0"/>
    <n v="11028.66"/>
    <m/>
    <s v="Overdue"/>
    <s v="Credit Card"/>
    <m/>
    <n v="-201"/>
    <s v="No"/>
    <s v="No"/>
    <n v="0"/>
    <s v="No"/>
    <n v="0"/>
  </r>
  <r>
    <s v="AP-0384"/>
    <s v="VND-015"/>
    <s v="ExpressRoute Logistics"/>
    <x v="0"/>
    <x v="1"/>
    <s v="Marco Diaz"/>
    <d v="2025-11-18T00:00:00"/>
    <d v="2026-01-02T00:00:00"/>
    <n v="45"/>
    <n v="14525.61"/>
    <n v="14525.61"/>
    <n v="0"/>
    <d v="2026-01-05T00:00:00"/>
    <s v="Paid"/>
    <s v="Credit Card"/>
    <n v="48"/>
    <n v="-3"/>
    <s v="No"/>
    <s v="No"/>
    <n v="0"/>
    <s v="No"/>
    <n v="0"/>
  </r>
  <r>
    <s v="AP-0385"/>
    <s v="VND-010"/>
    <s v="DataBridge IT"/>
    <x v="1"/>
    <x v="4"/>
    <s v="Marco Diaz"/>
    <d v="2025-04-29T00:00:00"/>
    <d v="2025-06-28T00:00:00"/>
    <n v="60"/>
    <n v="62058.13"/>
    <n v="62058.13"/>
    <n v="0"/>
    <d v="2025-07-08T00:00:00"/>
    <s v="Paid"/>
    <s v="Wire"/>
    <n v="70"/>
    <n v="-10"/>
    <s v="No"/>
    <s v="Yes"/>
    <n v="0.01"/>
    <s v="No"/>
    <n v="0"/>
  </r>
  <r>
    <s v="AP-0386"/>
    <s v="VND-022"/>
    <s v="Apex Consulting"/>
    <x v="4"/>
    <x v="2"/>
    <s v="Ana Torres"/>
    <d v="2025-01-14T00:00:00"/>
    <d v="2025-03-15T00:00:00"/>
    <n v="60"/>
    <n v="22341.01"/>
    <n v="22341.01"/>
    <n v="0"/>
    <d v="2025-03-13T00:00:00"/>
    <s v="Paid"/>
    <s v="Check"/>
    <n v="58"/>
    <n v="2"/>
    <s v="Yes"/>
    <s v="Yes"/>
    <n v="0.01"/>
    <s v="No"/>
    <n v="0"/>
  </r>
  <r>
    <s v="AP-0387"/>
    <s v="VND-025"/>
    <s v="RapidShip Co."/>
    <x v="0"/>
    <x v="1"/>
    <s v="Laura Chen"/>
    <d v="2025-03-05T00:00:00"/>
    <d v="2025-04-04T00:00:00"/>
    <n v="30"/>
    <n v="14121.3"/>
    <n v="14121.3"/>
    <n v="0"/>
    <d v="2025-03-31T00:00:00"/>
    <s v="Paid"/>
    <s v="Check"/>
    <n v="26"/>
    <n v="4"/>
    <s v="Yes"/>
    <s v="Yes"/>
    <n v="0.01"/>
    <s v="No"/>
    <n v="0"/>
  </r>
  <r>
    <s v="AP-0388"/>
    <s v="VND-002"/>
    <s v="TechCore Solutions"/>
    <x v="1"/>
    <x v="4"/>
    <s v="Pedro Alvarez"/>
    <d v="2026-02-03T00:00:00"/>
    <d v="2026-03-05T00:00:00"/>
    <n v="30"/>
    <n v="22819.66"/>
    <n v="10127.81"/>
    <n v="12691.85"/>
    <d v="2026-03-21T00:00:00"/>
    <s v="Partial"/>
    <s v="ACH"/>
    <n v="46"/>
    <n v="-16"/>
    <s v="No"/>
    <s v="No"/>
    <n v="0"/>
    <s v="No"/>
    <n v="0"/>
  </r>
  <r>
    <s v="AP-0389"/>
    <s v="VND-002"/>
    <s v="TechCore Solutions"/>
    <x v="1"/>
    <x v="2"/>
    <s v="Pedro Alvarez"/>
    <d v="2025-02-25T00:00:00"/>
    <d v="2025-04-26T00:00:00"/>
    <n v="60"/>
    <n v="5972.39"/>
    <n v="5972.39"/>
    <n v="0"/>
    <d v="2025-04-29T00:00:00"/>
    <s v="Paid"/>
    <s v="Credit Card"/>
    <n v="63"/>
    <n v="-3"/>
    <s v="No"/>
    <s v="Yes"/>
    <n v="0.01"/>
    <s v="No"/>
    <n v="0"/>
  </r>
  <r>
    <s v="AP-0390"/>
    <s v="VND-008"/>
    <s v="GreenEnergy Corp."/>
    <x v="3"/>
    <x v="4"/>
    <s v="Ana Torres"/>
    <d v="2025-10-29T00:00:00"/>
    <d v="2025-11-28T00:00:00"/>
    <n v="30"/>
    <n v="7007.82"/>
    <n v="7007.82"/>
    <n v="0"/>
    <d v="2025-11-13T00:00:00"/>
    <s v="Paid"/>
    <s v="Wire"/>
    <n v="15"/>
    <n v="15"/>
    <s v="Yes"/>
    <s v="No"/>
    <n v="0"/>
    <s v="No"/>
    <n v="0"/>
  </r>
  <r>
    <s v="AP-0391"/>
    <s v="VND-006"/>
    <s v="PowerGrid Utilities"/>
    <x v="3"/>
    <x v="3"/>
    <s v="Sofia Reyes"/>
    <d v="2026-03-15T00:00:00"/>
    <d v="2026-03-30T00:00:00"/>
    <n v="15"/>
    <n v="4547.13"/>
    <n v="4547.13"/>
    <n v="0"/>
    <d v="2026-03-30T00:00:00"/>
    <s v="Paid"/>
    <s v="Credit Card"/>
    <n v="15"/>
    <n v="0"/>
    <s v="Yes"/>
    <s v="Yes"/>
    <n v="0.02"/>
    <s v="No"/>
    <n v="0"/>
  </r>
  <r>
    <s v="AP-0392"/>
    <s v="VND-015"/>
    <s v="ExpressRoute Logistics"/>
    <x v="0"/>
    <x v="1"/>
    <s v="Sofia Reyes"/>
    <d v="2025-02-22T00:00:00"/>
    <d v="2025-04-23T00:00:00"/>
    <n v="60"/>
    <n v="15699.56"/>
    <n v="7073.87"/>
    <n v="8625.69"/>
    <d v="2025-05-13T00:00:00"/>
    <s v="Partial"/>
    <s v="Wire"/>
    <n v="80"/>
    <n v="-20"/>
    <s v="No"/>
    <s v="Yes"/>
    <n v="0.01"/>
    <s v="No"/>
    <n v="0"/>
  </r>
  <r>
    <s v="AP-0393"/>
    <s v="VND-019"/>
    <s v="SkyNet IT Solutions"/>
    <x v="1"/>
    <x v="3"/>
    <s v="Laura Chen"/>
    <d v="2025-08-14T00:00:00"/>
    <d v="2025-10-13T00:00:00"/>
    <n v="60"/>
    <n v="76774.080000000002"/>
    <n v="29149.99"/>
    <n v="47624.09"/>
    <d v="2025-10-25T00:00:00"/>
    <s v="Partial"/>
    <s v="ACH"/>
    <n v="72"/>
    <n v="-12"/>
    <s v="No"/>
    <s v="Yes"/>
    <n v="0.01"/>
    <s v="No"/>
    <n v="0"/>
  </r>
  <r>
    <s v="AP-0394"/>
    <s v="VND-018"/>
    <s v="BuildFast Materials"/>
    <x v="2"/>
    <x v="2"/>
    <s v="Sofia Reyes"/>
    <d v="2025-08-07T00:00:00"/>
    <d v="2025-09-06T00:00:00"/>
    <n v="30"/>
    <n v="33840.050000000003"/>
    <n v="33840.050000000003"/>
    <n v="0"/>
    <d v="2025-09-06T00:00:00"/>
    <s v="Paid"/>
    <s v="Check"/>
    <n v="30"/>
    <n v="0"/>
    <s v="Yes"/>
    <s v="Yes"/>
    <n v="0.01"/>
    <s v="No"/>
    <n v="0"/>
  </r>
  <r>
    <s v="AP-0395"/>
    <s v="VND-025"/>
    <s v="RapidShip Co."/>
    <x v="0"/>
    <x v="3"/>
    <s v="Ana Torres"/>
    <d v="2025-04-28T00:00:00"/>
    <d v="2025-05-13T00:00:00"/>
    <n v="15"/>
    <n v="13709.83"/>
    <n v="0"/>
    <n v="13709.83"/>
    <m/>
    <s v="Overdue"/>
    <s v="Credit Card"/>
    <m/>
    <n v="-383"/>
    <s v="No"/>
    <s v="Yes"/>
    <n v="0.02"/>
    <s v="No"/>
    <n v="0"/>
  </r>
  <r>
    <s v="AP-0396"/>
    <s v="VND-020"/>
    <s v="TrustBuild Facilities"/>
    <x v="5"/>
    <x v="3"/>
    <s v="Marco Diaz"/>
    <d v="2026-01-26T00:00:00"/>
    <d v="2026-03-27T00:00:00"/>
    <n v="60"/>
    <n v="32225.77"/>
    <n v="32225.77"/>
    <n v="0"/>
    <d v="2026-03-21T00:00:00"/>
    <s v="Paid"/>
    <s v="ACH"/>
    <n v="54"/>
    <n v="6"/>
    <s v="Yes"/>
    <s v="No"/>
    <n v="0"/>
    <s v="No"/>
    <n v="0"/>
  </r>
  <r>
    <s v="AP-0397"/>
    <s v="VND-017"/>
    <s v="OfficePro Services"/>
    <x v="4"/>
    <x v="4"/>
    <s v="Ana Torres"/>
    <d v="2025-02-14T00:00:00"/>
    <d v="2025-05-15T00:00:00"/>
    <n v="90"/>
    <n v="13968.06"/>
    <n v="13968.06"/>
    <n v="0"/>
    <d v="2025-05-14T00:00:00"/>
    <s v="Paid"/>
    <s v="Credit Card"/>
    <n v="89"/>
    <n v="1"/>
    <s v="Yes"/>
    <s v="Yes"/>
    <n v="5.0000000000000001E-3"/>
    <s v="No"/>
    <n v="0"/>
  </r>
  <r>
    <s v="AP-0398"/>
    <s v="VND-003"/>
    <s v="FastShip Logistics"/>
    <x v="0"/>
    <x v="0"/>
    <s v="Marco Diaz"/>
    <d v="2025-08-04T00:00:00"/>
    <d v="2025-09-03T00:00:00"/>
    <n v="30"/>
    <n v="13736.37"/>
    <n v="7034.46"/>
    <n v="6701.91"/>
    <d v="2025-09-01T00:00:00"/>
    <s v="Partial"/>
    <s v="ACH"/>
    <n v="28"/>
    <n v="2"/>
    <s v="Yes"/>
    <s v="No"/>
    <n v="0"/>
    <s v="No"/>
    <n v="0"/>
  </r>
  <r>
    <s v="AP-0399"/>
    <s v="VND-007"/>
    <s v="ProStaff Services"/>
    <x v="4"/>
    <x v="3"/>
    <s v="Pedro Alvarez"/>
    <d v="2025-01-25T00:00:00"/>
    <d v="2025-02-24T00:00:00"/>
    <n v="30"/>
    <n v="19991.330000000002"/>
    <n v="19991.330000000002"/>
    <n v="0"/>
    <d v="2025-03-09T00:00:00"/>
    <s v="Paid"/>
    <s v="ACH"/>
    <n v="43"/>
    <n v="-13"/>
    <s v="No"/>
    <s v="Yes"/>
    <n v="0.01"/>
    <s v="No"/>
    <n v="0"/>
  </r>
  <r>
    <s v="AP-0400"/>
    <s v="VND-018"/>
    <s v="BuildFast Materials"/>
    <x v="2"/>
    <x v="0"/>
    <s v="Ana Torres"/>
    <d v="2026-02-22T00:00:00"/>
    <d v="2026-04-08T00:00:00"/>
    <n v="45"/>
    <n v="20625.560000000001"/>
    <n v="0"/>
    <n v="20625.560000000001"/>
    <m/>
    <s v="Pending"/>
    <s v="Wire"/>
    <m/>
    <m/>
    <m/>
    <s v="Yes"/>
    <n v="1.4999999999999999E-2"/>
    <s v="No"/>
    <n v="0"/>
  </r>
  <r>
    <s v="AP-0401"/>
    <s v="VND-022"/>
    <s v="Apex Consulting"/>
    <x v="4"/>
    <x v="0"/>
    <s v="Ana Torres"/>
    <d v="2025-02-16T00:00:00"/>
    <d v="2025-03-18T00:00:00"/>
    <n v="30"/>
    <n v="28932.639999999999"/>
    <n v="0"/>
    <n v="28932.639999999999"/>
    <m/>
    <s v="Overdue"/>
    <s v="ACH"/>
    <m/>
    <n v="-439"/>
    <s v="No"/>
    <s v="Yes"/>
    <n v="0.01"/>
    <s v="No"/>
    <n v="0"/>
  </r>
  <r>
    <s v="AP-0402"/>
    <s v="VND-004"/>
    <s v="BuildRight Materials"/>
    <x v="2"/>
    <x v="4"/>
    <s v="Laura Chen"/>
    <d v="2026-03-25T00:00:00"/>
    <d v="2026-05-09T00:00:00"/>
    <n v="45"/>
    <n v="20307.849999999999"/>
    <n v="0"/>
    <n v="20307.849999999999"/>
    <m/>
    <s v="Pending"/>
    <s v="ACH"/>
    <m/>
    <m/>
    <m/>
    <s v="No"/>
    <n v="0"/>
    <s v="No"/>
    <n v="0"/>
  </r>
  <r>
    <s v="AP-0403"/>
    <s v="VND-008"/>
    <s v="GreenEnergy Corp."/>
    <x v="3"/>
    <x v="1"/>
    <s v="Pedro Alvarez"/>
    <d v="2025-11-02T00:00:00"/>
    <d v="2025-12-02T00:00:00"/>
    <n v="30"/>
    <n v="10320.69"/>
    <n v="6859.77"/>
    <n v="3460.92"/>
    <d v="2025-12-08T00:00:00"/>
    <s v="Partial"/>
    <s v="Check"/>
    <n v="36"/>
    <n v="-6"/>
    <s v="No"/>
    <s v="No"/>
    <n v="0"/>
    <s v="No"/>
    <n v="0"/>
  </r>
  <r>
    <s v="AP-0404"/>
    <s v="VND-001"/>
    <s v="Acme Supplies Co."/>
    <x v="2"/>
    <x v="3"/>
    <s v="Ana Torres"/>
    <d v="2025-02-12T00:00:00"/>
    <d v="2025-03-14T00:00:00"/>
    <n v="30"/>
    <n v="2241.4299999999998"/>
    <n v="2241.4299999999998"/>
    <n v="0"/>
    <d v="2025-03-18T00:00:00"/>
    <s v="Paid"/>
    <s v="Wire"/>
    <n v="34"/>
    <n v="-4"/>
    <s v="No"/>
    <s v="Yes"/>
    <n v="0.01"/>
    <s v="No"/>
    <n v="0"/>
  </r>
  <r>
    <s v="AP-0405"/>
    <s v="VND-003"/>
    <s v="FastShip Logistics"/>
    <x v="0"/>
    <x v="4"/>
    <s v="Marco Diaz"/>
    <d v="2026-02-27T00:00:00"/>
    <d v="2026-03-29T00:00:00"/>
    <n v="30"/>
    <n v="18206.93"/>
    <n v="18206.93"/>
    <n v="0"/>
    <d v="2026-04-02T00:00:00"/>
    <s v="Paid"/>
    <s v="Check"/>
    <n v="34"/>
    <n v="-4"/>
    <s v="No"/>
    <s v="No"/>
    <n v="0"/>
    <s v="No"/>
    <n v="0"/>
  </r>
  <r>
    <s v="AP-0406"/>
    <s v="VND-009"/>
    <s v="MetalWorks Ltd."/>
    <x v="2"/>
    <x v="1"/>
    <s v="Sofia Reyes"/>
    <d v="2026-04-18T00:00:00"/>
    <d v="2026-05-03T00:00:00"/>
    <n v="15"/>
    <n v="32944.379999999997"/>
    <n v="0"/>
    <n v="32944.379999999997"/>
    <m/>
    <s v="Pending"/>
    <s v="Wire"/>
    <m/>
    <m/>
    <m/>
    <s v="Yes"/>
    <n v="0.02"/>
    <s v="No"/>
    <n v="0"/>
  </r>
  <r>
    <s v="AP-0407"/>
    <s v="VND-007"/>
    <s v="ProStaff Services"/>
    <x v="4"/>
    <x v="3"/>
    <s v="Pedro Alvarez"/>
    <d v="2025-05-12T00:00:00"/>
    <d v="2025-07-11T00:00:00"/>
    <n v="60"/>
    <n v="27837.94"/>
    <n v="27837.94"/>
    <n v="0"/>
    <d v="2025-07-21T00:00:00"/>
    <s v="Paid"/>
    <s v="Check"/>
    <n v="70"/>
    <n v="-10"/>
    <s v="No"/>
    <s v="Yes"/>
    <n v="0.01"/>
    <s v="No"/>
    <n v="0"/>
  </r>
  <r>
    <s v="AP-0408"/>
    <s v="VND-003"/>
    <s v="FastShip Logistics"/>
    <x v="0"/>
    <x v="1"/>
    <s v="Laura Chen"/>
    <d v="2025-12-03T00:00:00"/>
    <d v="2026-03-03T00:00:00"/>
    <n v="90"/>
    <n v="12710.51"/>
    <n v="12710.51"/>
    <n v="0"/>
    <d v="2026-02-25T00:00:00"/>
    <s v="Paid"/>
    <s v="Credit Card"/>
    <n v="84"/>
    <n v="6"/>
    <s v="Yes"/>
    <s v="Yes"/>
    <n v="5.0000000000000001E-3"/>
    <s v="No"/>
    <n v="0"/>
  </r>
  <r>
    <s v="AP-0409"/>
    <s v="VND-011"/>
    <s v="QuickFreight Inc."/>
    <x v="0"/>
    <x v="2"/>
    <s v="Marco Diaz"/>
    <d v="2025-09-10T00:00:00"/>
    <d v="2025-11-09T00:00:00"/>
    <n v="60"/>
    <n v="15927.54"/>
    <n v="15927.54"/>
    <n v="0"/>
    <d v="2025-11-06T00:00:00"/>
    <s v="Paid"/>
    <s v="ACH"/>
    <n v="57"/>
    <n v="3"/>
    <s v="Yes"/>
    <s v="No"/>
    <n v="0"/>
    <s v="No"/>
    <n v="0"/>
  </r>
  <r>
    <s v="AP-0410"/>
    <s v="VND-009"/>
    <s v="MetalWorks Ltd."/>
    <x v="2"/>
    <x v="4"/>
    <s v="Marco Diaz"/>
    <d v="2026-04-19T00:00:00"/>
    <d v="2026-07-18T00:00:00"/>
    <n v="90"/>
    <n v="23377.18"/>
    <n v="0"/>
    <n v="23377.18"/>
    <m/>
    <s v="Pending"/>
    <s v="Check"/>
    <m/>
    <m/>
    <m/>
    <s v="No"/>
    <n v="0"/>
    <s v="No"/>
    <n v="0"/>
  </r>
  <r>
    <s v="AP-0411"/>
    <s v="VND-021"/>
    <s v="PrimePack Logistics"/>
    <x v="0"/>
    <x v="3"/>
    <s v="Sofia Reyes"/>
    <d v="2025-07-21T00:00:00"/>
    <d v="2025-08-20T00:00:00"/>
    <n v="30"/>
    <n v="6001.46"/>
    <n v="6001.46"/>
    <n v="0"/>
    <d v="2025-08-21T00:00:00"/>
    <s v="Paid"/>
    <s v="Check"/>
    <n v="31"/>
    <n v="-1"/>
    <s v="No"/>
    <s v="No"/>
    <n v="0"/>
    <s v="No"/>
    <n v="0"/>
  </r>
  <r>
    <s v="AP-0412"/>
    <s v="VND-017"/>
    <s v="OfficePro Services"/>
    <x v="4"/>
    <x v="0"/>
    <s v="Ana Torres"/>
    <d v="2025-02-07T00:00:00"/>
    <d v="2025-03-09T00:00:00"/>
    <n v="30"/>
    <n v="23408.98"/>
    <n v="0"/>
    <n v="23408.98"/>
    <m/>
    <s v="Overdue"/>
    <s v="Credit Card"/>
    <m/>
    <n v="-448"/>
    <s v="No"/>
    <s v="Yes"/>
    <n v="0.01"/>
    <s v="No"/>
    <n v="0"/>
  </r>
  <r>
    <s v="AP-0413"/>
    <s v="VND-016"/>
    <s v="CleanWater Utilities"/>
    <x v="3"/>
    <x v="1"/>
    <s v="Laura Chen"/>
    <d v="2025-10-25T00:00:00"/>
    <d v="2025-11-24T00:00:00"/>
    <n v="30"/>
    <n v="2441.2800000000002"/>
    <n v="2441.2800000000002"/>
    <n v="0"/>
    <d v="2025-11-24T00:00:00"/>
    <s v="Paid"/>
    <s v="Credit Card"/>
    <n v="30"/>
    <n v="0"/>
    <s v="Yes"/>
    <s v="Yes"/>
    <n v="0.01"/>
    <s v="No"/>
    <n v="0"/>
  </r>
  <r>
    <s v="AP-0414"/>
    <s v="VND-012"/>
    <s v="FacilityPro Services"/>
    <x v="5"/>
    <x v="3"/>
    <s v="Sofia Reyes"/>
    <d v="2025-05-24T00:00:00"/>
    <d v="2025-06-23T00:00:00"/>
    <n v="30"/>
    <n v="16725.27"/>
    <n v="0"/>
    <n v="16725.27"/>
    <m/>
    <s v="Overdue"/>
    <s v="Wire"/>
    <m/>
    <n v="-342"/>
    <s v="No"/>
    <s v="Yes"/>
    <n v="0.01"/>
    <s v="No"/>
    <n v="0"/>
  </r>
  <r>
    <s v="AP-0415"/>
    <s v="VND-022"/>
    <s v="Apex Consulting"/>
    <x v="4"/>
    <x v="1"/>
    <s v="Pedro Alvarez"/>
    <d v="2025-08-13T00:00:00"/>
    <d v="2025-08-28T00:00:00"/>
    <n v="15"/>
    <n v="31174.48"/>
    <n v="31174.48"/>
    <n v="0"/>
    <d v="2025-08-29T00:00:00"/>
    <s v="Paid"/>
    <s v="Check"/>
    <n v="16"/>
    <n v="-1"/>
    <s v="No"/>
    <s v="Yes"/>
    <n v="0.02"/>
    <s v="No"/>
    <n v="0"/>
  </r>
  <r>
    <s v="AP-0416"/>
    <s v="VND-017"/>
    <s v="OfficePro Services"/>
    <x v="4"/>
    <x v="4"/>
    <s v="Pedro Alvarez"/>
    <d v="2025-02-17T00:00:00"/>
    <d v="2025-05-18T00:00:00"/>
    <n v="90"/>
    <n v="4476.47"/>
    <n v="4476.47"/>
    <n v="0"/>
    <d v="2025-05-29T00:00:00"/>
    <s v="Paid"/>
    <s v="Credit Card"/>
    <n v="101"/>
    <n v="-11"/>
    <s v="No"/>
    <s v="Yes"/>
    <n v="5.0000000000000001E-3"/>
    <s v="No"/>
    <n v="0"/>
  </r>
  <r>
    <s v="AP-0417"/>
    <s v="VND-017"/>
    <s v="OfficePro Services"/>
    <x v="4"/>
    <x v="4"/>
    <s v="Laura Chen"/>
    <d v="2026-01-23T00:00:00"/>
    <d v="2026-03-24T00:00:00"/>
    <n v="60"/>
    <n v="16515.98"/>
    <n v="9221.39"/>
    <n v="7294.59"/>
    <d v="2026-03-31T00:00:00"/>
    <s v="Partial"/>
    <s v="Wire"/>
    <n v="67"/>
    <n v="-7"/>
    <s v="No"/>
    <s v="Yes"/>
    <n v="0.01"/>
    <s v="No"/>
    <n v="0"/>
  </r>
  <r>
    <s v="AP-0418"/>
    <s v="VND-008"/>
    <s v="GreenEnergy Corp."/>
    <x v="3"/>
    <x v="3"/>
    <s v="Pedro Alvarez"/>
    <d v="2026-05-14T00:00:00"/>
    <d v="2026-07-13T00:00:00"/>
    <n v="60"/>
    <n v="11993.53"/>
    <n v="11993.53"/>
    <n v="0"/>
    <d v="2026-05-31T00:00:00"/>
    <s v="Paid"/>
    <s v="Check"/>
    <n v="17"/>
    <n v="43"/>
    <s v="Yes"/>
    <s v="No"/>
    <n v="0"/>
    <s v="No"/>
    <n v="0"/>
  </r>
  <r>
    <s v="AP-0419"/>
    <s v="VND-017"/>
    <s v="OfficePro Services"/>
    <x v="4"/>
    <x v="4"/>
    <s v="Marco Diaz"/>
    <d v="2025-06-11T00:00:00"/>
    <d v="2025-07-11T00:00:00"/>
    <n v="30"/>
    <n v="16402.25"/>
    <n v="16402.25"/>
    <n v="0"/>
    <d v="2025-07-13T00:00:00"/>
    <s v="Paid"/>
    <s v="Wire"/>
    <n v="32"/>
    <n v="-2"/>
    <s v="No"/>
    <s v="No"/>
    <n v="0"/>
    <s v="No"/>
    <n v="0"/>
  </r>
  <r>
    <s v="AP-0420"/>
    <s v="VND-008"/>
    <s v="GreenEnergy Corp."/>
    <x v="3"/>
    <x v="2"/>
    <s v="Laura Chen"/>
    <d v="2026-05-06T00:00:00"/>
    <d v="2026-08-04T00:00:00"/>
    <n v="90"/>
    <n v="7445.81"/>
    <n v="7445.81"/>
    <n v="0"/>
    <d v="2026-05-31T00:00:00"/>
    <s v="Paid"/>
    <s v="ACH"/>
    <n v="25"/>
    <n v="65"/>
    <s v="Yes"/>
    <s v="Yes"/>
    <n v="5.0000000000000001E-3"/>
    <s v="Yes"/>
    <n v="37.229999999999997"/>
  </r>
  <r>
    <s v="AP-0421"/>
    <s v="VND-019"/>
    <s v="SkyNet IT Solutions"/>
    <x v="1"/>
    <x v="1"/>
    <s v="Marco Diaz"/>
    <d v="2025-02-27T00:00:00"/>
    <d v="2025-03-29T00:00:00"/>
    <n v="30"/>
    <n v="17475.599999999999"/>
    <n v="17475.599999999999"/>
    <n v="0"/>
    <d v="2025-04-02T00:00:00"/>
    <s v="Paid"/>
    <s v="ACH"/>
    <n v="34"/>
    <n v="-4"/>
    <s v="No"/>
    <s v="No"/>
    <n v="0"/>
    <s v="No"/>
    <n v="0"/>
  </r>
  <r>
    <s v="AP-0422"/>
    <s v="VND-013"/>
    <s v="SafetyFirst Supplies"/>
    <x v="2"/>
    <x v="3"/>
    <s v="Ana Torres"/>
    <d v="2025-03-29T00:00:00"/>
    <d v="2025-05-13T00:00:00"/>
    <n v="45"/>
    <n v="12396.48"/>
    <n v="12396.48"/>
    <n v="0"/>
    <d v="2025-05-08T00:00:00"/>
    <s v="Paid"/>
    <s v="ACH"/>
    <n v="40"/>
    <n v="5"/>
    <s v="Yes"/>
    <s v="Yes"/>
    <n v="1.4999999999999999E-2"/>
    <s v="No"/>
    <n v="0"/>
  </r>
  <r>
    <s v="AP-0423"/>
    <s v="VND-014"/>
    <s v="NetConnect Systems"/>
    <x v="1"/>
    <x v="3"/>
    <s v="Marco Diaz"/>
    <d v="2025-06-21T00:00:00"/>
    <d v="2025-08-05T00:00:00"/>
    <n v="45"/>
    <n v="59314.01"/>
    <n v="59314.01"/>
    <n v="0"/>
    <d v="2025-08-05T00:00:00"/>
    <s v="Paid"/>
    <s v="Wire"/>
    <n v="45"/>
    <n v="0"/>
    <s v="Yes"/>
    <s v="Yes"/>
    <n v="1.4999999999999999E-2"/>
    <s v="No"/>
    <n v="0"/>
  </r>
  <r>
    <s v="AP-0424"/>
    <s v="VND-019"/>
    <s v="SkyNet IT Solutions"/>
    <x v="1"/>
    <x v="0"/>
    <s v="Marco Diaz"/>
    <d v="2025-05-16T00:00:00"/>
    <d v="2025-07-15T00:00:00"/>
    <n v="60"/>
    <n v="13142.76"/>
    <n v="7257.17"/>
    <n v="5885.59"/>
    <d v="2025-07-23T00:00:00"/>
    <s v="Partial"/>
    <s v="Credit Card"/>
    <n v="68"/>
    <n v="-8"/>
    <s v="No"/>
    <s v="Yes"/>
    <n v="0.01"/>
    <s v="No"/>
    <n v="0"/>
  </r>
  <r>
    <s v="AP-0425"/>
    <s v="VND-005"/>
    <s v="CloudSys Inc."/>
    <x v="1"/>
    <x v="3"/>
    <s v="Sofia Reyes"/>
    <d v="2025-02-09T00:00:00"/>
    <d v="2025-05-10T00:00:00"/>
    <n v="90"/>
    <n v="70831.45"/>
    <n v="70831.45"/>
    <n v="0"/>
    <d v="2025-05-19T00:00:00"/>
    <s v="Paid"/>
    <s v="Wire"/>
    <n v="99"/>
    <n v="-9"/>
    <s v="No"/>
    <s v="Yes"/>
    <n v="5.0000000000000001E-3"/>
    <s v="No"/>
    <n v="0"/>
  </r>
  <r>
    <s v="AP-0426"/>
    <s v="VND-020"/>
    <s v="TrustBuild Facilities"/>
    <x v="5"/>
    <x v="3"/>
    <s v="Sofia Reyes"/>
    <d v="2026-01-15T00:00:00"/>
    <d v="2026-03-16T00:00:00"/>
    <n v="60"/>
    <n v="30869.200000000001"/>
    <n v="30869.200000000001"/>
    <n v="0"/>
    <d v="2026-03-22T00:00:00"/>
    <s v="Paid"/>
    <s v="Credit Card"/>
    <n v="66"/>
    <n v="-6"/>
    <s v="No"/>
    <s v="Yes"/>
    <n v="0.01"/>
    <s v="No"/>
    <n v="0"/>
  </r>
  <r>
    <s v="AP-0427"/>
    <s v="VND-016"/>
    <s v="CleanWater Utilities"/>
    <x v="3"/>
    <x v="2"/>
    <s v="Laura Chen"/>
    <d v="2025-05-18T00:00:00"/>
    <d v="2025-07-17T00:00:00"/>
    <n v="60"/>
    <n v="4190.51"/>
    <n v="0"/>
    <n v="4190.51"/>
    <m/>
    <s v="Overdue"/>
    <s v="ACH"/>
    <m/>
    <n v="-318"/>
    <s v="No"/>
    <s v="No"/>
    <n v="0"/>
    <s v="No"/>
    <n v="0"/>
  </r>
  <r>
    <s v="AP-0428"/>
    <s v="VND-003"/>
    <s v="FastShip Logistics"/>
    <x v="0"/>
    <x v="4"/>
    <s v="Ana Torres"/>
    <d v="2025-07-13T00:00:00"/>
    <d v="2025-08-27T00:00:00"/>
    <n v="45"/>
    <n v="1103.92"/>
    <n v="1103.92"/>
    <n v="0"/>
    <d v="2025-08-18T00:00:00"/>
    <s v="Paid"/>
    <s v="Credit Card"/>
    <n v="36"/>
    <n v="9"/>
    <s v="Yes"/>
    <s v="No"/>
    <n v="0"/>
    <s v="No"/>
    <n v="0"/>
  </r>
  <r>
    <s v="AP-0429"/>
    <s v="VND-013"/>
    <s v="SafetyFirst Supplies"/>
    <x v="2"/>
    <x v="1"/>
    <s v="Laura Chen"/>
    <d v="2025-04-20T00:00:00"/>
    <d v="2025-06-19T00:00:00"/>
    <n v="60"/>
    <n v="9429.3700000000008"/>
    <n v="9429.3700000000008"/>
    <n v="0"/>
    <d v="2025-06-18T00:00:00"/>
    <s v="Paid"/>
    <s v="Credit Card"/>
    <n v="59"/>
    <n v="1"/>
    <s v="Yes"/>
    <s v="Yes"/>
    <n v="0.01"/>
    <s v="No"/>
    <n v="0"/>
  </r>
  <r>
    <s v="AP-0430"/>
    <s v="VND-018"/>
    <s v="BuildFast Materials"/>
    <x v="2"/>
    <x v="2"/>
    <s v="Ana Torres"/>
    <d v="2026-02-11T00:00:00"/>
    <d v="2026-03-28T00:00:00"/>
    <n v="45"/>
    <n v="38238.65"/>
    <n v="20696.05"/>
    <n v="17542.599999999999"/>
    <d v="2026-04-03T00:00:00"/>
    <s v="Partial"/>
    <s v="Check"/>
    <n v="51"/>
    <n v="-6"/>
    <s v="No"/>
    <s v="Yes"/>
    <n v="1.4999999999999999E-2"/>
    <s v="No"/>
    <n v="0"/>
  </r>
  <r>
    <s v="AP-0431"/>
    <s v="VND-018"/>
    <s v="BuildFast Materials"/>
    <x v="2"/>
    <x v="3"/>
    <s v="Pedro Alvarez"/>
    <d v="2025-12-19T00:00:00"/>
    <d v="2026-02-02T00:00:00"/>
    <n v="45"/>
    <n v="39161.339999999997"/>
    <n v="39161.339999999997"/>
    <n v="0"/>
    <d v="2026-02-04T00:00:00"/>
    <s v="Paid"/>
    <s v="Check"/>
    <n v="47"/>
    <n v="-2"/>
    <s v="No"/>
    <s v="Yes"/>
    <n v="1.4999999999999999E-2"/>
    <s v="No"/>
    <n v="0"/>
  </r>
  <r>
    <s v="AP-0432"/>
    <s v="VND-008"/>
    <s v="GreenEnergy Corp."/>
    <x v="3"/>
    <x v="2"/>
    <s v="Marco Diaz"/>
    <d v="2026-02-15T00:00:00"/>
    <d v="2026-03-17T00:00:00"/>
    <n v="30"/>
    <n v="11898.18"/>
    <n v="11898.18"/>
    <n v="0"/>
    <d v="2026-03-14T00:00:00"/>
    <s v="Paid"/>
    <s v="ACH"/>
    <n v="27"/>
    <n v="3"/>
    <s v="Yes"/>
    <s v="No"/>
    <n v="0"/>
    <s v="No"/>
    <n v="0"/>
  </r>
  <r>
    <s v="AP-0433"/>
    <s v="VND-022"/>
    <s v="Apex Consulting"/>
    <x v="4"/>
    <x v="0"/>
    <s v="Marco Diaz"/>
    <d v="2025-04-04T00:00:00"/>
    <d v="2025-04-19T00:00:00"/>
    <n v="15"/>
    <n v="33460.449999999997"/>
    <n v="33460.449999999997"/>
    <n v="0"/>
    <d v="2025-04-24T00:00:00"/>
    <s v="Paid"/>
    <s v="Credit Card"/>
    <n v="20"/>
    <n v="-5"/>
    <s v="No"/>
    <s v="Yes"/>
    <n v="0.02"/>
    <s v="No"/>
    <n v="0"/>
  </r>
  <r>
    <s v="AP-0434"/>
    <s v="VND-012"/>
    <s v="FacilityPro Services"/>
    <x v="5"/>
    <x v="0"/>
    <s v="Ana Torres"/>
    <d v="2026-02-15T00:00:00"/>
    <d v="2026-04-16T00:00:00"/>
    <n v="60"/>
    <n v="22260.86"/>
    <n v="22260.86"/>
    <n v="0"/>
    <d v="2026-04-19T00:00:00"/>
    <s v="Paid"/>
    <s v="ACH"/>
    <n v="63"/>
    <n v="-3"/>
    <s v="No"/>
    <s v="Yes"/>
    <n v="0.01"/>
    <s v="No"/>
    <n v="0"/>
  </r>
  <r>
    <s v="AP-0435"/>
    <s v="VND-025"/>
    <s v="RapidShip Co."/>
    <x v="0"/>
    <x v="1"/>
    <s v="Pedro Alvarez"/>
    <d v="2025-07-26T00:00:00"/>
    <d v="2025-08-10T00:00:00"/>
    <n v="15"/>
    <n v="17160.79"/>
    <n v="17160.79"/>
    <n v="0"/>
    <d v="2025-08-14T00:00:00"/>
    <s v="Paid"/>
    <s v="Credit Card"/>
    <n v="19"/>
    <n v="-4"/>
    <s v="No"/>
    <s v="No"/>
    <n v="0"/>
    <s v="No"/>
    <n v="0"/>
  </r>
  <r>
    <s v="AP-0436"/>
    <s v="VND-017"/>
    <s v="OfficePro Services"/>
    <x v="4"/>
    <x v="3"/>
    <s v="Marco Diaz"/>
    <d v="2026-01-04T00:00:00"/>
    <d v="2026-01-19T00:00:00"/>
    <n v="15"/>
    <n v="11852.5"/>
    <n v="11852.5"/>
    <n v="0"/>
    <d v="2026-02-01T00:00:00"/>
    <s v="Paid"/>
    <s v="Wire"/>
    <n v="28"/>
    <n v="-13"/>
    <s v="No"/>
    <s v="Yes"/>
    <n v="0.02"/>
    <s v="No"/>
    <n v="0"/>
  </r>
  <r>
    <s v="AP-0437"/>
    <s v="VND-009"/>
    <s v="MetalWorks Ltd."/>
    <x v="2"/>
    <x v="2"/>
    <s v="Laura Chen"/>
    <d v="2025-07-25T00:00:00"/>
    <d v="2025-09-23T00:00:00"/>
    <n v="60"/>
    <n v="26851.65"/>
    <n v="26851.65"/>
    <n v="0"/>
    <d v="2025-09-28T00:00:00"/>
    <s v="Paid"/>
    <s v="Credit Card"/>
    <n v="65"/>
    <n v="-5"/>
    <s v="No"/>
    <s v="No"/>
    <n v="0"/>
    <s v="No"/>
    <n v="0"/>
  </r>
  <r>
    <s v="AP-0438"/>
    <s v="VND-018"/>
    <s v="BuildFast Materials"/>
    <x v="2"/>
    <x v="3"/>
    <s v="Laura Chen"/>
    <d v="2025-08-20T00:00:00"/>
    <d v="2025-10-04T00:00:00"/>
    <n v="45"/>
    <n v="31105.439999999999"/>
    <n v="0"/>
    <n v="31105.439999999999"/>
    <m/>
    <s v="Overdue"/>
    <s v="Check"/>
    <m/>
    <n v="-239"/>
    <s v="No"/>
    <s v="Yes"/>
    <n v="1.4999999999999999E-2"/>
    <s v="No"/>
    <n v="0"/>
  </r>
  <r>
    <s v="AP-0439"/>
    <s v="VND-019"/>
    <s v="SkyNet IT Solutions"/>
    <x v="1"/>
    <x v="0"/>
    <s v="Laura Chen"/>
    <d v="2025-04-20T00:00:00"/>
    <d v="2025-06-19T00:00:00"/>
    <n v="60"/>
    <n v="46897.3"/>
    <n v="46897.3"/>
    <n v="0"/>
    <d v="2025-06-22T00:00:00"/>
    <s v="Paid"/>
    <s v="Wire"/>
    <n v="63"/>
    <n v="-3"/>
    <s v="No"/>
    <s v="Yes"/>
    <n v="0.01"/>
    <s v="No"/>
    <n v="0"/>
  </r>
  <r>
    <s v="AP-0440"/>
    <s v="VND-004"/>
    <s v="BuildRight Materials"/>
    <x v="2"/>
    <x v="3"/>
    <s v="Laura Chen"/>
    <d v="2026-01-22T00:00:00"/>
    <d v="2026-04-22T00:00:00"/>
    <n v="90"/>
    <n v="29032.09"/>
    <n v="29032.09"/>
    <n v="0"/>
    <d v="2026-04-14T00:00:00"/>
    <s v="Paid"/>
    <s v="Check"/>
    <n v="82"/>
    <n v="8"/>
    <s v="Yes"/>
    <s v="No"/>
    <n v="0"/>
    <s v="No"/>
    <n v="0"/>
  </r>
  <r>
    <s v="AP-0441"/>
    <s v="VND-019"/>
    <s v="SkyNet IT Solutions"/>
    <x v="1"/>
    <x v="0"/>
    <s v="Pedro Alvarez"/>
    <d v="2025-03-11T00:00:00"/>
    <d v="2025-04-25T00:00:00"/>
    <n v="45"/>
    <n v="33700.49"/>
    <n v="33700.49"/>
    <n v="0"/>
    <d v="2025-04-27T00:00:00"/>
    <s v="Paid"/>
    <s v="ACH"/>
    <n v="47"/>
    <n v="-2"/>
    <s v="No"/>
    <s v="No"/>
    <n v="0"/>
    <s v="No"/>
    <n v="0"/>
  </r>
  <r>
    <s v="AP-0442"/>
    <s v="VND-023"/>
    <s v="CoolTech Systems"/>
    <x v="1"/>
    <x v="1"/>
    <s v="Laura Chen"/>
    <d v="2025-01-10T00:00:00"/>
    <d v="2025-03-11T00:00:00"/>
    <n v="60"/>
    <n v="57561.39"/>
    <n v="57561.39"/>
    <n v="0"/>
    <d v="2025-03-01T00:00:00"/>
    <s v="Paid"/>
    <s v="Credit Card"/>
    <n v="50"/>
    <n v="10"/>
    <s v="Yes"/>
    <s v="Yes"/>
    <n v="0.01"/>
    <s v="No"/>
    <n v="0"/>
  </r>
  <r>
    <s v="AP-0443"/>
    <s v="VND-011"/>
    <s v="QuickFreight Inc."/>
    <x v="0"/>
    <x v="0"/>
    <s v="Ana Torres"/>
    <d v="2025-11-18T00:00:00"/>
    <d v="2026-02-16T00:00:00"/>
    <n v="90"/>
    <n v="7717.22"/>
    <n v="7717.22"/>
    <n v="0"/>
    <d v="2026-02-23T00:00:00"/>
    <s v="Paid"/>
    <s v="Wire"/>
    <n v="97"/>
    <n v="-7"/>
    <s v="No"/>
    <s v="No"/>
    <n v="0"/>
    <s v="No"/>
    <n v="0"/>
  </r>
  <r>
    <s v="AP-0444"/>
    <s v="VND-024"/>
    <s v="EliteFacilities Corp."/>
    <x v="5"/>
    <x v="1"/>
    <s v="Pedro Alvarez"/>
    <d v="2025-09-05T00:00:00"/>
    <d v="2025-10-05T00:00:00"/>
    <n v="30"/>
    <n v="30800.5"/>
    <n v="30800.5"/>
    <n v="0"/>
    <d v="2025-10-05T00:00:00"/>
    <s v="Paid"/>
    <s v="Wire"/>
    <n v="30"/>
    <n v="0"/>
    <s v="Yes"/>
    <s v="Yes"/>
    <n v="0.01"/>
    <s v="No"/>
    <n v="0"/>
  </r>
  <r>
    <s v="AP-0445"/>
    <s v="VND-005"/>
    <s v="CloudSys Inc."/>
    <x v="1"/>
    <x v="0"/>
    <s v="Sofia Reyes"/>
    <d v="2025-01-07T00:00:00"/>
    <d v="2025-04-07T00:00:00"/>
    <n v="90"/>
    <n v="62318.32"/>
    <n v="62318.32"/>
    <n v="0"/>
    <d v="2025-04-18T00:00:00"/>
    <s v="Paid"/>
    <s v="ACH"/>
    <n v="101"/>
    <n v="-11"/>
    <s v="No"/>
    <s v="Yes"/>
    <n v="5.0000000000000001E-3"/>
    <s v="No"/>
    <n v="0"/>
  </r>
  <r>
    <s v="AP-0446"/>
    <s v="VND-016"/>
    <s v="CleanWater Utilities"/>
    <x v="3"/>
    <x v="4"/>
    <s v="Ana Torres"/>
    <d v="2025-10-09T00:00:00"/>
    <d v="2026-01-07T00:00:00"/>
    <n v="90"/>
    <n v="7616.68"/>
    <n v="0"/>
    <n v="7616.68"/>
    <m/>
    <s v="Overdue"/>
    <s v="Check"/>
    <m/>
    <n v="-144"/>
    <s v="No"/>
    <s v="No"/>
    <n v="0"/>
    <s v="No"/>
    <n v="0"/>
  </r>
  <r>
    <s v="AP-0447"/>
    <s v="VND-009"/>
    <s v="MetalWorks Ltd."/>
    <x v="2"/>
    <x v="2"/>
    <s v="Marco Diaz"/>
    <d v="2026-03-10T00:00:00"/>
    <d v="2026-03-25T00:00:00"/>
    <n v="15"/>
    <n v="24959.360000000001"/>
    <n v="24959.360000000001"/>
    <n v="0"/>
    <d v="2026-03-16T00:00:00"/>
    <s v="Paid"/>
    <s v="Wire"/>
    <n v="6"/>
    <n v="9"/>
    <s v="Yes"/>
    <s v="Yes"/>
    <n v="0.02"/>
    <s v="No"/>
    <n v="0"/>
  </r>
  <r>
    <s v="AP-0448"/>
    <s v="VND-006"/>
    <s v="PowerGrid Utilities"/>
    <x v="3"/>
    <x v="2"/>
    <s v="Sofia Reyes"/>
    <d v="2025-01-09T00:00:00"/>
    <d v="2025-03-10T00:00:00"/>
    <n v="60"/>
    <n v="671.39"/>
    <n v="671.39"/>
    <n v="0"/>
    <d v="2025-03-17T00:00:00"/>
    <s v="Paid"/>
    <s v="Credit Card"/>
    <n v="67"/>
    <n v="-7"/>
    <s v="No"/>
    <s v="Yes"/>
    <n v="0.01"/>
    <s v="No"/>
    <n v="0"/>
  </r>
  <r>
    <s v="AP-0449"/>
    <s v="VND-011"/>
    <s v="QuickFreight Inc."/>
    <x v="0"/>
    <x v="4"/>
    <s v="Ana Torres"/>
    <d v="2025-09-27T00:00:00"/>
    <d v="2025-10-27T00:00:00"/>
    <n v="30"/>
    <n v="5505.64"/>
    <n v="5505.64"/>
    <n v="0"/>
    <d v="2025-10-21T00:00:00"/>
    <s v="Paid"/>
    <s v="Check"/>
    <n v="24"/>
    <n v="6"/>
    <s v="Yes"/>
    <s v="Yes"/>
    <n v="0.01"/>
    <s v="No"/>
    <n v="0"/>
  </r>
  <r>
    <s v="AP-0450"/>
    <s v="VND-007"/>
    <s v="ProStaff Services"/>
    <x v="4"/>
    <x v="2"/>
    <s v="Laura Chen"/>
    <d v="2025-10-14T00:00:00"/>
    <d v="2025-12-13T00:00:00"/>
    <n v="60"/>
    <n v="19676.97"/>
    <n v="0"/>
    <n v="19676.97"/>
    <m/>
    <s v="Overdue"/>
    <s v="Check"/>
    <m/>
    <n v="-169"/>
    <s v="No"/>
    <s v="Yes"/>
    <n v="0.01"/>
    <s v="No"/>
    <n v="0"/>
  </r>
  <r>
    <s v="AP-0451"/>
    <s v="VND-022"/>
    <s v="Apex Consulting"/>
    <x v="4"/>
    <x v="1"/>
    <s v="Sofia Reyes"/>
    <d v="2026-03-19T00:00:00"/>
    <d v="2026-04-18T00:00:00"/>
    <n v="30"/>
    <n v="34683.42"/>
    <n v="18607.43"/>
    <n v="16075.99"/>
    <d v="2026-04-13T00:00:00"/>
    <s v="Partial"/>
    <s v="Check"/>
    <n v="25"/>
    <n v="5"/>
    <s v="Yes"/>
    <s v="Yes"/>
    <n v="0.01"/>
    <s v="No"/>
    <n v="0"/>
  </r>
  <r>
    <s v="AP-0452"/>
    <s v="VND-006"/>
    <s v="PowerGrid Utilities"/>
    <x v="3"/>
    <x v="2"/>
    <s v="Pedro Alvarez"/>
    <d v="2026-05-14T00:00:00"/>
    <d v="2026-07-13T00:00:00"/>
    <n v="60"/>
    <n v="4850.5"/>
    <n v="0"/>
    <n v="4850.5"/>
    <m/>
    <s v="Pending"/>
    <s v="Wire"/>
    <m/>
    <m/>
    <m/>
    <s v="Yes"/>
    <n v="0.01"/>
    <s v="No"/>
    <n v="0"/>
  </r>
  <r>
    <s v="AP-0453"/>
    <s v="VND-023"/>
    <s v="CoolTech Systems"/>
    <x v="1"/>
    <x v="1"/>
    <s v="Sofia Reyes"/>
    <d v="2026-05-03T00:00:00"/>
    <d v="2026-06-17T00:00:00"/>
    <n v="45"/>
    <n v="67922.880000000005"/>
    <n v="0"/>
    <n v="67922.880000000005"/>
    <m/>
    <s v="Pending"/>
    <s v="Wire"/>
    <m/>
    <m/>
    <m/>
    <s v="Yes"/>
    <n v="1.4999999999999999E-2"/>
    <s v="No"/>
    <n v="0"/>
  </r>
  <r>
    <s v="AP-0454"/>
    <s v="VND-012"/>
    <s v="FacilityPro Services"/>
    <x v="5"/>
    <x v="3"/>
    <s v="Ana Torres"/>
    <d v="2025-01-21T00:00:00"/>
    <d v="2025-03-22T00:00:00"/>
    <n v="60"/>
    <n v="15588.11"/>
    <n v="15588.11"/>
    <n v="0"/>
    <d v="2025-03-29T00:00:00"/>
    <s v="Paid"/>
    <s v="Check"/>
    <n v="67"/>
    <n v="-7"/>
    <s v="No"/>
    <s v="Yes"/>
    <n v="0.01"/>
    <s v="No"/>
    <n v="0"/>
  </r>
  <r>
    <s v="AP-0455"/>
    <s v="VND-020"/>
    <s v="TrustBuild Facilities"/>
    <x v="5"/>
    <x v="1"/>
    <s v="Ana Torres"/>
    <d v="2025-12-30T00:00:00"/>
    <d v="2026-02-13T00:00:00"/>
    <n v="45"/>
    <n v="12727.98"/>
    <n v="12727.98"/>
    <n v="0"/>
    <d v="2026-02-10T00:00:00"/>
    <s v="Paid"/>
    <s v="Wire"/>
    <n v="42"/>
    <n v="3"/>
    <s v="Yes"/>
    <s v="Yes"/>
    <n v="1.4999999999999999E-2"/>
    <s v="No"/>
    <n v="0"/>
  </r>
  <r>
    <s v="AP-0456"/>
    <s v="VND-020"/>
    <s v="TrustBuild Facilities"/>
    <x v="5"/>
    <x v="4"/>
    <s v="Pedro Alvarez"/>
    <d v="2025-12-12T00:00:00"/>
    <d v="2026-01-11T00:00:00"/>
    <n v="30"/>
    <n v="15919.94"/>
    <n v="15919.94"/>
    <n v="0"/>
    <d v="2026-01-12T00:00:00"/>
    <s v="Paid"/>
    <s v="Wire"/>
    <n v="31"/>
    <n v="-1"/>
    <s v="No"/>
    <s v="Yes"/>
    <n v="0.01"/>
    <s v="No"/>
    <n v="0"/>
  </r>
  <r>
    <s v="AP-0457"/>
    <s v="VND-003"/>
    <s v="FastShip Logistics"/>
    <x v="0"/>
    <x v="0"/>
    <s v="Marco Diaz"/>
    <d v="2025-11-18T00:00:00"/>
    <d v="2025-12-18T00:00:00"/>
    <n v="30"/>
    <n v="7020.69"/>
    <n v="7020.69"/>
    <n v="0"/>
    <d v="2025-12-15T00:00:00"/>
    <s v="Paid"/>
    <s v="Check"/>
    <n v="27"/>
    <n v="3"/>
    <s v="Yes"/>
    <s v="Yes"/>
    <n v="0.01"/>
    <s v="No"/>
    <n v="0"/>
  </r>
  <r>
    <s v="AP-0458"/>
    <s v="VND-015"/>
    <s v="ExpressRoute Logistics"/>
    <x v="0"/>
    <x v="4"/>
    <s v="Ana Torres"/>
    <d v="2025-06-21T00:00:00"/>
    <d v="2025-08-20T00:00:00"/>
    <n v="60"/>
    <n v="4493.84"/>
    <n v="4493.84"/>
    <n v="0"/>
    <d v="2025-08-15T00:00:00"/>
    <s v="Paid"/>
    <s v="Credit Card"/>
    <n v="55"/>
    <n v="5"/>
    <s v="Yes"/>
    <s v="Yes"/>
    <n v="0.01"/>
    <s v="No"/>
    <n v="0"/>
  </r>
  <r>
    <s v="AP-0459"/>
    <s v="VND-022"/>
    <s v="Apex Consulting"/>
    <x v="4"/>
    <x v="4"/>
    <s v="Sofia Reyes"/>
    <d v="2026-02-11T00:00:00"/>
    <d v="2026-03-13T00:00:00"/>
    <n v="30"/>
    <n v="6811.34"/>
    <n v="3911.19"/>
    <n v="2900.15"/>
    <d v="2026-03-08T00:00:00"/>
    <s v="Partial"/>
    <s v="Wire"/>
    <n v="25"/>
    <n v="5"/>
    <s v="Yes"/>
    <s v="Yes"/>
    <n v="0.01"/>
    <s v="No"/>
    <n v="0"/>
  </r>
  <r>
    <s v="AP-0460"/>
    <s v="VND-025"/>
    <s v="RapidShip Co."/>
    <x v="0"/>
    <x v="2"/>
    <s v="Ana Torres"/>
    <d v="2025-09-26T00:00:00"/>
    <d v="2025-10-26T00:00:00"/>
    <n v="30"/>
    <n v="12743.94"/>
    <n v="0"/>
    <n v="12743.94"/>
    <m/>
    <s v="Overdue"/>
    <s v="ACH"/>
    <m/>
    <n v="-217"/>
    <s v="No"/>
    <s v="Yes"/>
    <n v="0.01"/>
    <s v="No"/>
    <n v="0"/>
  </r>
  <r>
    <s v="AP-0461"/>
    <s v="VND-013"/>
    <s v="SafetyFirst Supplies"/>
    <x v="2"/>
    <x v="4"/>
    <s v="Marco Diaz"/>
    <d v="2026-03-30T00:00:00"/>
    <d v="2026-05-14T00:00:00"/>
    <n v="45"/>
    <n v="32071.07"/>
    <n v="0"/>
    <n v="32071.07"/>
    <m/>
    <s v="Pending"/>
    <s v="Wire"/>
    <m/>
    <m/>
    <m/>
    <s v="Yes"/>
    <n v="1.4999999999999999E-2"/>
    <s v="No"/>
    <n v="0"/>
  </r>
  <r>
    <s v="AP-0462"/>
    <s v="VND-022"/>
    <s v="Apex Consulting"/>
    <x v="4"/>
    <x v="4"/>
    <s v="Laura Chen"/>
    <d v="2025-10-06T00:00:00"/>
    <d v="2026-01-04T00:00:00"/>
    <n v="90"/>
    <n v="23296.18"/>
    <n v="0"/>
    <n v="23296.18"/>
    <m/>
    <s v="Overdue"/>
    <s v="Credit Card"/>
    <m/>
    <n v="-147"/>
    <s v="No"/>
    <s v="Yes"/>
    <n v="5.0000000000000001E-3"/>
    <s v="No"/>
    <n v="0"/>
  </r>
  <r>
    <s v="AP-0463"/>
    <s v="VND-018"/>
    <s v="BuildFast Materials"/>
    <x v="2"/>
    <x v="1"/>
    <s v="Ana Torres"/>
    <d v="2025-11-14T00:00:00"/>
    <d v="2026-01-13T00:00:00"/>
    <n v="60"/>
    <n v="45628.31"/>
    <n v="45628.31"/>
    <n v="0"/>
    <d v="2026-01-18T00:00:00"/>
    <s v="Paid"/>
    <s v="Credit Card"/>
    <n v="65"/>
    <n v="-5"/>
    <s v="No"/>
    <s v="Yes"/>
    <n v="0.01"/>
    <s v="No"/>
    <n v="0"/>
  </r>
  <r>
    <s v="AP-0464"/>
    <s v="VND-014"/>
    <s v="NetConnect Systems"/>
    <x v="1"/>
    <x v="4"/>
    <s v="Marco Diaz"/>
    <d v="2025-01-01T00:00:00"/>
    <d v="2025-01-16T00:00:00"/>
    <n v="15"/>
    <n v="44248.72"/>
    <n v="44248.72"/>
    <n v="0"/>
    <d v="2025-01-19T00:00:00"/>
    <s v="Paid"/>
    <s v="Check"/>
    <n v="18"/>
    <n v="-3"/>
    <s v="No"/>
    <s v="No"/>
    <n v="0"/>
    <s v="No"/>
    <n v="0"/>
  </r>
  <r>
    <s v="AP-0465"/>
    <s v="VND-010"/>
    <s v="DataBridge IT"/>
    <x v="1"/>
    <x v="2"/>
    <s v="Ana Torres"/>
    <d v="2026-05-04T00:00:00"/>
    <d v="2026-08-02T00:00:00"/>
    <n v="90"/>
    <n v="27470.79"/>
    <n v="19185.150000000001"/>
    <n v="8285.64"/>
    <d v="2026-05-31T00:00:00"/>
    <s v="Partial"/>
    <s v="ACH"/>
    <n v="27"/>
    <n v="63"/>
    <s v="Yes"/>
    <s v="No"/>
    <n v="0"/>
    <s v="No"/>
    <n v="0"/>
  </r>
  <r>
    <s v="AP-0466"/>
    <s v="VND-012"/>
    <s v="FacilityPro Services"/>
    <x v="5"/>
    <x v="1"/>
    <s v="Pedro Alvarez"/>
    <d v="2025-09-13T00:00:00"/>
    <d v="2025-11-12T00:00:00"/>
    <n v="60"/>
    <n v="7387.89"/>
    <n v="7387.89"/>
    <n v="0"/>
    <d v="2025-11-08T00:00:00"/>
    <s v="Paid"/>
    <s v="Credit Card"/>
    <n v="56"/>
    <n v="4"/>
    <s v="Yes"/>
    <s v="No"/>
    <n v="0"/>
    <s v="No"/>
    <n v="0"/>
  </r>
  <r>
    <s v="AP-0467"/>
    <s v="VND-014"/>
    <s v="NetConnect Systems"/>
    <x v="1"/>
    <x v="1"/>
    <s v="Ana Torres"/>
    <d v="2025-10-03T00:00:00"/>
    <d v="2025-11-17T00:00:00"/>
    <n v="45"/>
    <n v="35967.79"/>
    <n v="35967.79"/>
    <n v="0"/>
    <d v="2025-11-21T00:00:00"/>
    <s v="Paid"/>
    <s v="Check"/>
    <n v="49"/>
    <n v="-4"/>
    <s v="No"/>
    <s v="No"/>
    <n v="0"/>
    <s v="No"/>
    <n v="0"/>
  </r>
  <r>
    <s v="AP-0468"/>
    <s v="VND-010"/>
    <s v="DataBridge IT"/>
    <x v="1"/>
    <x v="0"/>
    <s v="Pedro Alvarez"/>
    <d v="2026-05-19T00:00:00"/>
    <d v="2026-07-03T00:00:00"/>
    <n v="45"/>
    <n v="19084.21"/>
    <n v="19084.21"/>
    <n v="0"/>
    <d v="2026-05-31T00:00:00"/>
    <s v="Paid"/>
    <s v="Credit Card"/>
    <n v="12"/>
    <n v="33"/>
    <s v="Yes"/>
    <s v="Yes"/>
    <n v="1.4999999999999999E-2"/>
    <s v="Yes"/>
    <n v="286.26"/>
  </r>
  <r>
    <s v="AP-0469"/>
    <s v="VND-009"/>
    <s v="MetalWorks Ltd."/>
    <x v="2"/>
    <x v="1"/>
    <s v="Pedro Alvarez"/>
    <d v="2025-04-03T00:00:00"/>
    <d v="2025-05-03T00:00:00"/>
    <n v="30"/>
    <n v="9232.82"/>
    <n v="9232.82"/>
    <n v="0"/>
    <d v="2025-05-06T00:00:00"/>
    <s v="Paid"/>
    <s v="ACH"/>
    <n v="33"/>
    <n v="-3"/>
    <s v="No"/>
    <s v="Yes"/>
    <n v="0.01"/>
    <s v="No"/>
    <n v="0"/>
  </r>
  <r>
    <s v="AP-0470"/>
    <s v="VND-010"/>
    <s v="DataBridge IT"/>
    <x v="1"/>
    <x v="2"/>
    <s v="Laura Chen"/>
    <d v="2025-12-05T00:00:00"/>
    <d v="2025-12-20T00:00:00"/>
    <n v="15"/>
    <n v="11016.73"/>
    <n v="11016.73"/>
    <n v="0"/>
    <d v="2025-12-20T00:00:00"/>
    <s v="Paid"/>
    <s v="Credit Card"/>
    <n v="15"/>
    <n v="0"/>
    <s v="Yes"/>
    <s v="No"/>
    <n v="0"/>
    <s v="No"/>
    <n v="0"/>
  </r>
  <r>
    <s v="AP-0471"/>
    <s v="VND-018"/>
    <s v="BuildFast Materials"/>
    <x v="2"/>
    <x v="2"/>
    <s v="Marco Diaz"/>
    <d v="2026-01-26T00:00:00"/>
    <d v="2026-03-12T00:00:00"/>
    <n v="45"/>
    <n v="41756.1"/>
    <n v="41756.1"/>
    <n v="0"/>
    <d v="2026-03-19T00:00:00"/>
    <s v="Paid"/>
    <s v="Wire"/>
    <n v="52"/>
    <n v="-7"/>
    <s v="No"/>
    <s v="Yes"/>
    <n v="1.4999999999999999E-2"/>
    <s v="No"/>
    <n v="0"/>
  </r>
  <r>
    <s v="AP-0472"/>
    <s v="VND-008"/>
    <s v="GreenEnergy Corp."/>
    <x v="3"/>
    <x v="2"/>
    <s v="Pedro Alvarez"/>
    <d v="2025-07-23T00:00:00"/>
    <d v="2025-08-07T00:00:00"/>
    <n v="15"/>
    <n v="7182.1"/>
    <n v="7182.1"/>
    <n v="0"/>
    <d v="2025-08-15T00:00:00"/>
    <s v="Paid"/>
    <s v="Wire"/>
    <n v="23"/>
    <n v="-8"/>
    <s v="No"/>
    <s v="No"/>
    <n v="0"/>
    <s v="No"/>
    <n v="0"/>
  </r>
  <r>
    <s v="AP-0473"/>
    <s v="VND-022"/>
    <s v="Apex Consulting"/>
    <x v="4"/>
    <x v="4"/>
    <s v="Laura Chen"/>
    <d v="2025-05-06T00:00:00"/>
    <d v="2025-05-21T00:00:00"/>
    <n v="15"/>
    <n v="12372.57"/>
    <n v="12372.57"/>
    <n v="0"/>
    <d v="2025-05-20T00:00:00"/>
    <s v="Paid"/>
    <s v="Wire"/>
    <n v="14"/>
    <n v="1"/>
    <s v="Yes"/>
    <s v="Yes"/>
    <n v="0.02"/>
    <s v="No"/>
    <n v="0"/>
  </r>
  <r>
    <s v="AP-0474"/>
    <s v="VND-002"/>
    <s v="TechCore Solutions"/>
    <x v="1"/>
    <x v="1"/>
    <s v="Sofia Reyes"/>
    <d v="2025-11-29T00:00:00"/>
    <d v="2026-01-28T00:00:00"/>
    <n v="60"/>
    <n v="6130.08"/>
    <n v="6130.08"/>
    <n v="0"/>
    <d v="2026-01-24T00:00:00"/>
    <s v="Paid"/>
    <s v="Wire"/>
    <n v="56"/>
    <n v="4"/>
    <s v="Yes"/>
    <s v="No"/>
    <n v="0"/>
    <s v="No"/>
    <n v="0"/>
  </r>
  <r>
    <s v="AP-0475"/>
    <s v="VND-002"/>
    <s v="TechCore Solutions"/>
    <x v="1"/>
    <x v="3"/>
    <s v="Pedro Alvarez"/>
    <d v="2025-04-02T00:00:00"/>
    <d v="2025-06-01T00:00:00"/>
    <n v="60"/>
    <n v="23654.17"/>
    <n v="23654.17"/>
    <n v="0"/>
    <d v="2025-06-04T00:00:00"/>
    <s v="Paid"/>
    <s v="Wire"/>
    <n v="63"/>
    <n v="-3"/>
    <s v="No"/>
    <s v="Yes"/>
    <n v="0.01"/>
    <s v="No"/>
    <n v="0"/>
  </r>
  <r>
    <s v="AP-0476"/>
    <s v="VND-011"/>
    <s v="QuickFreight Inc."/>
    <x v="0"/>
    <x v="0"/>
    <s v="Sofia Reyes"/>
    <d v="2025-04-20T00:00:00"/>
    <d v="2025-05-20T00:00:00"/>
    <n v="30"/>
    <n v="3390.72"/>
    <n v="0"/>
    <n v="3390.72"/>
    <m/>
    <s v="Overdue"/>
    <s v="Check"/>
    <m/>
    <n v="-376"/>
    <s v="No"/>
    <s v="Yes"/>
    <n v="0.01"/>
    <s v="No"/>
    <n v="0"/>
  </r>
  <r>
    <s v="AP-0477"/>
    <s v="VND-021"/>
    <s v="PrimePack Logistics"/>
    <x v="0"/>
    <x v="4"/>
    <s v="Pedro Alvarez"/>
    <d v="2026-01-22T00:00:00"/>
    <d v="2026-02-06T00:00:00"/>
    <n v="15"/>
    <n v="7805.18"/>
    <n v="4235.49"/>
    <n v="3569.69"/>
    <d v="2026-02-15T00:00:00"/>
    <s v="Partial"/>
    <s v="Wire"/>
    <n v="24"/>
    <n v="-9"/>
    <s v="No"/>
    <s v="Yes"/>
    <n v="0.02"/>
    <s v="No"/>
    <n v="0"/>
  </r>
  <r>
    <s v="AP-0478"/>
    <s v="VND-018"/>
    <s v="BuildFast Materials"/>
    <x v="2"/>
    <x v="4"/>
    <s v="Ana Torres"/>
    <d v="2025-07-11T00:00:00"/>
    <d v="2025-08-10T00:00:00"/>
    <n v="30"/>
    <n v="28093.79"/>
    <n v="28093.79"/>
    <n v="0"/>
    <d v="2025-08-17T00:00:00"/>
    <s v="Paid"/>
    <s v="Credit Card"/>
    <n v="37"/>
    <n v="-7"/>
    <s v="No"/>
    <s v="Yes"/>
    <n v="0.01"/>
    <s v="No"/>
    <n v="0"/>
  </r>
  <r>
    <s v="AP-0479"/>
    <s v="VND-018"/>
    <s v="BuildFast Materials"/>
    <x v="2"/>
    <x v="1"/>
    <s v="Sofia Reyes"/>
    <d v="2025-10-30T00:00:00"/>
    <d v="2026-01-28T00:00:00"/>
    <n v="90"/>
    <n v="41332.089999999997"/>
    <n v="41332.089999999997"/>
    <n v="0"/>
    <d v="2026-01-21T00:00:00"/>
    <s v="Paid"/>
    <s v="Wire"/>
    <n v="83"/>
    <n v="7"/>
    <s v="Yes"/>
    <s v="Yes"/>
    <n v="5.0000000000000001E-3"/>
    <s v="No"/>
    <n v="0"/>
  </r>
  <r>
    <s v="AP-0480"/>
    <s v="VND-025"/>
    <s v="RapidShip Co."/>
    <x v="0"/>
    <x v="3"/>
    <s v="Pedro Alvarez"/>
    <d v="2026-01-08T00:00:00"/>
    <d v="2026-01-23T00:00:00"/>
    <n v="15"/>
    <n v="15744.31"/>
    <n v="15744.31"/>
    <n v="0"/>
    <d v="2026-01-18T00:00:00"/>
    <s v="Paid"/>
    <s v="Wire"/>
    <n v="10"/>
    <n v="5"/>
    <s v="Yes"/>
    <s v="Yes"/>
    <n v="0.02"/>
    <s v="No"/>
    <n v="0"/>
  </r>
  <r>
    <s v="AP-0481"/>
    <s v="VND-013"/>
    <s v="SafetyFirst Supplies"/>
    <x v="2"/>
    <x v="1"/>
    <s v="Ana Torres"/>
    <d v="2025-10-17T00:00:00"/>
    <d v="2025-11-16T00:00:00"/>
    <n v="30"/>
    <n v="17484.8"/>
    <n v="17484.8"/>
    <n v="0"/>
    <d v="2025-11-08T00:00:00"/>
    <s v="Paid"/>
    <s v="Credit Card"/>
    <n v="22"/>
    <n v="8"/>
    <s v="Yes"/>
    <s v="Yes"/>
    <n v="0.01"/>
    <s v="No"/>
    <n v="0"/>
  </r>
  <r>
    <s v="AP-0482"/>
    <s v="VND-017"/>
    <s v="OfficePro Services"/>
    <x v="4"/>
    <x v="0"/>
    <s v="Sofia Reyes"/>
    <d v="2025-02-02T00:00:00"/>
    <d v="2025-03-04T00:00:00"/>
    <n v="30"/>
    <n v="10476.92"/>
    <n v="10476.92"/>
    <n v="0"/>
    <d v="2025-02-19T00:00:00"/>
    <s v="Paid"/>
    <s v="Wire"/>
    <n v="17"/>
    <n v="13"/>
    <s v="Yes"/>
    <s v="Yes"/>
    <n v="0.01"/>
    <s v="No"/>
    <n v="0"/>
  </r>
  <r>
    <s v="AP-0483"/>
    <s v="VND-022"/>
    <s v="Apex Consulting"/>
    <x v="4"/>
    <x v="2"/>
    <s v="Ana Torres"/>
    <d v="2026-01-11T00:00:00"/>
    <d v="2026-01-26T00:00:00"/>
    <n v="15"/>
    <n v="11166.74"/>
    <n v="11166.74"/>
    <n v="0"/>
    <d v="2026-01-20T00:00:00"/>
    <s v="Paid"/>
    <s v="Check"/>
    <n v="9"/>
    <n v="6"/>
    <s v="Yes"/>
    <s v="No"/>
    <n v="0"/>
    <s v="No"/>
    <n v="0"/>
  </r>
  <r>
    <s v="AP-0484"/>
    <s v="VND-007"/>
    <s v="ProStaff Services"/>
    <x v="4"/>
    <x v="2"/>
    <s v="Sofia Reyes"/>
    <d v="2026-01-05T00:00:00"/>
    <d v="2026-01-20T00:00:00"/>
    <n v="15"/>
    <n v="23646.74"/>
    <n v="23646.74"/>
    <n v="0"/>
    <d v="2026-01-12T00:00:00"/>
    <s v="Paid"/>
    <s v="Credit Card"/>
    <n v="7"/>
    <n v="8"/>
    <s v="Yes"/>
    <s v="No"/>
    <n v="0"/>
    <s v="No"/>
    <n v="0"/>
  </r>
  <r>
    <s v="AP-0485"/>
    <s v="VND-020"/>
    <s v="TrustBuild Facilities"/>
    <x v="5"/>
    <x v="4"/>
    <s v="Ana Torres"/>
    <d v="2025-11-08T00:00:00"/>
    <d v="2025-12-08T00:00:00"/>
    <n v="30"/>
    <n v="4571.87"/>
    <n v="4571.87"/>
    <n v="0"/>
    <d v="2025-12-17T00:00:00"/>
    <s v="Paid"/>
    <s v="ACH"/>
    <n v="39"/>
    <n v="-9"/>
    <s v="No"/>
    <s v="Yes"/>
    <n v="0.01"/>
    <s v="No"/>
    <n v="0"/>
  </r>
  <r>
    <s v="AP-0486"/>
    <s v="VND-004"/>
    <s v="BuildRight Materials"/>
    <x v="2"/>
    <x v="1"/>
    <s v="Ana Torres"/>
    <d v="2025-07-17T00:00:00"/>
    <d v="2025-08-16T00:00:00"/>
    <n v="30"/>
    <n v="27257.22"/>
    <n v="27257.22"/>
    <n v="0"/>
    <d v="2025-08-21T00:00:00"/>
    <s v="Paid"/>
    <s v="Credit Card"/>
    <n v="35"/>
    <n v="-5"/>
    <s v="No"/>
    <s v="Yes"/>
    <n v="0.01"/>
    <s v="No"/>
    <n v="0"/>
  </r>
  <r>
    <s v="AP-0487"/>
    <s v="VND-014"/>
    <s v="NetConnect Systems"/>
    <x v="1"/>
    <x v="0"/>
    <s v="Ana Torres"/>
    <d v="2026-03-14T00:00:00"/>
    <d v="2026-06-12T00:00:00"/>
    <n v="90"/>
    <n v="71211.8"/>
    <n v="71211.8"/>
    <n v="0"/>
    <d v="2026-05-31T00:00:00"/>
    <s v="Paid"/>
    <s v="Check"/>
    <n v="78"/>
    <n v="12"/>
    <s v="Yes"/>
    <s v="Yes"/>
    <n v="5.0000000000000001E-3"/>
    <s v="No"/>
    <n v="0"/>
  </r>
  <r>
    <s v="AP-0488"/>
    <s v="VND-011"/>
    <s v="QuickFreight Inc."/>
    <x v="0"/>
    <x v="1"/>
    <s v="Ana Torres"/>
    <d v="2025-11-19T00:00:00"/>
    <d v="2026-01-18T00:00:00"/>
    <n v="60"/>
    <n v="11451.55"/>
    <n v="5796.45"/>
    <n v="5655.1"/>
    <d v="2026-02-02T00:00:00"/>
    <s v="Partial"/>
    <s v="Credit Card"/>
    <n v="75"/>
    <n v="-15"/>
    <s v="No"/>
    <s v="No"/>
    <n v="0"/>
    <s v="No"/>
    <n v="0"/>
  </r>
  <r>
    <s v="AP-0489"/>
    <s v="VND-014"/>
    <s v="NetConnect Systems"/>
    <x v="1"/>
    <x v="4"/>
    <s v="Ana Torres"/>
    <d v="2026-01-20T00:00:00"/>
    <d v="2026-02-19T00:00:00"/>
    <n v="30"/>
    <n v="62428.12"/>
    <n v="62428.12"/>
    <n v="0"/>
    <d v="2026-02-27T00:00:00"/>
    <s v="Paid"/>
    <s v="Wire"/>
    <n v="38"/>
    <n v="-8"/>
    <s v="No"/>
    <s v="No"/>
    <n v="0"/>
    <s v="No"/>
    <n v="0"/>
  </r>
  <r>
    <s v="AP-0490"/>
    <s v="VND-013"/>
    <s v="SafetyFirst Supplies"/>
    <x v="2"/>
    <x v="0"/>
    <s v="Sofia Reyes"/>
    <d v="2025-05-19T00:00:00"/>
    <d v="2025-06-03T00:00:00"/>
    <n v="15"/>
    <n v="49683.78"/>
    <n v="49683.78"/>
    <n v="0"/>
    <d v="2025-06-01T00:00:00"/>
    <s v="Paid"/>
    <s v="Check"/>
    <n v="13"/>
    <n v="2"/>
    <s v="Yes"/>
    <s v="Yes"/>
    <n v="0.02"/>
    <s v="No"/>
    <n v="0"/>
  </r>
  <r>
    <s v="AP-0491"/>
    <s v="VND-008"/>
    <s v="GreenEnergy Corp."/>
    <x v="3"/>
    <x v="1"/>
    <s v="Laura Chen"/>
    <d v="2025-06-08T00:00:00"/>
    <d v="2025-07-23T00:00:00"/>
    <n v="45"/>
    <n v="1867.16"/>
    <n v="1867.16"/>
    <n v="0"/>
    <d v="2025-07-22T00:00:00"/>
    <s v="Paid"/>
    <s v="ACH"/>
    <n v="44"/>
    <n v="1"/>
    <s v="Yes"/>
    <s v="Yes"/>
    <n v="1.4999999999999999E-2"/>
    <s v="No"/>
    <n v="0"/>
  </r>
  <r>
    <s v="AP-0492"/>
    <s v="VND-008"/>
    <s v="GreenEnergy Corp."/>
    <x v="3"/>
    <x v="1"/>
    <s v="Laura Chen"/>
    <d v="2026-02-14T00:00:00"/>
    <d v="2026-03-16T00:00:00"/>
    <n v="30"/>
    <n v="8751.44"/>
    <n v="8751.44"/>
    <n v="0"/>
    <d v="2026-04-01T00:00:00"/>
    <s v="Paid"/>
    <s v="Check"/>
    <n v="46"/>
    <n v="-16"/>
    <s v="No"/>
    <s v="Yes"/>
    <n v="0.01"/>
    <s v="No"/>
    <n v="0"/>
  </r>
  <r>
    <s v="AP-0493"/>
    <s v="VND-011"/>
    <s v="QuickFreight Inc."/>
    <x v="0"/>
    <x v="2"/>
    <s v="Marco Diaz"/>
    <d v="2025-11-04T00:00:00"/>
    <d v="2025-12-04T00:00:00"/>
    <n v="30"/>
    <n v="1710.06"/>
    <n v="1710.06"/>
    <n v="0"/>
    <d v="2025-12-07T00:00:00"/>
    <s v="Paid"/>
    <s v="Credit Card"/>
    <n v="33"/>
    <n v="-3"/>
    <s v="No"/>
    <s v="No"/>
    <n v="0"/>
    <s v="No"/>
    <n v="0"/>
  </r>
  <r>
    <s v="AP-0494"/>
    <s v="VND-011"/>
    <s v="QuickFreight Inc."/>
    <x v="0"/>
    <x v="4"/>
    <s v="Pedro Alvarez"/>
    <d v="2025-08-21T00:00:00"/>
    <d v="2025-09-20T00:00:00"/>
    <n v="30"/>
    <n v="15205.89"/>
    <n v="0"/>
    <n v="15205.89"/>
    <m/>
    <s v="Overdue"/>
    <s v="Credit Card"/>
    <m/>
    <n v="-253"/>
    <s v="No"/>
    <s v="No"/>
    <n v="0"/>
    <s v="No"/>
    <n v="0"/>
  </r>
  <r>
    <s v="AP-0495"/>
    <s v="VND-021"/>
    <s v="PrimePack Logistics"/>
    <x v="0"/>
    <x v="2"/>
    <s v="Sofia Reyes"/>
    <d v="2025-11-23T00:00:00"/>
    <d v="2025-12-08T00:00:00"/>
    <n v="15"/>
    <n v="11258.66"/>
    <n v="11258.66"/>
    <n v="0"/>
    <d v="2025-11-24T00:00:00"/>
    <s v="Paid"/>
    <s v="Check"/>
    <n v="1"/>
    <n v="14"/>
    <s v="Yes"/>
    <s v="Yes"/>
    <n v="0.02"/>
    <s v="Yes"/>
    <n v="225.17"/>
  </r>
  <r>
    <s v="AP-0496"/>
    <s v="VND-008"/>
    <s v="GreenEnergy Corp."/>
    <x v="3"/>
    <x v="1"/>
    <s v="Sofia Reyes"/>
    <d v="2025-04-03T00:00:00"/>
    <d v="2025-07-02T00:00:00"/>
    <n v="90"/>
    <n v="3720.24"/>
    <n v="3720.24"/>
    <n v="0"/>
    <d v="2025-07-04T00:00:00"/>
    <s v="Paid"/>
    <s v="Credit Card"/>
    <n v="92"/>
    <n v="-2"/>
    <s v="No"/>
    <s v="Yes"/>
    <n v="5.0000000000000001E-3"/>
    <s v="No"/>
    <n v="0"/>
  </r>
  <r>
    <s v="AP-0497"/>
    <s v="VND-019"/>
    <s v="SkyNet IT Solutions"/>
    <x v="1"/>
    <x v="0"/>
    <s v="Ana Torres"/>
    <d v="2025-03-29T00:00:00"/>
    <d v="2025-05-13T00:00:00"/>
    <n v="45"/>
    <n v="34889.53"/>
    <n v="34889.53"/>
    <n v="0"/>
    <d v="2025-05-15T00:00:00"/>
    <s v="Paid"/>
    <s v="Credit Card"/>
    <n v="47"/>
    <n v="-2"/>
    <s v="No"/>
    <s v="Yes"/>
    <n v="1.4999999999999999E-2"/>
    <s v="No"/>
    <n v="0"/>
  </r>
  <r>
    <s v="AP-0498"/>
    <s v="VND-025"/>
    <s v="RapidShip Co."/>
    <x v="0"/>
    <x v="1"/>
    <s v="Pedro Alvarez"/>
    <d v="2026-02-09T00:00:00"/>
    <d v="2026-05-10T00:00:00"/>
    <n v="90"/>
    <n v="13392.72"/>
    <n v="13392.72"/>
    <n v="0"/>
    <d v="2026-05-10T00:00:00"/>
    <s v="Paid"/>
    <s v="Wire"/>
    <n v="90"/>
    <n v="0"/>
    <s v="Yes"/>
    <s v="Yes"/>
    <n v="5.0000000000000001E-3"/>
    <s v="No"/>
    <n v="0"/>
  </r>
  <r>
    <s v="AP-0499"/>
    <s v="VND-025"/>
    <s v="RapidShip Co."/>
    <x v="0"/>
    <x v="2"/>
    <s v="Laura Chen"/>
    <d v="2026-02-28T00:00:00"/>
    <d v="2026-03-30T00:00:00"/>
    <n v="30"/>
    <n v="9047.27"/>
    <n v="9047.27"/>
    <n v="0"/>
    <d v="2026-04-02T00:00:00"/>
    <s v="Paid"/>
    <s v="ACH"/>
    <n v="33"/>
    <n v="-3"/>
    <s v="No"/>
    <s v="Yes"/>
    <n v="0.01"/>
    <s v="No"/>
    <n v="0"/>
  </r>
  <r>
    <s v="AP-0500"/>
    <s v="VND-020"/>
    <s v="TrustBuild Facilities"/>
    <x v="5"/>
    <x v="0"/>
    <s v="Laura Chen"/>
    <d v="2026-03-29T00:00:00"/>
    <d v="2026-05-28T00:00:00"/>
    <n v="60"/>
    <n v="22565.01"/>
    <n v="0"/>
    <n v="22565.01"/>
    <m/>
    <s v="Pending"/>
    <s v="Wire"/>
    <m/>
    <m/>
    <m/>
    <s v="Yes"/>
    <n v="0.01"/>
    <s v="No"/>
    <n v="0"/>
  </r>
  <r>
    <s v="AP-0501"/>
    <s v="VND-022"/>
    <s v="Apex Consulting"/>
    <x v="4"/>
    <x v="4"/>
    <s v="Marco Diaz"/>
    <d v="2025-02-25T00:00:00"/>
    <d v="2025-03-27T00:00:00"/>
    <n v="30"/>
    <n v="11992.79"/>
    <n v="11992.79"/>
    <n v="0"/>
    <d v="2025-03-30T00:00:00"/>
    <s v="Paid"/>
    <s v="ACH"/>
    <n v="33"/>
    <n v="-3"/>
    <s v="No"/>
    <s v="Yes"/>
    <n v="0.01"/>
    <s v="No"/>
    <n v="0"/>
  </r>
  <r>
    <s v="AP-0502"/>
    <s v="VND-011"/>
    <s v="QuickFreight Inc."/>
    <x v="0"/>
    <x v="0"/>
    <s v="Laura Chen"/>
    <d v="2025-01-24T00:00:00"/>
    <d v="2025-04-24T00:00:00"/>
    <n v="90"/>
    <n v="7305.66"/>
    <n v="7305.66"/>
    <n v="0"/>
    <d v="2025-04-19T00:00:00"/>
    <s v="Paid"/>
    <s v="Credit Card"/>
    <n v="85"/>
    <n v="5"/>
    <s v="Yes"/>
    <s v="No"/>
    <n v="0"/>
    <s v="No"/>
    <n v="0"/>
  </r>
  <r>
    <s v="AP-0503"/>
    <s v="VND-018"/>
    <s v="BuildFast Materials"/>
    <x v="2"/>
    <x v="3"/>
    <s v="Laura Chen"/>
    <d v="2025-01-19T00:00:00"/>
    <d v="2025-02-18T00:00:00"/>
    <n v="30"/>
    <n v="20077.12"/>
    <n v="20077.12"/>
    <n v="0"/>
    <d v="2025-02-18T00:00:00"/>
    <s v="Paid"/>
    <s v="Credit Card"/>
    <n v="30"/>
    <n v="0"/>
    <s v="Yes"/>
    <s v="No"/>
    <n v="0"/>
    <s v="No"/>
    <n v="0"/>
  </r>
  <r>
    <s v="AP-0504"/>
    <s v="VND-007"/>
    <s v="ProStaff Services"/>
    <x v="4"/>
    <x v="3"/>
    <s v="Laura Chen"/>
    <d v="2025-01-09T00:00:00"/>
    <d v="2025-04-09T00:00:00"/>
    <n v="90"/>
    <n v="5464.12"/>
    <n v="5464.12"/>
    <n v="0"/>
    <d v="2025-04-11T00:00:00"/>
    <s v="Paid"/>
    <s v="ACH"/>
    <n v="92"/>
    <n v="-2"/>
    <s v="No"/>
    <s v="Yes"/>
    <n v="5.0000000000000001E-3"/>
    <s v="No"/>
    <n v="0"/>
  </r>
  <r>
    <s v="AP-0505"/>
    <s v="VND-022"/>
    <s v="Apex Consulting"/>
    <x v="4"/>
    <x v="4"/>
    <s v="Sofia Reyes"/>
    <d v="2026-01-31T00:00:00"/>
    <d v="2026-03-17T00:00:00"/>
    <n v="45"/>
    <n v="11553.24"/>
    <n v="0"/>
    <n v="11553.24"/>
    <m/>
    <s v="Overdue"/>
    <s v="ACH"/>
    <m/>
    <n v="-75"/>
    <s v="No"/>
    <s v="Yes"/>
    <n v="1.4999999999999999E-2"/>
    <s v="No"/>
    <n v="0"/>
  </r>
  <r>
    <s v="AP-0506"/>
    <s v="VND-004"/>
    <s v="BuildRight Materials"/>
    <x v="2"/>
    <x v="4"/>
    <s v="Pedro Alvarez"/>
    <d v="2025-07-23T00:00:00"/>
    <d v="2025-08-22T00:00:00"/>
    <n v="30"/>
    <n v="26031.24"/>
    <n v="0"/>
    <n v="26031.24"/>
    <m/>
    <s v="Overdue"/>
    <s v="ACH"/>
    <m/>
    <n v="-282"/>
    <s v="No"/>
    <s v="Yes"/>
    <n v="0.01"/>
    <s v="No"/>
    <n v="0"/>
  </r>
  <r>
    <s v="AP-0507"/>
    <s v="VND-001"/>
    <s v="Acme Supplies Co."/>
    <x v="2"/>
    <x v="0"/>
    <s v="Marco Diaz"/>
    <d v="2026-05-17T00:00:00"/>
    <d v="2026-07-16T00:00:00"/>
    <n v="60"/>
    <n v="20883.189999999999"/>
    <n v="0"/>
    <n v="20883.189999999999"/>
    <m/>
    <s v="Pending"/>
    <s v="Check"/>
    <m/>
    <m/>
    <m/>
    <s v="Yes"/>
    <n v="0.01"/>
    <s v="No"/>
    <n v="0"/>
  </r>
  <r>
    <s v="AP-0508"/>
    <s v="VND-021"/>
    <s v="PrimePack Logistics"/>
    <x v="0"/>
    <x v="4"/>
    <s v="Marco Diaz"/>
    <d v="2025-09-21T00:00:00"/>
    <d v="2025-10-06T00:00:00"/>
    <n v="15"/>
    <n v="17694.87"/>
    <n v="5569.16"/>
    <n v="12125.71"/>
    <d v="2025-10-18T00:00:00"/>
    <s v="Partial"/>
    <s v="Check"/>
    <n v="27"/>
    <n v="-12"/>
    <s v="No"/>
    <s v="No"/>
    <n v="0"/>
    <s v="No"/>
    <n v="0"/>
  </r>
  <r>
    <s v="AP-0509"/>
    <s v="VND-009"/>
    <s v="MetalWorks Ltd."/>
    <x v="2"/>
    <x v="1"/>
    <s v="Marco Diaz"/>
    <d v="2025-05-21T00:00:00"/>
    <d v="2025-07-20T00:00:00"/>
    <n v="60"/>
    <n v="6214.16"/>
    <n v="0"/>
    <n v="6214.16"/>
    <m/>
    <s v="Overdue"/>
    <s v="Check"/>
    <m/>
    <n v="-315"/>
    <s v="No"/>
    <s v="Yes"/>
    <n v="0.01"/>
    <s v="No"/>
    <n v="0"/>
  </r>
  <r>
    <s v="AP-0510"/>
    <s v="VND-020"/>
    <s v="TrustBuild Facilities"/>
    <x v="5"/>
    <x v="1"/>
    <s v="Pedro Alvarez"/>
    <d v="2026-03-13T00:00:00"/>
    <d v="2026-04-12T00:00:00"/>
    <n v="30"/>
    <n v="34027.730000000003"/>
    <n v="34027.730000000003"/>
    <n v="0"/>
    <d v="2026-04-13T00:00:00"/>
    <s v="Paid"/>
    <s v="Wire"/>
    <n v="31"/>
    <n v="-1"/>
    <s v="No"/>
    <s v="No"/>
    <n v="0"/>
    <s v="No"/>
    <n v="0"/>
  </r>
  <r>
    <s v="AP-0511"/>
    <s v="VND-018"/>
    <s v="BuildFast Materials"/>
    <x v="2"/>
    <x v="1"/>
    <s v="Marco Diaz"/>
    <d v="2026-03-17T00:00:00"/>
    <d v="2026-04-16T00:00:00"/>
    <n v="30"/>
    <n v="49792.92"/>
    <n v="49792.92"/>
    <n v="0"/>
    <d v="2026-04-20T00:00:00"/>
    <s v="Paid"/>
    <s v="Check"/>
    <n v="34"/>
    <n v="-4"/>
    <s v="No"/>
    <s v="No"/>
    <n v="0"/>
    <s v="No"/>
    <n v="0"/>
  </r>
  <r>
    <s v="AP-0512"/>
    <s v="VND-006"/>
    <s v="PowerGrid Utilities"/>
    <x v="3"/>
    <x v="4"/>
    <s v="Sofia Reyes"/>
    <d v="2025-11-22T00:00:00"/>
    <d v="2025-12-22T00:00:00"/>
    <n v="30"/>
    <n v="12673.08"/>
    <n v="12673.08"/>
    <n v="0"/>
    <d v="2025-12-14T00:00:00"/>
    <s v="Paid"/>
    <s v="ACH"/>
    <n v="22"/>
    <n v="8"/>
    <s v="Yes"/>
    <s v="Yes"/>
    <n v="0.01"/>
    <s v="No"/>
    <n v="0"/>
  </r>
  <r>
    <s v="AP-0513"/>
    <s v="VND-014"/>
    <s v="NetConnect Systems"/>
    <x v="1"/>
    <x v="4"/>
    <s v="Pedro Alvarez"/>
    <d v="2025-07-12T00:00:00"/>
    <d v="2025-08-11T00:00:00"/>
    <n v="30"/>
    <n v="13007.86"/>
    <n v="13007.86"/>
    <n v="0"/>
    <d v="2025-08-30T00:00:00"/>
    <s v="Paid"/>
    <s v="Check"/>
    <n v="49"/>
    <n v="-19"/>
    <s v="No"/>
    <s v="Yes"/>
    <n v="0.01"/>
    <s v="No"/>
    <n v="0"/>
  </r>
  <r>
    <s v="AP-0514"/>
    <s v="VND-020"/>
    <s v="TrustBuild Facilities"/>
    <x v="5"/>
    <x v="3"/>
    <s v="Laura Chen"/>
    <d v="2025-08-25T00:00:00"/>
    <d v="2025-09-24T00:00:00"/>
    <n v="30"/>
    <n v="24683.47"/>
    <n v="24683.47"/>
    <n v="0"/>
    <d v="2025-09-15T00:00:00"/>
    <s v="Paid"/>
    <s v="Wire"/>
    <n v="21"/>
    <n v="9"/>
    <s v="Yes"/>
    <s v="Yes"/>
    <n v="0.01"/>
    <s v="No"/>
    <n v="0"/>
  </r>
  <r>
    <s v="AP-0515"/>
    <s v="VND-020"/>
    <s v="TrustBuild Facilities"/>
    <x v="5"/>
    <x v="2"/>
    <s v="Laura Chen"/>
    <d v="2026-05-19T00:00:00"/>
    <d v="2026-07-18T00:00:00"/>
    <n v="60"/>
    <n v="17636.95"/>
    <n v="17636.95"/>
    <n v="0"/>
    <d v="2026-05-31T00:00:00"/>
    <s v="Paid"/>
    <s v="Wire"/>
    <n v="12"/>
    <n v="48"/>
    <s v="Yes"/>
    <s v="Yes"/>
    <n v="0.01"/>
    <s v="Yes"/>
    <n v="176.37"/>
  </r>
  <r>
    <s v="AP-0516"/>
    <s v="VND-001"/>
    <s v="Acme Supplies Co."/>
    <x v="2"/>
    <x v="4"/>
    <s v="Pedro Alvarez"/>
    <d v="2025-07-29T00:00:00"/>
    <d v="2025-08-28T00:00:00"/>
    <n v="30"/>
    <n v="5174.54"/>
    <n v="0"/>
    <n v="5174.54"/>
    <m/>
    <s v="Overdue"/>
    <s v="Wire"/>
    <m/>
    <n v="-276"/>
    <s v="No"/>
    <s v="No"/>
    <n v="0"/>
    <s v="No"/>
    <n v="0"/>
  </r>
  <r>
    <s v="AP-0517"/>
    <s v="VND-020"/>
    <s v="TrustBuild Facilities"/>
    <x v="5"/>
    <x v="2"/>
    <s v="Laura Chen"/>
    <d v="2026-03-14T00:00:00"/>
    <d v="2026-04-13T00:00:00"/>
    <n v="30"/>
    <n v="15360.6"/>
    <n v="0"/>
    <n v="15360.6"/>
    <m/>
    <s v="Pending"/>
    <s v="Credit Card"/>
    <m/>
    <m/>
    <m/>
    <s v="Yes"/>
    <n v="0.01"/>
    <s v="No"/>
    <n v="0"/>
  </r>
  <r>
    <s v="AP-0518"/>
    <s v="VND-011"/>
    <s v="QuickFreight Inc."/>
    <x v="0"/>
    <x v="2"/>
    <s v="Ana Torres"/>
    <d v="2026-04-08T00:00:00"/>
    <d v="2026-05-08T00:00:00"/>
    <n v="30"/>
    <n v="9681.11"/>
    <n v="0"/>
    <n v="9681.11"/>
    <m/>
    <s v="Pending"/>
    <s v="ACH"/>
    <m/>
    <m/>
    <m/>
    <s v="No"/>
    <n v="0"/>
    <s v="No"/>
    <n v="0"/>
  </r>
  <r>
    <s v="AP-0519"/>
    <s v="VND-018"/>
    <s v="BuildFast Materials"/>
    <x v="2"/>
    <x v="2"/>
    <s v="Sofia Reyes"/>
    <d v="2025-07-14T00:00:00"/>
    <d v="2025-07-29T00:00:00"/>
    <n v="15"/>
    <n v="15976.61"/>
    <n v="15976.61"/>
    <n v="0"/>
    <d v="2025-08-02T00:00:00"/>
    <s v="Paid"/>
    <s v="Credit Card"/>
    <n v="19"/>
    <n v="-4"/>
    <s v="No"/>
    <s v="Yes"/>
    <n v="0.02"/>
    <s v="No"/>
    <n v="0"/>
  </r>
  <r>
    <s v="AP-0520"/>
    <s v="VND-014"/>
    <s v="NetConnect Systems"/>
    <x v="1"/>
    <x v="4"/>
    <s v="Ana Torres"/>
    <d v="2026-04-20T00:00:00"/>
    <d v="2026-05-20T00:00:00"/>
    <n v="30"/>
    <n v="67242.009999999995"/>
    <n v="0"/>
    <n v="67242.009999999995"/>
    <m/>
    <s v="Pending"/>
    <s v="ACH"/>
    <m/>
    <m/>
    <m/>
    <s v="Yes"/>
    <n v="0.01"/>
    <s v="No"/>
    <n v="0"/>
  </r>
  <r>
    <s v="AP-0521"/>
    <s v="VND-025"/>
    <s v="RapidShip Co."/>
    <x v="0"/>
    <x v="3"/>
    <s v="Ana Torres"/>
    <d v="2026-02-28T00:00:00"/>
    <d v="2026-04-29T00:00:00"/>
    <n v="60"/>
    <n v="7145.76"/>
    <n v="7145.76"/>
    <n v="0"/>
    <d v="2026-04-22T00:00:00"/>
    <s v="Paid"/>
    <s v="Wire"/>
    <n v="53"/>
    <n v="7"/>
    <s v="Yes"/>
    <s v="Yes"/>
    <n v="0.01"/>
    <s v="No"/>
    <n v="0"/>
  </r>
  <r>
    <s v="AP-0522"/>
    <s v="VND-007"/>
    <s v="ProStaff Services"/>
    <x v="4"/>
    <x v="2"/>
    <s v="Sofia Reyes"/>
    <d v="2025-06-17T00:00:00"/>
    <d v="2025-08-16T00:00:00"/>
    <n v="60"/>
    <n v="29579.86"/>
    <n v="29579.86"/>
    <n v="0"/>
    <d v="2025-08-09T00:00:00"/>
    <s v="Paid"/>
    <s v="Check"/>
    <n v="53"/>
    <n v="7"/>
    <s v="Yes"/>
    <s v="Yes"/>
    <n v="0.01"/>
    <s v="No"/>
    <n v="0"/>
  </r>
  <r>
    <s v="AP-0523"/>
    <s v="VND-017"/>
    <s v="OfficePro Services"/>
    <x v="4"/>
    <x v="2"/>
    <s v="Ana Torres"/>
    <d v="2026-01-25T00:00:00"/>
    <d v="2026-03-26T00:00:00"/>
    <n v="60"/>
    <n v="4624.53"/>
    <n v="4624.53"/>
    <n v="0"/>
    <d v="2026-03-28T00:00:00"/>
    <s v="Paid"/>
    <s v="Wire"/>
    <n v="62"/>
    <n v="-2"/>
    <s v="No"/>
    <s v="Yes"/>
    <n v="0.01"/>
    <s v="No"/>
    <n v="0"/>
  </r>
  <r>
    <s v="AP-0524"/>
    <s v="VND-022"/>
    <s v="Apex Consulting"/>
    <x v="4"/>
    <x v="1"/>
    <s v="Marco Diaz"/>
    <d v="2025-02-22T00:00:00"/>
    <d v="2025-03-24T00:00:00"/>
    <n v="30"/>
    <n v="18524.52"/>
    <n v="18524.52"/>
    <n v="0"/>
    <d v="2025-03-14T00:00:00"/>
    <s v="Paid"/>
    <s v="Wire"/>
    <n v="20"/>
    <n v="10"/>
    <s v="Yes"/>
    <s v="Yes"/>
    <n v="0.01"/>
    <s v="No"/>
    <n v="0"/>
  </r>
  <r>
    <s v="AP-0525"/>
    <s v="VND-004"/>
    <s v="BuildRight Materials"/>
    <x v="2"/>
    <x v="1"/>
    <s v="Marco Diaz"/>
    <d v="2025-01-13T00:00:00"/>
    <d v="2025-02-27T00:00:00"/>
    <n v="45"/>
    <n v="24014.85"/>
    <n v="24014.85"/>
    <n v="0"/>
    <d v="2025-03-02T00:00:00"/>
    <s v="Paid"/>
    <s v="ACH"/>
    <n v="48"/>
    <n v="-3"/>
    <s v="No"/>
    <s v="No"/>
    <n v="0"/>
    <s v="No"/>
    <n v="0"/>
  </r>
  <r>
    <s v="AP-0526"/>
    <s v="VND-001"/>
    <s v="Acme Supplies Co."/>
    <x v="2"/>
    <x v="3"/>
    <s v="Pedro Alvarez"/>
    <d v="2026-05-03T00:00:00"/>
    <d v="2026-06-02T00:00:00"/>
    <n v="30"/>
    <n v="23779.45"/>
    <n v="0"/>
    <n v="23779.45"/>
    <m/>
    <s v="Pending"/>
    <s v="Wire"/>
    <m/>
    <m/>
    <m/>
    <s v="Yes"/>
    <n v="0.01"/>
    <s v="No"/>
    <n v="0"/>
  </r>
  <r>
    <s v="AP-0527"/>
    <s v="VND-018"/>
    <s v="BuildFast Materials"/>
    <x v="2"/>
    <x v="4"/>
    <s v="Ana Torres"/>
    <d v="2025-07-09T00:00:00"/>
    <d v="2025-07-24T00:00:00"/>
    <n v="15"/>
    <n v="9116.2999999999993"/>
    <n v="9116.2999999999993"/>
    <n v="0"/>
    <d v="2025-07-31T00:00:00"/>
    <s v="Paid"/>
    <s v="Wire"/>
    <n v="22"/>
    <n v="-7"/>
    <s v="No"/>
    <s v="Yes"/>
    <n v="0.02"/>
    <s v="No"/>
    <n v="0"/>
  </r>
  <r>
    <s v="AP-0528"/>
    <s v="VND-020"/>
    <s v="TrustBuild Facilities"/>
    <x v="5"/>
    <x v="4"/>
    <s v="Laura Chen"/>
    <d v="2025-04-22T00:00:00"/>
    <d v="2025-05-07T00:00:00"/>
    <n v="15"/>
    <n v="15759.58"/>
    <n v="15759.58"/>
    <n v="0"/>
    <d v="2025-04-28T00:00:00"/>
    <s v="Paid"/>
    <s v="ACH"/>
    <n v="6"/>
    <n v="9"/>
    <s v="Yes"/>
    <s v="Yes"/>
    <n v="0.02"/>
    <s v="No"/>
    <n v="0"/>
  </r>
  <r>
    <s v="AP-0529"/>
    <s v="VND-020"/>
    <s v="TrustBuild Facilities"/>
    <x v="5"/>
    <x v="3"/>
    <s v="Ana Torres"/>
    <d v="2026-01-04T00:00:00"/>
    <d v="2026-04-04T00:00:00"/>
    <n v="90"/>
    <n v="32738.83"/>
    <n v="0"/>
    <n v="32738.83"/>
    <m/>
    <s v="Pending"/>
    <s v="Wire"/>
    <m/>
    <m/>
    <m/>
    <s v="Yes"/>
    <n v="5.0000000000000001E-3"/>
    <s v="No"/>
    <n v="0"/>
  </r>
  <r>
    <s v="AP-0530"/>
    <s v="VND-013"/>
    <s v="SafetyFirst Supplies"/>
    <x v="2"/>
    <x v="0"/>
    <s v="Pedro Alvarez"/>
    <d v="2026-04-28T00:00:00"/>
    <d v="2026-06-12T00:00:00"/>
    <n v="45"/>
    <n v="8458.2000000000007"/>
    <n v="8458.2000000000007"/>
    <n v="0"/>
    <d v="2026-05-31T00:00:00"/>
    <s v="Paid"/>
    <s v="ACH"/>
    <n v="33"/>
    <n v="12"/>
    <s v="Yes"/>
    <s v="Yes"/>
    <n v="1.4999999999999999E-2"/>
    <s v="No"/>
    <n v="0"/>
  </r>
  <r>
    <s v="AP-0531"/>
    <s v="VND-020"/>
    <s v="TrustBuild Facilities"/>
    <x v="5"/>
    <x v="0"/>
    <s v="Sofia Reyes"/>
    <d v="2025-10-22T00:00:00"/>
    <d v="2026-01-20T00:00:00"/>
    <n v="90"/>
    <n v="16092.77"/>
    <n v="16092.77"/>
    <n v="0"/>
    <d v="2026-01-19T00:00:00"/>
    <s v="Paid"/>
    <s v="ACH"/>
    <n v="89"/>
    <n v="1"/>
    <s v="Yes"/>
    <s v="No"/>
    <n v="0"/>
    <s v="No"/>
    <n v="0"/>
  </r>
  <r>
    <s v="AP-0532"/>
    <s v="VND-019"/>
    <s v="SkyNet IT Solutions"/>
    <x v="1"/>
    <x v="3"/>
    <s v="Laura Chen"/>
    <d v="2026-05-25T00:00:00"/>
    <d v="2026-08-23T00:00:00"/>
    <n v="90"/>
    <n v="41937.83"/>
    <n v="41937.83"/>
    <n v="0"/>
    <d v="2026-05-31T00:00:00"/>
    <s v="Paid"/>
    <s v="Wire"/>
    <n v="6"/>
    <n v="84"/>
    <s v="Yes"/>
    <s v="Yes"/>
    <n v="5.0000000000000001E-3"/>
    <s v="Yes"/>
    <n v="209.69"/>
  </r>
  <r>
    <s v="AP-0533"/>
    <s v="VND-001"/>
    <s v="Acme Supplies Co."/>
    <x v="2"/>
    <x v="2"/>
    <s v="Sofia Reyes"/>
    <d v="2026-02-28T00:00:00"/>
    <d v="2026-04-29T00:00:00"/>
    <n v="60"/>
    <n v="4183.63"/>
    <n v="0"/>
    <n v="4183.63"/>
    <m/>
    <s v="Pending"/>
    <s v="Wire"/>
    <m/>
    <m/>
    <m/>
    <s v="Yes"/>
    <n v="0.01"/>
    <s v="No"/>
    <n v="0"/>
  </r>
  <r>
    <s v="AP-0534"/>
    <s v="VND-021"/>
    <s v="PrimePack Logistics"/>
    <x v="0"/>
    <x v="1"/>
    <s v="Laura Chen"/>
    <d v="2025-11-12T00:00:00"/>
    <d v="2025-12-12T00:00:00"/>
    <n v="30"/>
    <n v="6705.4"/>
    <n v="6705.4"/>
    <n v="0"/>
    <d v="2025-12-12T00:00:00"/>
    <s v="Paid"/>
    <s v="Check"/>
    <n v="30"/>
    <n v="0"/>
    <s v="Yes"/>
    <s v="Yes"/>
    <n v="0.01"/>
    <s v="No"/>
    <n v="0"/>
  </r>
  <r>
    <s v="AP-0535"/>
    <s v="VND-004"/>
    <s v="BuildRight Materials"/>
    <x v="2"/>
    <x v="4"/>
    <s v="Laura Chen"/>
    <d v="2025-06-29T00:00:00"/>
    <d v="2025-07-14T00:00:00"/>
    <n v="15"/>
    <n v="11312.75"/>
    <n v="0"/>
    <n v="11312.75"/>
    <m/>
    <s v="Overdue"/>
    <s v="Credit Card"/>
    <m/>
    <n v="-321"/>
    <s v="No"/>
    <s v="No"/>
    <n v="0"/>
    <s v="No"/>
    <n v="0"/>
  </r>
  <r>
    <s v="AP-0536"/>
    <s v="VND-016"/>
    <s v="CleanWater Utilities"/>
    <x v="3"/>
    <x v="2"/>
    <s v="Sofia Reyes"/>
    <d v="2025-06-09T00:00:00"/>
    <d v="2025-09-07T00:00:00"/>
    <n v="90"/>
    <n v="9594.41"/>
    <n v="9594.41"/>
    <n v="0"/>
    <d v="2025-08-31T00:00:00"/>
    <s v="Paid"/>
    <s v="Wire"/>
    <n v="83"/>
    <n v="7"/>
    <s v="Yes"/>
    <s v="No"/>
    <n v="0"/>
    <s v="No"/>
    <n v="0"/>
  </r>
  <r>
    <s v="AP-0537"/>
    <s v="VND-014"/>
    <s v="NetConnect Systems"/>
    <x v="1"/>
    <x v="0"/>
    <s v="Ana Torres"/>
    <d v="2025-01-20T00:00:00"/>
    <d v="2025-03-21T00:00:00"/>
    <n v="60"/>
    <n v="20619.689999999999"/>
    <n v="15341.35"/>
    <n v="5278.34"/>
    <d v="2025-03-27T00:00:00"/>
    <s v="Partial"/>
    <s v="Check"/>
    <n v="66"/>
    <n v="-6"/>
    <s v="No"/>
    <s v="Yes"/>
    <n v="0.01"/>
    <s v="No"/>
    <n v="0"/>
  </r>
  <r>
    <s v="AP-0538"/>
    <s v="VND-003"/>
    <s v="FastShip Logistics"/>
    <x v="0"/>
    <x v="1"/>
    <s v="Laura Chen"/>
    <d v="2026-01-20T00:00:00"/>
    <d v="2026-03-21T00:00:00"/>
    <n v="60"/>
    <n v="12903.71"/>
    <n v="12903.71"/>
    <n v="0"/>
    <d v="2026-04-02T00:00:00"/>
    <s v="Paid"/>
    <s v="ACH"/>
    <n v="72"/>
    <n v="-12"/>
    <s v="No"/>
    <s v="No"/>
    <n v="0"/>
    <s v="No"/>
    <n v="0"/>
  </r>
  <r>
    <s v="AP-0539"/>
    <s v="VND-013"/>
    <s v="SafetyFirst Supplies"/>
    <x v="2"/>
    <x v="1"/>
    <s v="Ana Torres"/>
    <d v="2025-11-19T00:00:00"/>
    <d v="2026-01-03T00:00:00"/>
    <n v="45"/>
    <n v="36072.32"/>
    <n v="36072.32"/>
    <n v="0"/>
    <d v="2026-01-08T00:00:00"/>
    <s v="Paid"/>
    <s v="ACH"/>
    <n v="50"/>
    <n v="-5"/>
    <s v="No"/>
    <s v="Yes"/>
    <n v="1.4999999999999999E-2"/>
    <s v="No"/>
    <n v="0"/>
  </r>
  <r>
    <s v="AP-0540"/>
    <s v="VND-010"/>
    <s v="DataBridge IT"/>
    <x v="1"/>
    <x v="1"/>
    <s v="Ana Torres"/>
    <d v="2025-04-25T00:00:00"/>
    <d v="2025-05-25T00:00:00"/>
    <n v="30"/>
    <n v="33066.18"/>
    <n v="33066.18"/>
    <n v="0"/>
    <d v="2025-05-20T00:00:00"/>
    <s v="Paid"/>
    <s v="Check"/>
    <n v="25"/>
    <n v="5"/>
    <s v="Yes"/>
    <s v="Yes"/>
    <n v="0.01"/>
    <s v="No"/>
    <n v="0"/>
  </r>
  <r>
    <s v="AP-0541"/>
    <s v="VND-003"/>
    <s v="FastShip Logistics"/>
    <x v="0"/>
    <x v="2"/>
    <s v="Ana Torres"/>
    <d v="2026-05-28T00:00:00"/>
    <d v="2026-08-26T00:00:00"/>
    <n v="90"/>
    <n v="3927.48"/>
    <n v="3927.48"/>
    <n v="0"/>
    <d v="2026-05-31T00:00:00"/>
    <s v="Paid"/>
    <s v="ACH"/>
    <n v="3"/>
    <n v="87"/>
    <s v="Yes"/>
    <s v="Yes"/>
    <n v="5.0000000000000001E-3"/>
    <s v="Yes"/>
    <n v="19.64"/>
  </r>
  <r>
    <s v="AP-0542"/>
    <s v="VND-025"/>
    <s v="RapidShip Co."/>
    <x v="0"/>
    <x v="0"/>
    <s v="Ana Torres"/>
    <d v="2025-02-07T00:00:00"/>
    <d v="2025-03-09T00:00:00"/>
    <n v="30"/>
    <n v="9728"/>
    <n v="9728"/>
    <n v="0"/>
    <d v="2025-03-15T00:00:00"/>
    <s v="Paid"/>
    <s v="Wire"/>
    <n v="36"/>
    <n v="-6"/>
    <s v="No"/>
    <s v="No"/>
    <n v="0"/>
    <s v="No"/>
    <n v="0"/>
  </r>
  <r>
    <s v="AP-0543"/>
    <s v="VND-001"/>
    <s v="Acme Supplies Co."/>
    <x v="2"/>
    <x v="4"/>
    <s v="Sofia Reyes"/>
    <d v="2026-04-24T00:00:00"/>
    <d v="2026-06-23T00:00:00"/>
    <n v="60"/>
    <n v="44680.92"/>
    <n v="44680.92"/>
    <n v="0"/>
    <d v="2026-05-31T00:00:00"/>
    <s v="Paid"/>
    <s v="ACH"/>
    <n v="37"/>
    <n v="23"/>
    <s v="Yes"/>
    <s v="Yes"/>
    <n v="0.01"/>
    <s v="No"/>
    <n v="0"/>
  </r>
  <r>
    <s v="AP-0544"/>
    <s v="VND-021"/>
    <s v="PrimePack Logistics"/>
    <x v="0"/>
    <x v="1"/>
    <s v="Laura Chen"/>
    <d v="2025-10-21T00:00:00"/>
    <d v="2025-11-20T00:00:00"/>
    <n v="30"/>
    <n v="6256.34"/>
    <n v="6256.34"/>
    <n v="0"/>
    <d v="2025-11-21T00:00:00"/>
    <s v="Paid"/>
    <s v="Wire"/>
    <n v="31"/>
    <n v="-1"/>
    <s v="No"/>
    <s v="Yes"/>
    <n v="0.01"/>
    <s v="No"/>
    <n v="0"/>
  </r>
  <r>
    <s v="AP-0545"/>
    <s v="VND-004"/>
    <s v="BuildRight Materials"/>
    <x v="2"/>
    <x v="4"/>
    <s v="Marco Diaz"/>
    <d v="2025-04-28T00:00:00"/>
    <d v="2025-06-12T00:00:00"/>
    <n v="45"/>
    <n v="2732.32"/>
    <n v="2732.32"/>
    <n v="0"/>
    <d v="2025-06-14T00:00:00"/>
    <s v="Paid"/>
    <s v="Wire"/>
    <n v="47"/>
    <n v="-2"/>
    <s v="No"/>
    <s v="Yes"/>
    <n v="1.4999999999999999E-2"/>
    <s v="No"/>
    <n v="0"/>
  </r>
  <r>
    <s v="AP-0546"/>
    <s v="VND-011"/>
    <s v="QuickFreight Inc."/>
    <x v="0"/>
    <x v="4"/>
    <s v="Marco Diaz"/>
    <d v="2025-06-25T00:00:00"/>
    <d v="2025-07-25T00:00:00"/>
    <n v="30"/>
    <n v="2353.61"/>
    <n v="2353.61"/>
    <n v="0"/>
    <d v="2025-08-01T00:00:00"/>
    <s v="Paid"/>
    <s v="Check"/>
    <n v="37"/>
    <n v="-7"/>
    <s v="No"/>
    <s v="Yes"/>
    <n v="0.01"/>
    <s v="No"/>
    <n v="0"/>
  </r>
  <r>
    <s v="AP-0547"/>
    <s v="VND-015"/>
    <s v="ExpressRoute Logistics"/>
    <x v="0"/>
    <x v="0"/>
    <s v="Marco Diaz"/>
    <d v="2025-02-21T00:00:00"/>
    <d v="2025-05-22T00:00:00"/>
    <n v="90"/>
    <n v="3012.61"/>
    <n v="3012.61"/>
    <n v="0"/>
    <d v="2025-05-26T00:00:00"/>
    <s v="Paid"/>
    <s v="ACH"/>
    <n v="94"/>
    <n v="-4"/>
    <s v="No"/>
    <s v="Yes"/>
    <n v="5.0000000000000001E-3"/>
    <s v="No"/>
    <n v="0"/>
  </r>
  <r>
    <s v="AP-0548"/>
    <s v="VND-019"/>
    <s v="SkyNet IT Solutions"/>
    <x v="1"/>
    <x v="2"/>
    <s v="Ana Torres"/>
    <d v="2025-12-07T00:00:00"/>
    <d v="2026-01-21T00:00:00"/>
    <n v="45"/>
    <n v="66308.149999999994"/>
    <n v="66308.149999999994"/>
    <n v="0"/>
    <d v="2026-01-30T00:00:00"/>
    <s v="Paid"/>
    <s v="Check"/>
    <n v="54"/>
    <n v="-9"/>
    <s v="No"/>
    <s v="No"/>
    <n v="0"/>
    <s v="No"/>
    <n v="0"/>
  </r>
  <r>
    <s v="AP-0549"/>
    <s v="VND-018"/>
    <s v="BuildFast Materials"/>
    <x v="2"/>
    <x v="0"/>
    <s v="Pedro Alvarez"/>
    <d v="2026-04-25T00:00:00"/>
    <d v="2026-05-25T00:00:00"/>
    <n v="30"/>
    <n v="6668.62"/>
    <n v="6668.62"/>
    <n v="0"/>
    <d v="2026-05-06T00:00:00"/>
    <s v="Paid"/>
    <s v="Wire"/>
    <n v="11"/>
    <n v="19"/>
    <s v="Yes"/>
    <s v="Yes"/>
    <n v="0.01"/>
    <s v="No"/>
    <n v="0"/>
  </r>
  <r>
    <s v="AP-0550"/>
    <s v="VND-005"/>
    <s v="CloudSys Inc."/>
    <x v="1"/>
    <x v="3"/>
    <s v="Laura Chen"/>
    <d v="2025-07-07T00:00:00"/>
    <d v="2025-09-05T00:00:00"/>
    <n v="60"/>
    <n v="57471.1"/>
    <n v="42597.69"/>
    <n v="14873.41"/>
    <d v="2025-09-14T00:00:00"/>
    <s v="Partial"/>
    <s v="Check"/>
    <n v="69"/>
    <n v="-9"/>
    <s v="No"/>
    <s v="Yes"/>
    <n v="0.01"/>
    <s v="No"/>
    <n v="0"/>
  </r>
  <r>
    <s v="AP-0551"/>
    <s v="VND-016"/>
    <s v="CleanWater Utilities"/>
    <x v="3"/>
    <x v="0"/>
    <s v="Sofia Reyes"/>
    <d v="2025-12-26T00:00:00"/>
    <d v="2026-01-25T00:00:00"/>
    <n v="30"/>
    <n v="7440.46"/>
    <n v="7440.46"/>
    <n v="0"/>
    <d v="2026-01-28T00:00:00"/>
    <s v="Paid"/>
    <s v="Credit Card"/>
    <n v="33"/>
    <n v="-3"/>
    <s v="No"/>
    <s v="No"/>
    <n v="0"/>
    <s v="No"/>
    <n v="0"/>
  </r>
  <r>
    <s v="AP-0552"/>
    <s v="VND-012"/>
    <s v="FacilityPro Services"/>
    <x v="5"/>
    <x v="3"/>
    <s v="Ana Torres"/>
    <d v="2026-02-20T00:00:00"/>
    <d v="2026-03-22T00:00:00"/>
    <n v="30"/>
    <n v="28979.25"/>
    <n v="28979.25"/>
    <n v="0"/>
    <d v="2026-03-14T00:00:00"/>
    <s v="Paid"/>
    <s v="Wire"/>
    <n v="22"/>
    <n v="8"/>
    <s v="Yes"/>
    <s v="No"/>
    <n v="0"/>
    <s v="No"/>
    <n v="0"/>
  </r>
  <r>
    <s v="AP-0553"/>
    <s v="VND-018"/>
    <s v="BuildFast Materials"/>
    <x v="2"/>
    <x v="2"/>
    <s v="Pedro Alvarez"/>
    <d v="2025-09-07T00:00:00"/>
    <d v="2025-10-07T00:00:00"/>
    <n v="30"/>
    <n v="28301.55"/>
    <n v="28301.55"/>
    <n v="0"/>
    <d v="2025-09-26T00:00:00"/>
    <s v="Paid"/>
    <s v="Credit Card"/>
    <n v="19"/>
    <n v="11"/>
    <s v="Yes"/>
    <s v="No"/>
    <n v="0"/>
    <s v="No"/>
    <n v="0"/>
  </r>
  <r>
    <s v="AP-0554"/>
    <s v="VND-011"/>
    <s v="QuickFreight Inc."/>
    <x v="0"/>
    <x v="1"/>
    <s v="Ana Torres"/>
    <d v="2025-12-17T00:00:00"/>
    <d v="2026-02-15T00:00:00"/>
    <n v="60"/>
    <n v="11346.01"/>
    <n v="11346.01"/>
    <n v="0"/>
    <d v="2026-03-03T00:00:00"/>
    <s v="Paid"/>
    <s v="Credit Card"/>
    <n v="76"/>
    <n v="-16"/>
    <s v="No"/>
    <s v="Yes"/>
    <n v="0.01"/>
    <s v="No"/>
    <n v="0"/>
  </r>
  <r>
    <s v="AP-0555"/>
    <s v="VND-019"/>
    <s v="SkyNet IT Solutions"/>
    <x v="1"/>
    <x v="2"/>
    <s v="Sofia Reyes"/>
    <d v="2025-04-10T00:00:00"/>
    <d v="2025-06-09T00:00:00"/>
    <n v="60"/>
    <n v="66651.73"/>
    <n v="0"/>
    <n v="66651.73"/>
    <m/>
    <s v="Overdue"/>
    <s v="Credit Card"/>
    <m/>
    <n v="-356"/>
    <s v="No"/>
    <s v="Yes"/>
    <n v="0.01"/>
    <s v="No"/>
    <n v="0"/>
  </r>
  <r>
    <s v="AP-0556"/>
    <s v="VND-003"/>
    <s v="FastShip Logistics"/>
    <x v="0"/>
    <x v="3"/>
    <s v="Sofia Reyes"/>
    <d v="2026-05-22T00:00:00"/>
    <d v="2026-07-21T00:00:00"/>
    <n v="60"/>
    <n v="13254.79"/>
    <n v="0"/>
    <n v="13254.79"/>
    <m/>
    <s v="Pending"/>
    <s v="Credit Card"/>
    <m/>
    <m/>
    <m/>
    <s v="Yes"/>
    <n v="0.01"/>
    <s v="No"/>
    <n v="0"/>
  </r>
  <r>
    <s v="AP-0557"/>
    <s v="VND-019"/>
    <s v="SkyNet IT Solutions"/>
    <x v="1"/>
    <x v="0"/>
    <s v="Marco Diaz"/>
    <d v="2025-10-26T00:00:00"/>
    <d v="2026-01-24T00:00:00"/>
    <n v="90"/>
    <n v="34248.699999999997"/>
    <n v="34248.699999999997"/>
    <n v="0"/>
    <d v="2026-02-01T00:00:00"/>
    <s v="Paid"/>
    <s v="Wire"/>
    <n v="98"/>
    <n v="-8"/>
    <s v="No"/>
    <s v="Yes"/>
    <n v="5.0000000000000001E-3"/>
    <s v="No"/>
    <n v="0"/>
  </r>
  <r>
    <s v="AP-0558"/>
    <s v="VND-022"/>
    <s v="Apex Consulting"/>
    <x v="4"/>
    <x v="4"/>
    <s v="Laura Chen"/>
    <d v="2025-12-19T00:00:00"/>
    <d v="2026-02-17T00:00:00"/>
    <n v="60"/>
    <n v="39640.699999999997"/>
    <n v="39640.699999999997"/>
    <n v="0"/>
    <d v="2026-02-02T00:00:00"/>
    <s v="Paid"/>
    <s v="Check"/>
    <n v="45"/>
    <n v="15"/>
    <s v="Yes"/>
    <s v="Yes"/>
    <n v="0.01"/>
    <s v="No"/>
    <n v="0"/>
  </r>
  <r>
    <s v="AP-0559"/>
    <s v="VND-010"/>
    <s v="DataBridge IT"/>
    <x v="1"/>
    <x v="0"/>
    <s v="Laura Chen"/>
    <d v="2026-01-03T00:00:00"/>
    <d v="2026-01-18T00:00:00"/>
    <n v="15"/>
    <n v="13227.37"/>
    <n v="13227.37"/>
    <n v="0"/>
    <d v="2026-01-17T00:00:00"/>
    <s v="Paid"/>
    <s v="ACH"/>
    <n v="14"/>
    <n v="1"/>
    <s v="Yes"/>
    <s v="Yes"/>
    <n v="0.02"/>
    <s v="No"/>
    <n v="0"/>
  </r>
  <r>
    <s v="AP-0560"/>
    <s v="VND-014"/>
    <s v="NetConnect Systems"/>
    <x v="1"/>
    <x v="3"/>
    <s v="Pedro Alvarez"/>
    <d v="2026-02-20T00:00:00"/>
    <d v="2026-04-21T00:00:00"/>
    <n v="60"/>
    <n v="33617.379999999997"/>
    <n v="33617.379999999997"/>
    <n v="0"/>
    <d v="2026-04-23T00:00:00"/>
    <s v="Paid"/>
    <s v="Check"/>
    <n v="62"/>
    <n v="-2"/>
    <s v="No"/>
    <s v="Yes"/>
    <n v="0.01"/>
    <s v="No"/>
    <n v="0"/>
  </r>
  <r>
    <s v="AP-0561"/>
    <s v="VND-012"/>
    <s v="FacilityPro Services"/>
    <x v="5"/>
    <x v="2"/>
    <s v="Marco Diaz"/>
    <d v="2025-05-18T00:00:00"/>
    <d v="2025-06-17T00:00:00"/>
    <n v="30"/>
    <n v="2382.89"/>
    <n v="2382.89"/>
    <n v="0"/>
    <d v="2025-06-24T00:00:00"/>
    <s v="Paid"/>
    <s v="Check"/>
    <n v="37"/>
    <n v="-7"/>
    <s v="No"/>
    <s v="Yes"/>
    <n v="0.01"/>
    <s v="No"/>
    <n v="0"/>
  </r>
  <r>
    <s v="AP-0562"/>
    <s v="VND-016"/>
    <s v="CleanWater Utilities"/>
    <x v="3"/>
    <x v="2"/>
    <s v="Marco Diaz"/>
    <d v="2026-03-02T00:00:00"/>
    <d v="2026-04-01T00:00:00"/>
    <n v="30"/>
    <n v="12972.22"/>
    <n v="12972.22"/>
    <n v="0"/>
    <d v="2026-04-11T00:00:00"/>
    <s v="Paid"/>
    <s v="ACH"/>
    <n v="40"/>
    <n v="-10"/>
    <s v="No"/>
    <s v="No"/>
    <n v="0"/>
    <s v="No"/>
    <n v="0"/>
  </r>
  <r>
    <s v="AP-0563"/>
    <s v="VND-015"/>
    <s v="ExpressRoute Logistics"/>
    <x v="0"/>
    <x v="3"/>
    <s v="Pedro Alvarez"/>
    <d v="2025-12-30T00:00:00"/>
    <d v="2026-02-28T00:00:00"/>
    <n v="60"/>
    <n v="5289.08"/>
    <n v="5289.08"/>
    <n v="0"/>
    <d v="2026-02-24T00:00:00"/>
    <s v="Paid"/>
    <s v="Credit Card"/>
    <n v="56"/>
    <n v="4"/>
    <s v="Yes"/>
    <s v="Yes"/>
    <n v="0.01"/>
    <s v="No"/>
    <n v="0"/>
  </r>
  <r>
    <s v="AP-0564"/>
    <s v="VND-016"/>
    <s v="CleanWater Utilities"/>
    <x v="3"/>
    <x v="1"/>
    <s v="Ana Torres"/>
    <d v="2026-01-11T00:00:00"/>
    <d v="2026-03-12T00:00:00"/>
    <n v="60"/>
    <n v="985.2"/>
    <n v="985.2"/>
    <n v="0"/>
    <d v="2026-03-05T00:00:00"/>
    <s v="Paid"/>
    <s v="Check"/>
    <n v="53"/>
    <n v="7"/>
    <s v="Yes"/>
    <s v="Yes"/>
    <n v="0.01"/>
    <s v="No"/>
    <n v="0"/>
  </r>
  <r>
    <s v="AP-0565"/>
    <s v="VND-023"/>
    <s v="CoolTech Systems"/>
    <x v="1"/>
    <x v="0"/>
    <s v="Marco Diaz"/>
    <d v="2025-03-22T00:00:00"/>
    <d v="2025-06-20T00:00:00"/>
    <n v="90"/>
    <n v="44251.76"/>
    <n v="44251.76"/>
    <n v="0"/>
    <d v="2025-06-27T00:00:00"/>
    <s v="Paid"/>
    <s v="Check"/>
    <n v="97"/>
    <n v="-7"/>
    <s v="No"/>
    <s v="Yes"/>
    <n v="5.0000000000000001E-3"/>
    <s v="No"/>
    <n v="0"/>
  </r>
  <r>
    <s v="AP-0566"/>
    <s v="VND-021"/>
    <s v="PrimePack Logistics"/>
    <x v="0"/>
    <x v="0"/>
    <s v="Ana Torres"/>
    <d v="2025-12-18T00:00:00"/>
    <d v="2026-01-02T00:00:00"/>
    <n v="15"/>
    <n v="11165.63"/>
    <n v="11165.63"/>
    <n v="0"/>
    <d v="2026-01-10T00:00:00"/>
    <s v="Paid"/>
    <s v="Check"/>
    <n v="23"/>
    <n v="-8"/>
    <s v="No"/>
    <s v="Yes"/>
    <n v="0.02"/>
    <s v="No"/>
    <n v="0"/>
  </r>
  <r>
    <s v="AP-0567"/>
    <s v="VND-011"/>
    <s v="QuickFreight Inc."/>
    <x v="0"/>
    <x v="2"/>
    <s v="Laura Chen"/>
    <d v="2025-06-21T00:00:00"/>
    <d v="2025-08-05T00:00:00"/>
    <n v="45"/>
    <n v="1671.2"/>
    <n v="1671.2"/>
    <n v="0"/>
    <d v="2025-07-31T00:00:00"/>
    <s v="Paid"/>
    <s v="Check"/>
    <n v="40"/>
    <n v="5"/>
    <s v="Yes"/>
    <s v="No"/>
    <n v="0"/>
    <s v="No"/>
    <n v="0"/>
  </r>
  <r>
    <s v="AP-0568"/>
    <s v="VND-024"/>
    <s v="EliteFacilities Corp."/>
    <x v="5"/>
    <x v="3"/>
    <s v="Laura Chen"/>
    <d v="2025-06-23T00:00:00"/>
    <d v="2025-09-21T00:00:00"/>
    <n v="90"/>
    <n v="20904.38"/>
    <n v="20904.38"/>
    <n v="0"/>
    <d v="2025-09-21T00:00:00"/>
    <s v="Paid"/>
    <s v="ACH"/>
    <n v="90"/>
    <n v="0"/>
    <s v="Yes"/>
    <s v="Yes"/>
    <n v="5.0000000000000001E-3"/>
    <s v="No"/>
    <n v="0"/>
  </r>
  <r>
    <s v="AP-0569"/>
    <s v="VND-016"/>
    <s v="CleanWater Utilities"/>
    <x v="3"/>
    <x v="0"/>
    <s v="Marco Diaz"/>
    <d v="2025-09-16T00:00:00"/>
    <d v="2025-10-31T00:00:00"/>
    <n v="45"/>
    <n v="2421.81"/>
    <n v="743.74"/>
    <n v="1678.07"/>
    <d v="2025-10-29T00:00:00"/>
    <s v="Partial"/>
    <s v="ACH"/>
    <n v="43"/>
    <n v="2"/>
    <s v="Yes"/>
    <s v="Yes"/>
    <n v="1.4999999999999999E-2"/>
    <s v="No"/>
    <n v="0"/>
  </r>
  <r>
    <s v="AP-0570"/>
    <s v="VND-020"/>
    <s v="TrustBuild Facilities"/>
    <x v="5"/>
    <x v="1"/>
    <s v="Ana Torres"/>
    <d v="2026-01-14T00:00:00"/>
    <d v="2026-04-14T00:00:00"/>
    <n v="90"/>
    <n v="28658.74"/>
    <n v="28658.74"/>
    <n v="0"/>
    <d v="2026-04-13T00:00:00"/>
    <s v="Paid"/>
    <s v="Wire"/>
    <n v="89"/>
    <n v="1"/>
    <s v="Yes"/>
    <s v="Yes"/>
    <n v="5.0000000000000001E-3"/>
    <s v="No"/>
    <n v="0"/>
  </r>
  <r>
    <s v="AP-0571"/>
    <s v="VND-017"/>
    <s v="OfficePro Services"/>
    <x v="4"/>
    <x v="0"/>
    <s v="Laura Chen"/>
    <d v="2025-06-07T00:00:00"/>
    <d v="2025-07-07T00:00:00"/>
    <n v="30"/>
    <n v="33991.730000000003"/>
    <n v="33991.730000000003"/>
    <n v="0"/>
    <d v="2025-06-29T00:00:00"/>
    <s v="Paid"/>
    <s v="ACH"/>
    <n v="22"/>
    <n v="8"/>
    <s v="Yes"/>
    <s v="No"/>
    <n v="0"/>
    <s v="No"/>
    <n v="0"/>
  </r>
  <r>
    <s v="AP-0572"/>
    <s v="VND-024"/>
    <s v="EliteFacilities Corp."/>
    <x v="5"/>
    <x v="1"/>
    <s v="Marco Diaz"/>
    <d v="2025-09-28T00:00:00"/>
    <d v="2025-10-13T00:00:00"/>
    <n v="15"/>
    <n v="26930.97"/>
    <n v="26930.97"/>
    <n v="0"/>
    <d v="2025-10-20T00:00:00"/>
    <s v="Paid"/>
    <s v="Check"/>
    <n v="22"/>
    <n v="-7"/>
    <s v="No"/>
    <s v="Yes"/>
    <n v="0.02"/>
    <s v="No"/>
    <n v="0"/>
  </r>
  <r>
    <s v="AP-0573"/>
    <s v="VND-013"/>
    <s v="SafetyFirst Supplies"/>
    <x v="2"/>
    <x v="2"/>
    <s v="Laura Chen"/>
    <d v="2026-01-24T00:00:00"/>
    <d v="2026-02-23T00:00:00"/>
    <n v="30"/>
    <n v="34808.480000000003"/>
    <n v="34808.480000000003"/>
    <n v="0"/>
    <d v="2026-02-15T00:00:00"/>
    <s v="Paid"/>
    <s v="Credit Card"/>
    <n v="22"/>
    <n v="8"/>
    <s v="Yes"/>
    <s v="Yes"/>
    <n v="0.01"/>
    <s v="No"/>
    <n v="0"/>
  </r>
  <r>
    <s v="AP-0574"/>
    <s v="VND-010"/>
    <s v="DataBridge IT"/>
    <x v="1"/>
    <x v="2"/>
    <s v="Pedro Alvarez"/>
    <d v="2025-04-10T00:00:00"/>
    <d v="2025-04-25T00:00:00"/>
    <n v="15"/>
    <n v="73828.41"/>
    <n v="0"/>
    <n v="73828.41"/>
    <m/>
    <s v="Overdue"/>
    <s v="Check"/>
    <m/>
    <n v="-401"/>
    <s v="No"/>
    <s v="Yes"/>
    <n v="0.02"/>
    <s v="No"/>
    <n v="0"/>
  </r>
  <r>
    <s v="AP-0575"/>
    <s v="VND-014"/>
    <s v="NetConnect Systems"/>
    <x v="1"/>
    <x v="3"/>
    <s v="Laura Chen"/>
    <d v="2025-10-01T00:00:00"/>
    <d v="2025-11-15T00:00:00"/>
    <n v="45"/>
    <n v="65173.73"/>
    <n v="65173.73"/>
    <n v="0"/>
    <d v="2025-11-14T00:00:00"/>
    <s v="Paid"/>
    <s v="Check"/>
    <n v="44"/>
    <n v="1"/>
    <s v="Yes"/>
    <s v="Yes"/>
    <n v="1.4999999999999999E-2"/>
    <s v="No"/>
    <n v="0"/>
  </r>
  <r>
    <s v="AP-0576"/>
    <s v="VND-015"/>
    <s v="ExpressRoute Logistics"/>
    <x v="0"/>
    <x v="1"/>
    <s v="Ana Torres"/>
    <d v="2025-07-04T00:00:00"/>
    <d v="2025-09-02T00:00:00"/>
    <n v="60"/>
    <n v="6952.13"/>
    <n v="6952.13"/>
    <n v="0"/>
    <d v="2025-09-09T00:00:00"/>
    <s v="Paid"/>
    <s v="Wire"/>
    <n v="67"/>
    <n v="-7"/>
    <s v="No"/>
    <s v="Yes"/>
    <n v="0.01"/>
    <s v="No"/>
    <n v="0"/>
  </r>
  <r>
    <s v="AP-0577"/>
    <s v="VND-017"/>
    <s v="OfficePro Services"/>
    <x v="4"/>
    <x v="0"/>
    <s v="Pedro Alvarez"/>
    <d v="2025-10-18T00:00:00"/>
    <d v="2025-11-17T00:00:00"/>
    <n v="30"/>
    <n v="12320.16"/>
    <n v="12320.16"/>
    <n v="0"/>
    <d v="2025-11-20T00:00:00"/>
    <s v="Paid"/>
    <s v="Check"/>
    <n v="33"/>
    <n v="-3"/>
    <s v="No"/>
    <s v="Yes"/>
    <n v="0.01"/>
    <s v="No"/>
    <n v="0"/>
  </r>
  <r>
    <s v="AP-0578"/>
    <s v="VND-002"/>
    <s v="TechCore Solutions"/>
    <x v="1"/>
    <x v="3"/>
    <s v="Marco Diaz"/>
    <d v="2025-03-30T00:00:00"/>
    <d v="2025-04-29T00:00:00"/>
    <n v="30"/>
    <n v="69233.06"/>
    <n v="69233.06"/>
    <n v="0"/>
    <d v="2025-05-07T00:00:00"/>
    <s v="Paid"/>
    <s v="ACH"/>
    <n v="38"/>
    <n v="-8"/>
    <s v="No"/>
    <s v="Yes"/>
    <n v="0.01"/>
    <s v="No"/>
    <n v="0"/>
  </r>
  <r>
    <s v="AP-0579"/>
    <s v="VND-006"/>
    <s v="PowerGrid Utilities"/>
    <x v="3"/>
    <x v="0"/>
    <s v="Marco Diaz"/>
    <d v="2026-04-24T00:00:00"/>
    <d v="2026-06-08T00:00:00"/>
    <n v="45"/>
    <n v="10076.93"/>
    <n v="10076.93"/>
    <n v="0"/>
    <d v="2026-05-31T00:00:00"/>
    <s v="Paid"/>
    <s v="Check"/>
    <n v="37"/>
    <n v="8"/>
    <s v="Yes"/>
    <s v="Yes"/>
    <n v="1.4999999999999999E-2"/>
    <s v="No"/>
    <n v="0"/>
  </r>
  <r>
    <s v="AP-0580"/>
    <s v="VND-025"/>
    <s v="RapidShip Co."/>
    <x v="0"/>
    <x v="2"/>
    <s v="Laura Chen"/>
    <d v="2025-03-17T00:00:00"/>
    <d v="2025-04-16T00:00:00"/>
    <n v="30"/>
    <n v="6268.46"/>
    <n v="6268.46"/>
    <n v="0"/>
    <d v="2025-04-22T00:00:00"/>
    <s v="Paid"/>
    <s v="Check"/>
    <n v="36"/>
    <n v="-6"/>
    <s v="No"/>
    <s v="Yes"/>
    <n v="0.01"/>
    <s v="No"/>
    <n v="0"/>
  </r>
  <r>
    <s v="AP-0581"/>
    <s v="VND-009"/>
    <s v="MetalWorks Ltd."/>
    <x v="2"/>
    <x v="1"/>
    <s v="Pedro Alvarez"/>
    <d v="2025-07-25T00:00:00"/>
    <d v="2025-10-23T00:00:00"/>
    <n v="90"/>
    <n v="31294.49"/>
    <n v="31294.49"/>
    <n v="0"/>
    <d v="2025-10-23T00:00:00"/>
    <s v="Paid"/>
    <s v="ACH"/>
    <n v="90"/>
    <n v="0"/>
    <s v="Yes"/>
    <s v="Yes"/>
    <n v="5.0000000000000001E-3"/>
    <s v="No"/>
    <n v="0"/>
  </r>
  <r>
    <s v="AP-0582"/>
    <s v="VND-005"/>
    <s v="CloudSys Inc."/>
    <x v="1"/>
    <x v="3"/>
    <s v="Pedro Alvarez"/>
    <d v="2026-03-29T00:00:00"/>
    <d v="2026-04-28T00:00:00"/>
    <n v="30"/>
    <n v="58655.02"/>
    <n v="58655.02"/>
    <n v="0"/>
    <d v="2026-04-28T00:00:00"/>
    <s v="Paid"/>
    <s v="Wire"/>
    <n v="30"/>
    <n v="0"/>
    <s v="Yes"/>
    <s v="Yes"/>
    <n v="0.01"/>
    <s v="No"/>
    <n v="0"/>
  </r>
  <r>
    <s v="AP-0583"/>
    <s v="VND-016"/>
    <s v="CleanWater Utilities"/>
    <x v="3"/>
    <x v="1"/>
    <s v="Sofia Reyes"/>
    <d v="2025-09-30T00:00:00"/>
    <d v="2025-11-29T00:00:00"/>
    <n v="60"/>
    <n v="2698.31"/>
    <n v="2698.31"/>
    <n v="0"/>
    <d v="2025-12-07T00:00:00"/>
    <s v="Paid"/>
    <s v="ACH"/>
    <n v="68"/>
    <n v="-8"/>
    <s v="No"/>
    <s v="Yes"/>
    <n v="0.01"/>
    <s v="No"/>
    <n v="0"/>
  </r>
  <r>
    <s v="AP-0584"/>
    <s v="VND-001"/>
    <s v="Acme Supplies Co."/>
    <x v="2"/>
    <x v="3"/>
    <s v="Pedro Alvarez"/>
    <d v="2026-02-18T00:00:00"/>
    <d v="2026-04-19T00:00:00"/>
    <n v="60"/>
    <n v="42514.36"/>
    <n v="12824.61"/>
    <n v="29689.75"/>
    <d v="2026-05-06T00:00:00"/>
    <s v="Partial"/>
    <s v="Credit Card"/>
    <n v="77"/>
    <n v="-17"/>
    <s v="No"/>
    <s v="No"/>
    <n v="0"/>
    <s v="No"/>
    <n v="0"/>
  </r>
  <r>
    <s v="AP-0585"/>
    <s v="VND-025"/>
    <s v="RapidShip Co."/>
    <x v="0"/>
    <x v="2"/>
    <s v="Sofia Reyes"/>
    <d v="2025-11-07T00:00:00"/>
    <d v="2026-01-06T00:00:00"/>
    <n v="60"/>
    <n v="8611.68"/>
    <n v="0"/>
    <n v="8611.68"/>
    <m/>
    <s v="Overdue"/>
    <s v="Check"/>
    <m/>
    <n v="-145"/>
    <s v="No"/>
    <s v="Yes"/>
    <n v="0.01"/>
    <s v="No"/>
    <n v="0"/>
  </r>
  <r>
    <s v="AP-0586"/>
    <s v="VND-003"/>
    <s v="FastShip Logistics"/>
    <x v="0"/>
    <x v="4"/>
    <s v="Ana Torres"/>
    <d v="2026-04-16T00:00:00"/>
    <d v="2026-05-16T00:00:00"/>
    <n v="30"/>
    <n v="15448.61"/>
    <n v="15448.61"/>
    <n v="0"/>
    <d v="2026-05-27T00:00:00"/>
    <s v="Paid"/>
    <s v="Check"/>
    <n v="41"/>
    <n v="-11"/>
    <s v="No"/>
    <s v="Yes"/>
    <n v="0.01"/>
    <s v="No"/>
    <n v="0"/>
  </r>
  <r>
    <s v="AP-0587"/>
    <s v="VND-010"/>
    <s v="DataBridge IT"/>
    <x v="1"/>
    <x v="2"/>
    <s v="Sofia Reyes"/>
    <d v="2025-03-28T00:00:00"/>
    <d v="2025-06-26T00:00:00"/>
    <n v="90"/>
    <n v="71391.06"/>
    <n v="71391.06"/>
    <n v="0"/>
    <d v="2025-06-24T00:00:00"/>
    <s v="Paid"/>
    <s v="Check"/>
    <n v="88"/>
    <n v="2"/>
    <s v="Yes"/>
    <s v="Yes"/>
    <n v="5.0000000000000001E-3"/>
    <s v="No"/>
    <n v="0"/>
  </r>
  <r>
    <s v="AP-0588"/>
    <s v="VND-002"/>
    <s v="TechCore Solutions"/>
    <x v="1"/>
    <x v="1"/>
    <s v="Sofia Reyes"/>
    <d v="2026-02-03T00:00:00"/>
    <d v="2026-05-04T00:00:00"/>
    <n v="90"/>
    <n v="9724.4500000000007"/>
    <n v="9724.4500000000007"/>
    <n v="0"/>
    <d v="2026-05-08T00:00:00"/>
    <s v="Paid"/>
    <s v="Wire"/>
    <n v="94"/>
    <n v="-4"/>
    <s v="No"/>
    <s v="Yes"/>
    <n v="5.0000000000000001E-3"/>
    <s v="No"/>
    <n v="0"/>
  </r>
  <r>
    <s v="AP-0589"/>
    <s v="VND-001"/>
    <s v="Acme Supplies Co."/>
    <x v="2"/>
    <x v="0"/>
    <s v="Laura Chen"/>
    <d v="2025-02-13T00:00:00"/>
    <d v="2025-04-14T00:00:00"/>
    <n v="60"/>
    <n v="21464.38"/>
    <n v="21464.38"/>
    <n v="0"/>
    <d v="2025-04-07T00:00:00"/>
    <s v="Paid"/>
    <s v="ACH"/>
    <n v="53"/>
    <n v="7"/>
    <s v="Yes"/>
    <s v="Yes"/>
    <n v="0.01"/>
    <s v="No"/>
    <n v="0"/>
  </r>
  <r>
    <s v="AP-0590"/>
    <s v="VND-017"/>
    <s v="OfficePro Services"/>
    <x v="4"/>
    <x v="2"/>
    <s v="Ana Torres"/>
    <d v="2025-03-15T00:00:00"/>
    <d v="2025-04-14T00:00:00"/>
    <n v="30"/>
    <n v="4364.47"/>
    <n v="4364.47"/>
    <n v="0"/>
    <d v="2025-03-28T00:00:00"/>
    <s v="Paid"/>
    <s v="Wire"/>
    <n v="13"/>
    <n v="17"/>
    <s v="Yes"/>
    <s v="Yes"/>
    <n v="0.01"/>
    <s v="No"/>
    <n v="0"/>
  </r>
  <r>
    <s v="AP-0591"/>
    <s v="VND-002"/>
    <s v="TechCore Solutions"/>
    <x v="1"/>
    <x v="1"/>
    <s v="Marco Diaz"/>
    <d v="2025-02-21T00:00:00"/>
    <d v="2025-03-23T00:00:00"/>
    <n v="30"/>
    <n v="72849.679999999993"/>
    <n v="72849.679999999993"/>
    <n v="0"/>
    <d v="2025-03-26T00:00:00"/>
    <s v="Paid"/>
    <s v="ACH"/>
    <n v="33"/>
    <n v="-3"/>
    <s v="No"/>
    <s v="No"/>
    <n v="0"/>
    <s v="No"/>
    <n v="0"/>
  </r>
  <r>
    <s v="AP-0592"/>
    <s v="VND-020"/>
    <s v="TrustBuild Facilities"/>
    <x v="5"/>
    <x v="1"/>
    <s v="Ana Torres"/>
    <d v="2025-04-27T00:00:00"/>
    <d v="2025-05-27T00:00:00"/>
    <n v="30"/>
    <n v="18405.740000000002"/>
    <n v="18405.740000000002"/>
    <n v="0"/>
    <d v="2025-05-29T00:00:00"/>
    <s v="Paid"/>
    <s v="ACH"/>
    <n v="32"/>
    <n v="-2"/>
    <s v="No"/>
    <s v="No"/>
    <n v="0"/>
    <s v="No"/>
    <n v="0"/>
  </r>
  <r>
    <s v="AP-0593"/>
    <s v="VND-024"/>
    <s v="EliteFacilities Corp."/>
    <x v="5"/>
    <x v="2"/>
    <s v="Laura Chen"/>
    <d v="2025-11-26T00:00:00"/>
    <d v="2025-12-26T00:00:00"/>
    <n v="30"/>
    <n v="29602.09"/>
    <n v="29602.09"/>
    <n v="0"/>
    <d v="2025-12-19T00:00:00"/>
    <s v="Paid"/>
    <s v="ACH"/>
    <n v="23"/>
    <n v="7"/>
    <s v="Yes"/>
    <s v="No"/>
    <n v="0"/>
    <s v="No"/>
    <n v="0"/>
  </r>
  <r>
    <s v="AP-0594"/>
    <s v="VND-019"/>
    <s v="SkyNet IT Solutions"/>
    <x v="1"/>
    <x v="1"/>
    <s v="Laura Chen"/>
    <d v="2025-10-08T00:00:00"/>
    <d v="2025-11-07T00:00:00"/>
    <n v="30"/>
    <n v="15592.76"/>
    <n v="15592.76"/>
    <n v="0"/>
    <d v="2025-10-30T00:00:00"/>
    <s v="Paid"/>
    <s v="ACH"/>
    <n v="22"/>
    <n v="8"/>
    <s v="Yes"/>
    <s v="Yes"/>
    <n v="0.01"/>
    <s v="No"/>
    <n v="0"/>
  </r>
  <r>
    <s v="AP-0595"/>
    <s v="VND-019"/>
    <s v="SkyNet IT Solutions"/>
    <x v="1"/>
    <x v="0"/>
    <s v="Marco Diaz"/>
    <d v="2025-06-11T00:00:00"/>
    <d v="2025-08-10T00:00:00"/>
    <n v="60"/>
    <n v="6172.27"/>
    <n v="6172.27"/>
    <n v="0"/>
    <d v="2025-08-08T00:00:00"/>
    <s v="Paid"/>
    <s v="ACH"/>
    <n v="58"/>
    <n v="2"/>
    <s v="Yes"/>
    <s v="Yes"/>
    <n v="0.01"/>
    <s v="No"/>
    <n v="0"/>
  </r>
  <r>
    <s v="AP-0596"/>
    <s v="VND-006"/>
    <s v="PowerGrid Utilities"/>
    <x v="3"/>
    <x v="0"/>
    <s v="Ana Torres"/>
    <d v="2026-05-03T00:00:00"/>
    <d v="2026-07-02T00:00:00"/>
    <n v="60"/>
    <n v="10539.2"/>
    <n v="10539.2"/>
    <n v="0"/>
    <d v="2026-05-31T00:00:00"/>
    <s v="Paid"/>
    <s v="Check"/>
    <n v="28"/>
    <n v="32"/>
    <s v="Yes"/>
    <s v="Yes"/>
    <n v="0.01"/>
    <s v="No"/>
    <n v="0"/>
  </r>
  <r>
    <s v="AP-0597"/>
    <s v="VND-020"/>
    <s v="TrustBuild Facilities"/>
    <x v="5"/>
    <x v="0"/>
    <s v="Ana Torres"/>
    <d v="2025-04-01T00:00:00"/>
    <d v="2025-06-30T00:00:00"/>
    <n v="90"/>
    <n v="22697.32"/>
    <n v="22697.32"/>
    <n v="0"/>
    <d v="2025-07-09T00:00:00"/>
    <s v="Paid"/>
    <s v="Wire"/>
    <n v="99"/>
    <n v="-9"/>
    <s v="No"/>
    <s v="No"/>
    <n v="0"/>
    <s v="No"/>
    <n v="0"/>
  </r>
  <r>
    <s v="AP-0598"/>
    <s v="VND-001"/>
    <s v="Acme Supplies Co."/>
    <x v="2"/>
    <x v="3"/>
    <s v="Marco Diaz"/>
    <d v="2025-04-08T00:00:00"/>
    <d v="2025-05-08T00:00:00"/>
    <n v="30"/>
    <n v="31708.21"/>
    <n v="0"/>
    <n v="31708.21"/>
    <m/>
    <s v="Overdue"/>
    <s v="Wire"/>
    <m/>
    <n v="-388"/>
    <s v="No"/>
    <s v="No"/>
    <n v="0"/>
    <s v="No"/>
    <n v="0"/>
  </r>
  <r>
    <s v="AP-0599"/>
    <s v="VND-017"/>
    <s v="OfficePro Services"/>
    <x v="4"/>
    <x v="1"/>
    <s v="Pedro Alvarez"/>
    <d v="2025-02-24T00:00:00"/>
    <d v="2025-04-10T00:00:00"/>
    <n v="45"/>
    <n v="10167.6"/>
    <n v="10167.6"/>
    <n v="0"/>
    <d v="2025-04-18T00:00:00"/>
    <s v="Paid"/>
    <s v="Wire"/>
    <n v="53"/>
    <n v="-8"/>
    <s v="No"/>
    <s v="No"/>
    <n v="0"/>
    <s v="No"/>
    <n v="0"/>
  </r>
  <r>
    <s v="AP-0600"/>
    <s v="VND-006"/>
    <s v="PowerGrid Utilities"/>
    <x v="3"/>
    <x v="1"/>
    <s v="Sofia Reyes"/>
    <d v="2025-10-19T00:00:00"/>
    <d v="2025-12-18T00:00:00"/>
    <n v="60"/>
    <n v="3539.05"/>
    <n v="3539.05"/>
    <n v="0"/>
    <d v="2025-12-17T00:00:00"/>
    <s v="Paid"/>
    <s v="ACH"/>
    <n v="59"/>
    <n v="1"/>
    <s v="Yes"/>
    <s v="Yes"/>
    <n v="0.01"/>
    <s v="No"/>
    <n v="0"/>
  </r>
  <r>
    <s v="AP-0601"/>
    <s v="VND-025"/>
    <s v="RapidShip Co."/>
    <x v="0"/>
    <x v="2"/>
    <s v="Sofia Reyes"/>
    <d v="2025-06-30T00:00:00"/>
    <d v="2025-07-15T00:00:00"/>
    <n v="15"/>
    <n v="4002.87"/>
    <n v="4002.87"/>
    <n v="0"/>
    <d v="2025-07-20T00:00:00"/>
    <s v="Paid"/>
    <s v="ACH"/>
    <n v="20"/>
    <n v="-5"/>
    <s v="No"/>
    <s v="Yes"/>
    <n v="0.02"/>
    <s v="No"/>
    <n v="0"/>
  </r>
  <r>
    <s v="AP-0602"/>
    <s v="VND-015"/>
    <s v="ExpressRoute Logistics"/>
    <x v="0"/>
    <x v="3"/>
    <s v="Ana Torres"/>
    <d v="2025-07-23T00:00:00"/>
    <d v="2025-09-21T00:00:00"/>
    <n v="60"/>
    <n v="15194.65"/>
    <n v="15194.65"/>
    <n v="0"/>
    <d v="2025-09-23T00:00:00"/>
    <s v="Paid"/>
    <s v="Check"/>
    <n v="62"/>
    <n v="-2"/>
    <s v="No"/>
    <s v="No"/>
    <n v="0"/>
    <s v="No"/>
    <n v="0"/>
  </r>
  <r>
    <s v="AP-0603"/>
    <s v="VND-004"/>
    <s v="BuildRight Materials"/>
    <x v="2"/>
    <x v="4"/>
    <s v="Marco Diaz"/>
    <d v="2026-02-27T00:00:00"/>
    <d v="2026-03-29T00:00:00"/>
    <n v="30"/>
    <n v="43754.54"/>
    <n v="43754.54"/>
    <n v="0"/>
    <d v="2026-03-20T00:00:00"/>
    <s v="Paid"/>
    <s v="ACH"/>
    <n v="21"/>
    <n v="9"/>
    <s v="Yes"/>
    <s v="Yes"/>
    <n v="0.01"/>
    <s v="No"/>
    <n v="0"/>
  </r>
  <r>
    <s v="AP-0604"/>
    <s v="VND-014"/>
    <s v="NetConnect Systems"/>
    <x v="1"/>
    <x v="1"/>
    <s v="Marco Diaz"/>
    <d v="2026-02-01T00:00:00"/>
    <d v="2026-03-03T00:00:00"/>
    <n v="30"/>
    <n v="33011.379999999997"/>
    <n v="33011.379999999997"/>
    <n v="0"/>
    <d v="2026-03-04T00:00:00"/>
    <s v="Paid"/>
    <s v="Credit Card"/>
    <n v="31"/>
    <n v="-1"/>
    <s v="No"/>
    <s v="Yes"/>
    <n v="0.01"/>
    <s v="No"/>
    <n v="0"/>
  </r>
  <r>
    <s v="AP-0605"/>
    <s v="VND-012"/>
    <s v="FacilityPro Services"/>
    <x v="5"/>
    <x v="4"/>
    <s v="Marco Diaz"/>
    <d v="2025-02-02T00:00:00"/>
    <d v="2025-03-04T00:00:00"/>
    <n v="30"/>
    <n v="24842.95"/>
    <n v="24842.95"/>
    <n v="0"/>
    <d v="2025-03-09T00:00:00"/>
    <s v="Paid"/>
    <s v="Check"/>
    <n v="35"/>
    <n v="-5"/>
    <s v="No"/>
    <s v="Yes"/>
    <n v="0.01"/>
    <s v="No"/>
    <n v="0"/>
  </r>
  <r>
    <s v="AP-0606"/>
    <s v="VND-006"/>
    <s v="PowerGrid Utilities"/>
    <x v="3"/>
    <x v="4"/>
    <s v="Marco Diaz"/>
    <d v="2025-06-24T00:00:00"/>
    <d v="2025-07-24T00:00:00"/>
    <n v="30"/>
    <n v="8882.76"/>
    <n v="8882.76"/>
    <n v="0"/>
    <d v="2025-07-17T00:00:00"/>
    <s v="Paid"/>
    <s v="Check"/>
    <n v="23"/>
    <n v="7"/>
    <s v="Yes"/>
    <s v="Yes"/>
    <n v="0.01"/>
    <s v="No"/>
    <n v="0"/>
  </r>
  <r>
    <s v="AP-0607"/>
    <s v="VND-014"/>
    <s v="NetConnect Systems"/>
    <x v="1"/>
    <x v="3"/>
    <s v="Pedro Alvarez"/>
    <d v="2026-04-19T00:00:00"/>
    <d v="2026-07-18T00:00:00"/>
    <n v="90"/>
    <n v="25937.82"/>
    <n v="0"/>
    <n v="25937.82"/>
    <m/>
    <s v="Pending"/>
    <s v="Wire"/>
    <m/>
    <m/>
    <m/>
    <s v="No"/>
    <n v="0"/>
    <s v="No"/>
    <n v="0"/>
  </r>
  <r>
    <s v="AP-0608"/>
    <s v="VND-011"/>
    <s v="QuickFreight Inc."/>
    <x v="0"/>
    <x v="2"/>
    <s v="Ana Torres"/>
    <d v="2025-01-06T00:00:00"/>
    <d v="2025-02-05T00:00:00"/>
    <n v="30"/>
    <n v="8937.67"/>
    <n v="0"/>
    <n v="8937.67"/>
    <m/>
    <s v="Overdue"/>
    <s v="Wire"/>
    <m/>
    <n v="-480"/>
    <s v="No"/>
    <s v="Yes"/>
    <n v="0.01"/>
    <s v="No"/>
    <n v="0"/>
  </r>
  <r>
    <s v="AP-0609"/>
    <s v="VND-024"/>
    <s v="EliteFacilities Corp."/>
    <x v="5"/>
    <x v="3"/>
    <s v="Sofia Reyes"/>
    <d v="2026-05-06T00:00:00"/>
    <d v="2026-07-05T00:00:00"/>
    <n v="60"/>
    <n v="28720.65"/>
    <n v="28720.65"/>
    <n v="0"/>
    <d v="2026-05-31T00:00:00"/>
    <s v="Paid"/>
    <s v="Credit Card"/>
    <n v="25"/>
    <n v="35"/>
    <s v="Yes"/>
    <s v="Yes"/>
    <n v="0.01"/>
    <s v="No"/>
    <n v="0"/>
  </r>
  <r>
    <s v="AP-0610"/>
    <s v="VND-023"/>
    <s v="CoolTech Systems"/>
    <x v="1"/>
    <x v="2"/>
    <s v="Marco Diaz"/>
    <d v="2025-10-30T00:00:00"/>
    <d v="2025-12-29T00:00:00"/>
    <n v="60"/>
    <n v="22929.68"/>
    <n v="22929.68"/>
    <n v="0"/>
    <d v="2026-01-04T00:00:00"/>
    <s v="Paid"/>
    <s v="Wire"/>
    <n v="66"/>
    <n v="-6"/>
    <s v="No"/>
    <s v="No"/>
    <n v="0"/>
    <s v="No"/>
    <n v="0"/>
  </r>
  <r>
    <s v="AP-0611"/>
    <s v="VND-022"/>
    <s v="Apex Consulting"/>
    <x v="4"/>
    <x v="4"/>
    <s v="Marco Diaz"/>
    <d v="2026-04-11T00:00:00"/>
    <d v="2026-04-26T00:00:00"/>
    <n v="15"/>
    <n v="20159.14"/>
    <n v="0"/>
    <n v="20159.14"/>
    <m/>
    <s v="Pending"/>
    <s v="Credit Card"/>
    <m/>
    <m/>
    <m/>
    <s v="Yes"/>
    <n v="0.02"/>
    <s v="No"/>
    <n v="0"/>
  </r>
  <r>
    <s v="AP-0612"/>
    <s v="VND-012"/>
    <s v="FacilityPro Services"/>
    <x v="5"/>
    <x v="2"/>
    <s v="Sofia Reyes"/>
    <d v="2025-12-07T00:00:00"/>
    <d v="2026-02-05T00:00:00"/>
    <n v="60"/>
    <n v="19520.37"/>
    <n v="19520.37"/>
    <n v="0"/>
    <d v="2026-02-02T00:00:00"/>
    <s v="Paid"/>
    <s v="ACH"/>
    <n v="57"/>
    <n v="3"/>
    <s v="Yes"/>
    <s v="Yes"/>
    <n v="0.01"/>
    <s v="No"/>
    <n v="0"/>
  </r>
  <r>
    <s v="AP-0613"/>
    <s v="VND-019"/>
    <s v="SkyNet IT Solutions"/>
    <x v="1"/>
    <x v="1"/>
    <s v="Sofia Reyes"/>
    <d v="2026-01-08T00:00:00"/>
    <d v="2026-01-23T00:00:00"/>
    <n v="15"/>
    <n v="71598.34"/>
    <n v="71598.34"/>
    <n v="0"/>
    <d v="2026-01-13T00:00:00"/>
    <s v="Paid"/>
    <s v="Check"/>
    <n v="5"/>
    <n v="10"/>
    <s v="Yes"/>
    <s v="Yes"/>
    <n v="0.02"/>
    <s v="Yes"/>
    <n v="1431.97"/>
  </r>
  <r>
    <s v="AP-0614"/>
    <s v="VND-020"/>
    <s v="TrustBuild Facilities"/>
    <x v="5"/>
    <x v="0"/>
    <s v="Laura Chen"/>
    <d v="2025-03-10T00:00:00"/>
    <d v="2025-04-09T00:00:00"/>
    <n v="30"/>
    <n v="20505.02"/>
    <n v="20505.02"/>
    <n v="0"/>
    <d v="2025-04-04T00:00:00"/>
    <s v="Paid"/>
    <s v="Check"/>
    <n v="25"/>
    <n v="5"/>
    <s v="Yes"/>
    <s v="No"/>
    <n v="0"/>
    <s v="No"/>
    <n v="0"/>
  </r>
  <r>
    <s v="AP-0615"/>
    <s v="VND-021"/>
    <s v="PrimePack Logistics"/>
    <x v="0"/>
    <x v="2"/>
    <s v="Ana Torres"/>
    <d v="2025-11-25T00:00:00"/>
    <d v="2025-12-25T00:00:00"/>
    <n v="30"/>
    <n v="7701.52"/>
    <n v="7701.52"/>
    <n v="0"/>
    <d v="2026-01-02T00:00:00"/>
    <s v="Paid"/>
    <s v="Wire"/>
    <n v="38"/>
    <n v="-8"/>
    <s v="No"/>
    <s v="Yes"/>
    <n v="0.01"/>
    <s v="No"/>
    <n v="0"/>
  </r>
  <r>
    <s v="AP-0616"/>
    <s v="VND-009"/>
    <s v="MetalWorks Ltd."/>
    <x v="2"/>
    <x v="0"/>
    <s v="Sofia Reyes"/>
    <d v="2026-04-09T00:00:00"/>
    <d v="2026-06-08T00:00:00"/>
    <n v="60"/>
    <n v="25338.89"/>
    <n v="25338.89"/>
    <n v="0"/>
    <d v="2026-05-31T00:00:00"/>
    <s v="Paid"/>
    <s v="Check"/>
    <n v="52"/>
    <n v="8"/>
    <s v="Yes"/>
    <s v="Yes"/>
    <n v="0.01"/>
    <s v="No"/>
    <n v="0"/>
  </r>
  <r>
    <s v="AP-0617"/>
    <s v="VND-010"/>
    <s v="DataBridge IT"/>
    <x v="1"/>
    <x v="2"/>
    <s v="Ana Torres"/>
    <d v="2025-07-12T00:00:00"/>
    <d v="2025-08-11T00:00:00"/>
    <n v="30"/>
    <n v="71892.740000000005"/>
    <n v="71892.740000000005"/>
    <n v="0"/>
    <d v="2025-08-03T00:00:00"/>
    <s v="Paid"/>
    <s v="Check"/>
    <n v="22"/>
    <n v="8"/>
    <s v="Yes"/>
    <s v="Yes"/>
    <n v="0.01"/>
    <s v="No"/>
    <n v="0"/>
  </r>
  <r>
    <s v="AP-0618"/>
    <s v="VND-006"/>
    <s v="PowerGrid Utilities"/>
    <x v="3"/>
    <x v="4"/>
    <s v="Sofia Reyes"/>
    <d v="2025-10-10T00:00:00"/>
    <d v="2025-11-09T00:00:00"/>
    <n v="30"/>
    <n v="2124.36"/>
    <n v="2124.36"/>
    <n v="0"/>
    <d v="2025-11-14T00:00:00"/>
    <s v="Paid"/>
    <s v="ACH"/>
    <n v="35"/>
    <n v="-5"/>
    <s v="No"/>
    <s v="Yes"/>
    <n v="0.01"/>
    <s v="No"/>
    <n v="0"/>
  </r>
  <r>
    <s v="AP-0619"/>
    <s v="VND-001"/>
    <s v="Acme Supplies Co."/>
    <x v="2"/>
    <x v="4"/>
    <s v="Pedro Alvarez"/>
    <d v="2025-12-22T00:00:00"/>
    <d v="2026-03-22T00:00:00"/>
    <n v="90"/>
    <n v="22166.240000000002"/>
    <n v="22166.240000000002"/>
    <n v="0"/>
    <d v="2026-04-09T00:00:00"/>
    <s v="Paid"/>
    <s v="Wire"/>
    <n v="108"/>
    <n v="-18"/>
    <s v="No"/>
    <s v="No"/>
    <n v="0"/>
    <s v="No"/>
    <n v="0"/>
  </r>
  <r>
    <s v="AP-0620"/>
    <s v="VND-007"/>
    <s v="ProStaff Services"/>
    <x v="4"/>
    <x v="0"/>
    <s v="Sofia Reyes"/>
    <d v="2026-02-26T00:00:00"/>
    <d v="2026-04-27T00:00:00"/>
    <n v="60"/>
    <n v="24412.07"/>
    <n v="15451.07"/>
    <n v="8961"/>
    <d v="2026-05-08T00:00:00"/>
    <s v="Partial"/>
    <s v="Wire"/>
    <n v="71"/>
    <n v="-11"/>
    <s v="No"/>
    <s v="Yes"/>
    <n v="0.01"/>
    <s v="No"/>
    <n v="0"/>
  </r>
  <r>
    <s v="AP-0621"/>
    <s v="VND-018"/>
    <s v="BuildFast Materials"/>
    <x v="2"/>
    <x v="2"/>
    <s v="Pedro Alvarez"/>
    <d v="2025-11-10T00:00:00"/>
    <d v="2025-12-10T00:00:00"/>
    <n v="30"/>
    <n v="10243.379999999999"/>
    <n v="10243.379999999999"/>
    <n v="0"/>
    <d v="2025-12-23T00:00:00"/>
    <s v="Paid"/>
    <s v="Check"/>
    <n v="43"/>
    <n v="-13"/>
    <s v="No"/>
    <s v="Yes"/>
    <n v="0.01"/>
    <s v="No"/>
    <n v="0"/>
  </r>
  <r>
    <s v="AP-0622"/>
    <s v="VND-002"/>
    <s v="TechCore Solutions"/>
    <x v="1"/>
    <x v="1"/>
    <s v="Laura Chen"/>
    <d v="2025-06-20T00:00:00"/>
    <d v="2025-09-18T00:00:00"/>
    <n v="90"/>
    <n v="51397.27"/>
    <n v="51397.27"/>
    <n v="0"/>
    <d v="2025-09-16T00:00:00"/>
    <s v="Paid"/>
    <s v="Check"/>
    <n v="88"/>
    <n v="2"/>
    <s v="Yes"/>
    <s v="Yes"/>
    <n v="5.0000000000000001E-3"/>
    <s v="No"/>
    <n v="0"/>
  </r>
  <r>
    <s v="AP-0623"/>
    <s v="VND-006"/>
    <s v="PowerGrid Utilities"/>
    <x v="3"/>
    <x v="1"/>
    <s v="Marco Diaz"/>
    <d v="2025-04-30T00:00:00"/>
    <d v="2025-05-30T00:00:00"/>
    <n v="30"/>
    <n v="1096.7"/>
    <n v="1096.7"/>
    <n v="0"/>
    <d v="2025-05-30T00:00:00"/>
    <s v="Paid"/>
    <s v="Wire"/>
    <n v="30"/>
    <n v="0"/>
    <s v="Yes"/>
    <s v="Yes"/>
    <n v="0.01"/>
    <s v="No"/>
    <n v="0"/>
  </r>
  <r>
    <s v="AP-0624"/>
    <s v="VND-018"/>
    <s v="BuildFast Materials"/>
    <x v="2"/>
    <x v="0"/>
    <s v="Laura Chen"/>
    <d v="2026-01-17T00:00:00"/>
    <d v="2026-02-16T00:00:00"/>
    <n v="30"/>
    <n v="23524.6"/>
    <n v="23524.6"/>
    <n v="0"/>
    <d v="2026-02-21T00:00:00"/>
    <s v="Paid"/>
    <s v="Check"/>
    <n v="35"/>
    <n v="-5"/>
    <s v="No"/>
    <s v="No"/>
    <n v="0"/>
    <s v="No"/>
    <n v="0"/>
  </r>
  <r>
    <s v="AP-0625"/>
    <s v="VND-004"/>
    <s v="BuildRight Materials"/>
    <x v="2"/>
    <x v="0"/>
    <s v="Pedro Alvarez"/>
    <d v="2026-04-15T00:00:00"/>
    <d v="2026-05-15T00:00:00"/>
    <n v="30"/>
    <n v="46534.94"/>
    <n v="0"/>
    <n v="46534.94"/>
    <m/>
    <s v="Overdue"/>
    <s v="Credit Card"/>
    <m/>
    <n v="-16"/>
    <s v="No"/>
    <s v="Yes"/>
    <n v="0.01"/>
    <s v="No"/>
    <n v="0"/>
  </r>
  <r>
    <s v="AP-0626"/>
    <s v="VND-017"/>
    <s v="OfficePro Services"/>
    <x v="4"/>
    <x v="4"/>
    <s v="Laura Chen"/>
    <d v="2025-05-31T00:00:00"/>
    <d v="2025-07-15T00:00:00"/>
    <n v="45"/>
    <n v="32584.32"/>
    <n v="0"/>
    <n v="32584.32"/>
    <m/>
    <s v="Overdue"/>
    <s v="Credit Card"/>
    <m/>
    <n v="-320"/>
    <s v="No"/>
    <s v="No"/>
    <n v="0"/>
    <s v="No"/>
    <n v="0"/>
  </r>
  <r>
    <s v="AP-0627"/>
    <s v="VND-011"/>
    <s v="QuickFreight Inc."/>
    <x v="0"/>
    <x v="0"/>
    <s v="Pedro Alvarez"/>
    <d v="2025-04-30T00:00:00"/>
    <d v="2025-05-30T00:00:00"/>
    <n v="30"/>
    <n v="6853.56"/>
    <n v="3584.32"/>
    <n v="3269.24"/>
    <d v="2025-05-27T00:00:00"/>
    <s v="Partial"/>
    <s v="ACH"/>
    <n v="27"/>
    <n v="3"/>
    <s v="Yes"/>
    <s v="Yes"/>
    <n v="0.01"/>
    <s v="No"/>
    <n v="0"/>
  </r>
  <r>
    <s v="AP-0628"/>
    <s v="VND-011"/>
    <s v="QuickFreight Inc."/>
    <x v="0"/>
    <x v="0"/>
    <s v="Ana Torres"/>
    <d v="2025-10-12T00:00:00"/>
    <d v="2025-11-11T00:00:00"/>
    <n v="30"/>
    <n v="4718.6000000000004"/>
    <n v="3012.98"/>
    <n v="1705.62"/>
    <d v="2025-11-08T00:00:00"/>
    <s v="Partial"/>
    <s v="Wire"/>
    <n v="27"/>
    <n v="3"/>
    <s v="Yes"/>
    <s v="Yes"/>
    <n v="0.01"/>
    <s v="No"/>
    <n v="0"/>
  </r>
  <r>
    <s v="AP-0629"/>
    <s v="VND-017"/>
    <s v="OfficePro Services"/>
    <x v="4"/>
    <x v="2"/>
    <s v="Marco Diaz"/>
    <d v="2025-02-27T00:00:00"/>
    <d v="2025-04-28T00:00:00"/>
    <n v="60"/>
    <n v="36612.54"/>
    <n v="36612.54"/>
    <n v="0"/>
    <d v="2025-05-02T00:00:00"/>
    <s v="Paid"/>
    <s v="Credit Card"/>
    <n v="64"/>
    <n v="-4"/>
    <s v="No"/>
    <s v="Yes"/>
    <n v="0.01"/>
    <s v="No"/>
    <n v="0"/>
  </r>
  <r>
    <s v="AP-0630"/>
    <s v="VND-012"/>
    <s v="FacilityPro Services"/>
    <x v="5"/>
    <x v="0"/>
    <s v="Laura Chen"/>
    <d v="2025-11-12T00:00:00"/>
    <d v="2026-01-11T00:00:00"/>
    <n v="60"/>
    <n v="34258.28"/>
    <n v="34258.28"/>
    <n v="0"/>
    <d v="2026-01-05T00:00:00"/>
    <s v="Paid"/>
    <s v="Check"/>
    <n v="54"/>
    <n v="6"/>
    <s v="Yes"/>
    <s v="No"/>
    <n v="0"/>
    <s v="No"/>
    <n v="0"/>
  </r>
  <r>
    <s v="AP-0631"/>
    <s v="VND-024"/>
    <s v="EliteFacilities Corp."/>
    <x v="5"/>
    <x v="2"/>
    <s v="Pedro Alvarez"/>
    <d v="2025-06-17T00:00:00"/>
    <d v="2025-08-01T00:00:00"/>
    <n v="45"/>
    <n v="28587.200000000001"/>
    <n v="28587.200000000001"/>
    <n v="0"/>
    <d v="2025-08-04T00:00:00"/>
    <s v="Paid"/>
    <s v="Credit Card"/>
    <n v="48"/>
    <n v="-3"/>
    <s v="No"/>
    <s v="No"/>
    <n v="0"/>
    <s v="No"/>
    <n v="0"/>
  </r>
  <r>
    <s v="AP-0632"/>
    <s v="VND-019"/>
    <s v="SkyNet IT Solutions"/>
    <x v="1"/>
    <x v="3"/>
    <s v="Sofia Reyes"/>
    <d v="2025-11-07T00:00:00"/>
    <d v="2025-12-07T00:00:00"/>
    <n v="30"/>
    <n v="40595.980000000003"/>
    <n v="0"/>
    <n v="40595.980000000003"/>
    <m/>
    <s v="Overdue"/>
    <s v="Wire"/>
    <m/>
    <n v="-175"/>
    <s v="No"/>
    <s v="No"/>
    <n v="0"/>
    <s v="No"/>
    <n v="0"/>
  </r>
  <r>
    <s v="AP-0633"/>
    <s v="VND-003"/>
    <s v="FastShip Logistics"/>
    <x v="0"/>
    <x v="3"/>
    <s v="Pedro Alvarez"/>
    <d v="2026-02-24T00:00:00"/>
    <d v="2026-03-11T00:00:00"/>
    <n v="15"/>
    <n v="13137.31"/>
    <n v="13137.31"/>
    <n v="0"/>
    <d v="2026-03-09T00:00:00"/>
    <s v="Paid"/>
    <s v="ACH"/>
    <n v="13"/>
    <n v="2"/>
    <s v="Yes"/>
    <s v="Yes"/>
    <n v="0.02"/>
    <s v="No"/>
    <n v="0"/>
  </r>
  <r>
    <s v="AP-0634"/>
    <s v="VND-015"/>
    <s v="ExpressRoute Logistics"/>
    <x v="0"/>
    <x v="3"/>
    <s v="Marco Diaz"/>
    <d v="2026-01-26T00:00:00"/>
    <d v="2026-02-25T00:00:00"/>
    <n v="30"/>
    <n v="6499.8"/>
    <n v="2931.39"/>
    <n v="3568.41"/>
    <d v="2026-03-10T00:00:00"/>
    <s v="Partial"/>
    <s v="Wire"/>
    <n v="43"/>
    <n v="-13"/>
    <s v="No"/>
    <s v="Yes"/>
    <n v="0.01"/>
    <s v="No"/>
    <n v="0"/>
  </r>
  <r>
    <s v="AP-0635"/>
    <s v="VND-010"/>
    <s v="DataBridge IT"/>
    <x v="1"/>
    <x v="2"/>
    <s v="Ana Torres"/>
    <d v="2025-01-28T00:00:00"/>
    <d v="2025-02-27T00:00:00"/>
    <n v="30"/>
    <n v="64341.47"/>
    <n v="64341.47"/>
    <n v="0"/>
    <d v="2025-02-20T00:00:00"/>
    <s v="Paid"/>
    <s v="Credit Card"/>
    <n v="23"/>
    <n v="7"/>
    <s v="Yes"/>
    <s v="Yes"/>
    <n v="0.01"/>
    <s v="No"/>
    <n v="0"/>
  </r>
  <r>
    <s v="AP-0636"/>
    <s v="VND-004"/>
    <s v="BuildRight Materials"/>
    <x v="2"/>
    <x v="4"/>
    <s v="Pedro Alvarez"/>
    <d v="2025-09-08T00:00:00"/>
    <d v="2025-12-07T00:00:00"/>
    <n v="90"/>
    <n v="3365.24"/>
    <n v="3365.24"/>
    <n v="0"/>
    <d v="2025-11-29T00:00:00"/>
    <s v="Paid"/>
    <s v="Wire"/>
    <n v="82"/>
    <n v="8"/>
    <s v="Yes"/>
    <s v="No"/>
    <n v="0"/>
    <s v="No"/>
    <n v="0"/>
  </r>
  <r>
    <s v="AP-0637"/>
    <s v="VND-003"/>
    <s v="FastShip Logistics"/>
    <x v="0"/>
    <x v="3"/>
    <s v="Laura Chen"/>
    <d v="2025-09-22T00:00:00"/>
    <d v="2025-11-21T00:00:00"/>
    <n v="60"/>
    <n v="12931.92"/>
    <n v="12931.92"/>
    <n v="0"/>
    <d v="2025-11-28T00:00:00"/>
    <s v="Paid"/>
    <s v="Credit Card"/>
    <n v="67"/>
    <n v="-7"/>
    <s v="No"/>
    <s v="Yes"/>
    <n v="0.01"/>
    <s v="No"/>
    <n v="0"/>
  </r>
  <r>
    <s v="AP-0638"/>
    <s v="VND-019"/>
    <s v="SkyNet IT Solutions"/>
    <x v="1"/>
    <x v="0"/>
    <s v="Laura Chen"/>
    <d v="2025-05-30T00:00:00"/>
    <d v="2025-06-14T00:00:00"/>
    <n v="15"/>
    <n v="28976.080000000002"/>
    <n v="28976.080000000002"/>
    <n v="0"/>
    <d v="2025-06-20T00:00:00"/>
    <s v="Paid"/>
    <s v="Wire"/>
    <n v="21"/>
    <n v="-6"/>
    <s v="No"/>
    <s v="No"/>
    <n v="0"/>
    <s v="No"/>
    <n v="0"/>
  </r>
  <r>
    <s v="AP-0639"/>
    <s v="VND-006"/>
    <s v="PowerGrid Utilities"/>
    <x v="3"/>
    <x v="0"/>
    <s v="Laura Chen"/>
    <d v="2025-12-31T00:00:00"/>
    <d v="2026-03-01T00:00:00"/>
    <n v="60"/>
    <n v="1206.3699999999999"/>
    <n v="1206.3699999999999"/>
    <n v="0"/>
    <d v="2026-03-05T00:00:00"/>
    <s v="Paid"/>
    <s v="Check"/>
    <n v="64"/>
    <n v="-4"/>
    <s v="No"/>
    <s v="Yes"/>
    <n v="0.01"/>
    <s v="No"/>
    <n v="0"/>
  </r>
  <r>
    <s v="AP-0640"/>
    <s v="VND-021"/>
    <s v="PrimePack Logistics"/>
    <x v="0"/>
    <x v="1"/>
    <s v="Sofia Reyes"/>
    <d v="2025-11-20T00:00:00"/>
    <d v="2026-01-19T00:00:00"/>
    <n v="60"/>
    <n v="16709.62"/>
    <n v="16709.62"/>
    <n v="0"/>
    <d v="2026-01-21T00:00:00"/>
    <s v="Paid"/>
    <s v="Wire"/>
    <n v="62"/>
    <n v="-2"/>
    <s v="No"/>
    <s v="Yes"/>
    <n v="0.01"/>
    <s v="No"/>
    <n v="0"/>
  </r>
  <r>
    <s v="AP-0641"/>
    <s v="VND-022"/>
    <s v="Apex Consulting"/>
    <x v="4"/>
    <x v="4"/>
    <s v="Sofia Reyes"/>
    <d v="2025-01-14T00:00:00"/>
    <d v="2025-02-13T00:00:00"/>
    <n v="30"/>
    <n v="8067.13"/>
    <n v="8067.13"/>
    <n v="0"/>
    <d v="2025-01-29T00:00:00"/>
    <s v="Paid"/>
    <s v="Check"/>
    <n v="15"/>
    <n v="15"/>
    <s v="Yes"/>
    <s v="Yes"/>
    <n v="0.01"/>
    <s v="No"/>
    <n v="0"/>
  </r>
  <r>
    <s v="AP-0642"/>
    <s v="VND-006"/>
    <s v="PowerGrid Utilities"/>
    <x v="3"/>
    <x v="0"/>
    <s v="Marco Diaz"/>
    <d v="2025-07-12T00:00:00"/>
    <d v="2025-08-11T00:00:00"/>
    <n v="30"/>
    <n v="12029.05"/>
    <n v="12029.05"/>
    <n v="0"/>
    <d v="2025-08-20T00:00:00"/>
    <s v="Paid"/>
    <s v="Wire"/>
    <n v="39"/>
    <n v="-9"/>
    <s v="No"/>
    <s v="Yes"/>
    <n v="0.01"/>
    <s v="No"/>
    <n v="0"/>
  </r>
  <r>
    <s v="AP-0643"/>
    <s v="VND-017"/>
    <s v="OfficePro Services"/>
    <x v="4"/>
    <x v="3"/>
    <s v="Ana Torres"/>
    <d v="2026-04-17T00:00:00"/>
    <d v="2026-06-16T00:00:00"/>
    <n v="60"/>
    <n v="36893.15"/>
    <n v="0"/>
    <n v="36893.15"/>
    <m/>
    <s v="Pending"/>
    <s v="ACH"/>
    <m/>
    <m/>
    <m/>
    <s v="Yes"/>
    <n v="0.01"/>
    <s v="No"/>
    <n v="0"/>
  </r>
  <r>
    <s v="AP-0644"/>
    <s v="VND-012"/>
    <s v="FacilityPro Services"/>
    <x v="5"/>
    <x v="4"/>
    <s v="Laura Chen"/>
    <d v="2025-12-17T00:00:00"/>
    <d v="2026-03-17T00:00:00"/>
    <n v="90"/>
    <n v="7682.84"/>
    <n v="7682.84"/>
    <n v="0"/>
    <d v="2026-03-20T00:00:00"/>
    <s v="Paid"/>
    <s v="Wire"/>
    <n v="93"/>
    <n v="-3"/>
    <s v="No"/>
    <s v="Yes"/>
    <n v="5.0000000000000001E-3"/>
    <s v="No"/>
    <n v="0"/>
  </r>
  <r>
    <s v="AP-0645"/>
    <s v="VND-023"/>
    <s v="CoolTech Systems"/>
    <x v="1"/>
    <x v="1"/>
    <s v="Marco Diaz"/>
    <d v="2025-08-03T00:00:00"/>
    <d v="2025-09-02T00:00:00"/>
    <n v="30"/>
    <n v="14766.37"/>
    <n v="14766.37"/>
    <n v="0"/>
    <d v="2025-09-04T00:00:00"/>
    <s v="Paid"/>
    <s v="Check"/>
    <n v="32"/>
    <n v="-2"/>
    <s v="No"/>
    <s v="Yes"/>
    <n v="0.01"/>
    <s v="No"/>
    <n v="0"/>
  </r>
  <r>
    <s v="AP-0646"/>
    <s v="VND-004"/>
    <s v="BuildRight Materials"/>
    <x v="2"/>
    <x v="0"/>
    <s v="Sofia Reyes"/>
    <d v="2025-02-13T00:00:00"/>
    <d v="2025-04-14T00:00:00"/>
    <n v="60"/>
    <n v="11424.85"/>
    <n v="11424.85"/>
    <n v="0"/>
    <d v="2025-04-07T00:00:00"/>
    <s v="Paid"/>
    <s v="Credit Card"/>
    <n v="53"/>
    <n v="7"/>
    <s v="Yes"/>
    <s v="Yes"/>
    <n v="0.01"/>
    <s v="No"/>
    <n v="0"/>
  </r>
  <r>
    <s v="AP-0647"/>
    <s v="VND-009"/>
    <s v="MetalWorks Ltd."/>
    <x v="2"/>
    <x v="0"/>
    <s v="Sofia Reyes"/>
    <d v="2025-04-09T00:00:00"/>
    <d v="2025-04-24T00:00:00"/>
    <n v="15"/>
    <n v="39553.800000000003"/>
    <n v="39553.800000000003"/>
    <n v="0"/>
    <d v="2025-04-20T00:00:00"/>
    <s v="Paid"/>
    <s v="Check"/>
    <n v="11"/>
    <n v="4"/>
    <s v="Yes"/>
    <s v="No"/>
    <n v="0"/>
    <s v="No"/>
    <n v="0"/>
  </r>
  <r>
    <s v="AP-0648"/>
    <s v="VND-007"/>
    <s v="ProStaff Services"/>
    <x v="4"/>
    <x v="1"/>
    <s v="Laura Chen"/>
    <d v="2025-05-30T00:00:00"/>
    <d v="2025-06-29T00:00:00"/>
    <n v="30"/>
    <n v="34296.879999999997"/>
    <n v="0"/>
    <n v="34296.879999999997"/>
    <m/>
    <s v="Overdue"/>
    <s v="ACH"/>
    <m/>
    <n v="-336"/>
    <s v="No"/>
    <s v="No"/>
    <n v="0"/>
    <s v="No"/>
    <n v="0"/>
  </r>
  <r>
    <s v="AP-0649"/>
    <s v="VND-012"/>
    <s v="FacilityPro Services"/>
    <x v="5"/>
    <x v="4"/>
    <s v="Marco Diaz"/>
    <d v="2025-04-12T00:00:00"/>
    <d v="2025-05-12T00:00:00"/>
    <n v="30"/>
    <n v="29046.35"/>
    <n v="29046.35"/>
    <n v="0"/>
    <d v="2025-05-08T00:00:00"/>
    <s v="Paid"/>
    <s v="Wire"/>
    <n v="26"/>
    <n v="4"/>
    <s v="Yes"/>
    <s v="No"/>
    <n v="0"/>
    <s v="No"/>
    <n v="0"/>
  </r>
  <r>
    <s v="AP-0650"/>
    <s v="VND-006"/>
    <s v="PowerGrid Utilities"/>
    <x v="3"/>
    <x v="3"/>
    <s v="Sofia Reyes"/>
    <d v="2026-05-02T00:00:00"/>
    <d v="2026-06-01T00:00:00"/>
    <n v="30"/>
    <n v="5813.71"/>
    <n v="5813.71"/>
    <n v="0"/>
    <d v="2026-05-12T00:00:00"/>
    <s v="Paid"/>
    <s v="ACH"/>
    <n v="10"/>
    <n v="20"/>
    <s v="Yes"/>
    <s v="Yes"/>
    <n v="0.01"/>
    <s v="Yes"/>
    <n v="58.14"/>
  </r>
  <r>
    <s v="AP-0651"/>
    <s v="VND-006"/>
    <s v="PowerGrid Utilities"/>
    <x v="3"/>
    <x v="4"/>
    <s v="Pedro Alvarez"/>
    <d v="2025-08-22T00:00:00"/>
    <d v="2025-09-21T00:00:00"/>
    <n v="30"/>
    <n v="6409.88"/>
    <n v="6409.88"/>
    <n v="0"/>
    <d v="2025-09-12T00:00:00"/>
    <s v="Paid"/>
    <s v="Credit Card"/>
    <n v="21"/>
    <n v="9"/>
    <s v="Yes"/>
    <s v="No"/>
    <n v="0"/>
    <s v="No"/>
    <n v="0"/>
  </r>
  <r>
    <s v="AP-0652"/>
    <s v="VND-016"/>
    <s v="CleanWater Utilities"/>
    <x v="3"/>
    <x v="4"/>
    <s v="Laura Chen"/>
    <d v="2025-12-02T00:00:00"/>
    <d v="2026-01-01T00:00:00"/>
    <n v="30"/>
    <n v="7658.84"/>
    <n v="7658.84"/>
    <n v="0"/>
    <d v="2026-01-03T00:00:00"/>
    <s v="Paid"/>
    <s v="ACH"/>
    <n v="32"/>
    <n v="-2"/>
    <s v="No"/>
    <s v="Yes"/>
    <n v="0.01"/>
    <s v="No"/>
    <n v="0"/>
  </r>
  <r>
    <s v="AP-0653"/>
    <s v="VND-024"/>
    <s v="EliteFacilities Corp."/>
    <x v="5"/>
    <x v="4"/>
    <s v="Pedro Alvarez"/>
    <d v="2025-10-25T00:00:00"/>
    <d v="2025-12-24T00:00:00"/>
    <n v="60"/>
    <n v="34503.760000000002"/>
    <n v="25787.33"/>
    <n v="8716.43"/>
    <d v="2026-01-13T00:00:00"/>
    <s v="Partial"/>
    <s v="Wire"/>
    <n v="80"/>
    <n v="-20"/>
    <s v="No"/>
    <s v="Yes"/>
    <n v="0.01"/>
    <s v="No"/>
    <n v="0"/>
  </r>
  <r>
    <s v="AP-0654"/>
    <s v="VND-016"/>
    <s v="CleanWater Utilities"/>
    <x v="3"/>
    <x v="4"/>
    <s v="Marco Diaz"/>
    <d v="2025-04-18T00:00:00"/>
    <d v="2025-07-17T00:00:00"/>
    <n v="90"/>
    <n v="6247.36"/>
    <n v="6247.36"/>
    <n v="0"/>
    <d v="2025-07-22T00:00:00"/>
    <s v="Paid"/>
    <s v="ACH"/>
    <n v="95"/>
    <n v="-5"/>
    <s v="No"/>
    <s v="Yes"/>
    <n v="5.0000000000000001E-3"/>
    <s v="No"/>
    <n v="0"/>
  </r>
  <r>
    <s v="AP-0655"/>
    <s v="VND-023"/>
    <s v="CoolTech Systems"/>
    <x v="1"/>
    <x v="3"/>
    <s v="Sofia Reyes"/>
    <d v="2026-01-08T00:00:00"/>
    <d v="2026-02-07T00:00:00"/>
    <n v="30"/>
    <n v="78140.56"/>
    <n v="78140.56"/>
    <n v="0"/>
    <d v="2026-02-12T00:00:00"/>
    <s v="Paid"/>
    <s v="Wire"/>
    <n v="35"/>
    <n v="-5"/>
    <s v="No"/>
    <s v="Yes"/>
    <n v="0.01"/>
    <s v="No"/>
    <n v="0"/>
  </r>
  <r>
    <s v="AP-0656"/>
    <s v="VND-013"/>
    <s v="SafetyFirst Supplies"/>
    <x v="2"/>
    <x v="0"/>
    <s v="Marco Diaz"/>
    <d v="2025-10-13T00:00:00"/>
    <d v="2026-01-11T00:00:00"/>
    <n v="90"/>
    <n v="38711.22"/>
    <n v="38711.22"/>
    <n v="0"/>
    <d v="2026-01-11T00:00:00"/>
    <s v="Paid"/>
    <s v="Credit Card"/>
    <n v="90"/>
    <n v="0"/>
    <s v="Yes"/>
    <s v="No"/>
    <n v="0"/>
    <s v="No"/>
    <n v="0"/>
  </r>
  <r>
    <s v="AP-0657"/>
    <s v="VND-013"/>
    <s v="SafetyFirst Supplies"/>
    <x v="2"/>
    <x v="4"/>
    <s v="Pedro Alvarez"/>
    <d v="2025-10-13T00:00:00"/>
    <d v="2026-01-11T00:00:00"/>
    <n v="90"/>
    <n v="9073.9599999999991"/>
    <n v="9073.9599999999991"/>
    <n v="0"/>
    <d v="2025-12-28T00:00:00"/>
    <s v="Paid"/>
    <s v="Credit Card"/>
    <n v="76"/>
    <n v="14"/>
    <s v="Yes"/>
    <s v="Yes"/>
    <n v="5.0000000000000001E-3"/>
    <s v="No"/>
    <n v="0"/>
  </r>
  <r>
    <s v="AP-0658"/>
    <s v="VND-016"/>
    <s v="CleanWater Utilities"/>
    <x v="3"/>
    <x v="2"/>
    <s v="Marco Diaz"/>
    <d v="2025-04-12T00:00:00"/>
    <d v="2025-04-27T00:00:00"/>
    <n v="15"/>
    <n v="11198.08"/>
    <n v="11198.08"/>
    <n v="0"/>
    <d v="2025-05-01T00:00:00"/>
    <s v="Paid"/>
    <s v="Wire"/>
    <n v="19"/>
    <n v="-4"/>
    <s v="No"/>
    <s v="No"/>
    <n v="0"/>
    <s v="No"/>
    <n v="0"/>
  </r>
  <r>
    <s v="AP-0659"/>
    <s v="VND-020"/>
    <s v="TrustBuild Facilities"/>
    <x v="5"/>
    <x v="4"/>
    <s v="Marco Diaz"/>
    <d v="2025-03-20T00:00:00"/>
    <d v="2025-04-19T00:00:00"/>
    <n v="30"/>
    <n v="23815.66"/>
    <n v="23815.66"/>
    <n v="0"/>
    <d v="2025-04-19T00:00:00"/>
    <s v="Paid"/>
    <s v="Check"/>
    <n v="30"/>
    <n v="0"/>
    <s v="Yes"/>
    <s v="Yes"/>
    <n v="0.01"/>
    <s v="No"/>
    <n v="0"/>
  </r>
  <r>
    <s v="AP-0660"/>
    <s v="VND-015"/>
    <s v="ExpressRoute Logistics"/>
    <x v="0"/>
    <x v="1"/>
    <s v="Laura Chen"/>
    <d v="2025-09-25T00:00:00"/>
    <d v="2025-12-24T00:00:00"/>
    <n v="90"/>
    <n v="11306.32"/>
    <n v="11306.32"/>
    <n v="0"/>
    <d v="2026-01-06T00:00:00"/>
    <s v="Paid"/>
    <s v="Credit Card"/>
    <n v="103"/>
    <n v="-13"/>
    <s v="No"/>
    <s v="No"/>
    <n v="0"/>
    <s v="No"/>
    <n v="0"/>
  </r>
  <r>
    <s v="AP-0661"/>
    <s v="VND-014"/>
    <s v="NetConnect Systems"/>
    <x v="1"/>
    <x v="0"/>
    <s v="Pedro Alvarez"/>
    <d v="2026-01-21T00:00:00"/>
    <d v="2026-03-22T00:00:00"/>
    <n v="60"/>
    <n v="38191.71"/>
    <n v="38191.71"/>
    <n v="0"/>
    <d v="2026-03-23T00:00:00"/>
    <s v="Paid"/>
    <s v="Credit Card"/>
    <n v="61"/>
    <n v="-1"/>
    <s v="No"/>
    <s v="Yes"/>
    <n v="0.01"/>
    <s v="No"/>
    <n v="0"/>
  </r>
  <r>
    <s v="AP-0662"/>
    <s v="VND-022"/>
    <s v="Apex Consulting"/>
    <x v="4"/>
    <x v="4"/>
    <s v="Marco Diaz"/>
    <d v="2025-05-18T00:00:00"/>
    <d v="2025-07-17T00:00:00"/>
    <n v="60"/>
    <n v="14561.01"/>
    <n v="14561.01"/>
    <n v="0"/>
    <d v="2025-07-09T00:00:00"/>
    <s v="Paid"/>
    <s v="Credit Card"/>
    <n v="52"/>
    <n v="8"/>
    <s v="Yes"/>
    <s v="Yes"/>
    <n v="0.01"/>
    <s v="No"/>
    <n v="0"/>
  </r>
  <r>
    <s v="AP-0663"/>
    <s v="VND-018"/>
    <s v="BuildFast Materials"/>
    <x v="2"/>
    <x v="3"/>
    <s v="Ana Torres"/>
    <d v="2025-06-10T00:00:00"/>
    <d v="2025-09-08T00:00:00"/>
    <n v="90"/>
    <n v="26320.880000000001"/>
    <n v="26320.880000000001"/>
    <n v="0"/>
    <d v="2025-09-05T00:00:00"/>
    <s v="Paid"/>
    <s v="Credit Card"/>
    <n v="87"/>
    <n v="3"/>
    <s v="Yes"/>
    <s v="Yes"/>
    <n v="5.0000000000000001E-3"/>
    <s v="No"/>
    <n v="0"/>
  </r>
  <r>
    <s v="AP-0664"/>
    <s v="VND-013"/>
    <s v="SafetyFirst Supplies"/>
    <x v="2"/>
    <x v="3"/>
    <s v="Laura Chen"/>
    <d v="2025-03-04T00:00:00"/>
    <d v="2025-05-03T00:00:00"/>
    <n v="60"/>
    <n v="3351.06"/>
    <n v="1589.87"/>
    <n v="1761.19"/>
    <d v="2025-05-21T00:00:00"/>
    <s v="Partial"/>
    <s v="Check"/>
    <n v="78"/>
    <n v="-18"/>
    <s v="No"/>
    <s v="Yes"/>
    <n v="0.01"/>
    <s v="No"/>
    <n v="0"/>
  </r>
  <r>
    <s v="AP-0665"/>
    <s v="VND-019"/>
    <s v="SkyNet IT Solutions"/>
    <x v="1"/>
    <x v="0"/>
    <s v="Laura Chen"/>
    <d v="2026-03-15T00:00:00"/>
    <d v="2026-04-14T00:00:00"/>
    <n v="30"/>
    <n v="30885.73"/>
    <n v="30885.73"/>
    <n v="0"/>
    <d v="2026-04-14T00:00:00"/>
    <s v="Paid"/>
    <s v="Credit Card"/>
    <n v="30"/>
    <n v="0"/>
    <s v="Yes"/>
    <s v="Yes"/>
    <n v="0.01"/>
    <s v="No"/>
    <n v="0"/>
  </r>
  <r>
    <s v="AP-0666"/>
    <s v="VND-019"/>
    <s v="SkyNet IT Solutions"/>
    <x v="1"/>
    <x v="0"/>
    <s v="Sofia Reyes"/>
    <d v="2025-12-12T00:00:00"/>
    <d v="2026-01-11T00:00:00"/>
    <n v="30"/>
    <n v="17733.439999999999"/>
    <n v="17733.439999999999"/>
    <n v="0"/>
    <d v="2026-01-22T00:00:00"/>
    <s v="Paid"/>
    <s v="Check"/>
    <n v="41"/>
    <n v="-11"/>
    <s v="No"/>
    <s v="Yes"/>
    <n v="0.01"/>
    <s v="No"/>
    <n v="0"/>
  </r>
  <r>
    <s v="AP-0667"/>
    <s v="VND-022"/>
    <s v="Apex Consulting"/>
    <x v="4"/>
    <x v="2"/>
    <s v="Ana Torres"/>
    <d v="2025-01-21T00:00:00"/>
    <d v="2025-03-07T00:00:00"/>
    <n v="45"/>
    <n v="28750.46"/>
    <n v="0"/>
    <n v="28750.46"/>
    <m/>
    <s v="Overdue"/>
    <s v="Credit Card"/>
    <m/>
    <n v="-450"/>
    <s v="No"/>
    <s v="Yes"/>
    <n v="1.4999999999999999E-2"/>
    <s v="No"/>
    <n v="0"/>
  </r>
  <r>
    <s v="AP-0668"/>
    <s v="VND-013"/>
    <s v="SafetyFirst Supplies"/>
    <x v="2"/>
    <x v="3"/>
    <s v="Pedro Alvarez"/>
    <d v="2026-05-16T00:00:00"/>
    <d v="2026-06-15T00:00:00"/>
    <n v="30"/>
    <n v="6802.72"/>
    <n v="6802.72"/>
    <n v="0"/>
    <d v="2026-05-31T00:00:00"/>
    <s v="Paid"/>
    <s v="Check"/>
    <n v="15"/>
    <n v="15"/>
    <s v="Yes"/>
    <s v="Yes"/>
    <n v="0.01"/>
    <s v="No"/>
    <n v="0"/>
  </r>
  <r>
    <s v="AP-0669"/>
    <s v="VND-020"/>
    <s v="TrustBuild Facilities"/>
    <x v="5"/>
    <x v="4"/>
    <s v="Laura Chen"/>
    <d v="2026-05-24T00:00:00"/>
    <d v="2026-06-23T00:00:00"/>
    <n v="30"/>
    <n v="22969.66"/>
    <n v="22969.66"/>
    <n v="0"/>
    <d v="2026-05-31T00:00:00"/>
    <s v="Paid"/>
    <s v="Credit Card"/>
    <n v="7"/>
    <n v="23"/>
    <s v="Yes"/>
    <s v="No"/>
    <n v="0"/>
    <s v="No"/>
    <n v="0"/>
  </r>
  <r>
    <s v="AP-0670"/>
    <s v="VND-007"/>
    <s v="ProStaff Services"/>
    <x v="4"/>
    <x v="4"/>
    <s v="Laura Chen"/>
    <d v="2026-02-16T00:00:00"/>
    <d v="2026-04-02T00:00:00"/>
    <n v="45"/>
    <n v="32770.31"/>
    <n v="0"/>
    <n v="32770.31"/>
    <m/>
    <s v="Overdue"/>
    <s v="ACH"/>
    <m/>
    <n v="-59"/>
    <s v="No"/>
    <s v="Yes"/>
    <n v="1.4999999999999999E-2"/>
    <s v="No"/>
    <n v="0"/>
  </r>
  <r>
    <s v="AP-0671"/>
    <s v="VND-019"/>
    <s v="SkyNet IT Solutions"/>
    <x v="1"/>
    <x v="0"/>
    <s v="Ana Torres"/>
    <d v="2025-03-10T00:00:00"/>
    <d v="2025-04-24T00:00:00"/>
    <n v="45"/>
    <n v="47482.12"/>
    <n v="47482.12"/>
    <n v="0"/>
    <d v="2025-04-23T00:00:00"/>
    <s v="Paid"/>
    <s v="Check"/>
    <n v="44"/>
    <n v="1"/>
    <s v="Yes"/>
    <s v="Yes"/>
    <n v="1.4999999999999999E-2"/>
    <s v="No"/>
    <n v="0"/>
  </r>
  <r>
    <s v="AP-0672"/>
    <s v="VND-010"/>
    <s v="DataBridge IT"/>
    <x v="1"/>
    <x v="3"/>
    <s v="Laura Chen"/>
    <d v="2025-07-24T00:00:00"/>
    <d v="2025-09-22T00:00:00"/>
    <n v="60"/>
    <n v="36073.57"/>
    <n v="36073.57"/>
    <n v="0"/>
    <d v="2025-09-24T00:00:00"/>
    <s v="Paid"/>
    <s v="Credit Card"/>
    <n v="62"/>
    <n v="-2"/>
    <s v="No"/>
    <s v="Yes"/>
    <n v="0.01"/>
    <s v="No"/>
    <n v="0"/>
  </r>
  <r>
    <s v="AP-0673"/>
    <s v="VND-022"/>
    <s v="Apex Consulting"/>
    <x v="4"/>
    <x v="3"/>
    <s v="Marco Diaz"/>
    <d v="2026-05-27T00:00:00"/>
    <d v="2026-06-26T00:00:00"/>
    <n v="30"/>
    <n v="10879.25"/>
    <n v="10879.25"/>
    <n v="0"/>
    <d v="2026-05-31T00:00:00"/>
    <s v="Paid"/>
    <s v="ACH"/>
    <n v="4"/>
    <n v="26"/>
    <s v="Yes"/>
    <s v="No"/>
    <n v="0"/>
    <s v="No"/>
    <n v="0"/>
  </r>
  <r>
    <s v="AP-0674"/>
    <s v="VND-020"/>
    <s v="TrustBuild Facilities"/>
    <x v="5"/>
    <x v="2"/>
    <s v="Ana Torres"/>
    <d v="2026-01-09T00:00:00"/>
    <d v="2026-02-08T00:00:00"/>
    <n v="30"/>
    <n v="17262.060000000001"/>
    <n v="17262.060000000001"/>
    <n v="0"/>
    <d v="2026-02-05T00:00:00"/>
    <s v="Paid"/>
    <s v="ACH"/>
    <n v="27"/>
    <n v="3"/>
    <s v="Yes"/>
    <s v="Yes"/>
    <n v="0.01"/>
    <s v="No"/>
    <n v="0"/>
  </r>
  <r>
    <s v="AP-0675"/>
    <s v="VND-025"/>
    <s v="RapidShip Co."/>
    <x v="0"/>
    <x v="4"/>
    <s v="Pedro Alvarez"/>
    <d v="2025-03-07T00:00:00"/>
    <d v="2025-05-06T00:00:00"/>
    <n v="60"/>
    <n v="13044.62"/>
    <n v="13044.62"/>
    <n v="0"/>
    <d v="2025-05-05T00:00:00"/>
    <s v="Paid"/>
    <s v="Credit Card"/>
    <n v="59"/>
    <n v="1"/>
    <s v="Yes"/>
    <s v="No"/>
    <n v="0"/>
    <s v="No"/>
    <n v="0"/>
  </r>
  <r>
    <s v="AP-0676"/>
    <s v="VND-022"/>
    <s v="Apex Consulting"/>
    <x v="4"/>
    <x v="3"/>
    <s v="Marco Diaz"/>
    <d v="2025-04-27T00:00:00"/>
    <d v="2025-05-27T00:00:00"/>
    <n v="30"/>
    <n v="8548.6"/>
    <n v="3891.92"/>
    <n v="4656.68"/>
    <d v="2025-06-06T00:00:00"/>
    <s v="Partial"/>
    <s v="Credit Card"/>
    <n v="40"/>
    <n v="-10"/>
    <s v="No"/>
    <s v="Yes"/>
    <n v="0.01"/>
    <s v="No"/>
    <n v="0"/>
  </r>
  <r>
    <s v="AP-0677"/>
    <s v="VND-018"/>
    <s v="BuildFast Materials"/>
    <x v="2"/>
    <x v="2"/>
    <s v="Pedro Alvarez"/>
    <d v="2025-06-13T00:00:00"/>
    <d v="2025-07-13T00:00:00"/>
    <n v="30"/>
    <n v="15090.17"/>
    <n v="6622.86"/>
    <n v="8467.31"/>
    <d v="2025-07-25T00:00:00"/>
    <s v="Partial"/>
    <s v="ACH"/>
    <n v="42"/>
    <n v="-12"/>
    <s v="No"/>
    <s v="Yes"/>
    <n v="0.01"/>
    <s v="No"/>
    <n v="0"/>
  </r>
  <r>
    <s v="AP-0678"/>
    <s v="VND-006"/>
    <s v="PowerGrid Utilities"/>
    <x v="3"/>
    <x v="0"/>
    <s v="Pedro Alvarez"/>
    <d v="2025-03-27T00:00:00"/>
    <d v="2025-04-11T00:00:00"/>
    <n v="15"/>
    <n v="5051.62"/>
    <n v="5051.62"/>
    <n v="0"/>
    <d v="2025-04-15T00:00:00"/>
    <s v="Paid"/>
    <s v="ACH"/>
    <n v="19"/>
    <n v="-4"/>
    <s v="No"/>
    <s v="Yes"/>
    <n v="0.02"/>
    <s v="No"/>
    <n v="0"/>
  </r>
  <r>
    <s v="AP-0679"/>
    <s v="VND-014"/>
    <s v="NetConnect Systems"/>
    <x v="1"/>
    <x v="4"/>
    <s v="Sofia Reyes"/>
    <d v="2025-08-30T00:00:00"/>
    <d v="2025-09-29T00:00:00"/>
    <n v="30"/>
    <n v="13394.93"/>
    <n v="0"/>
    <n v="13394.93"/>
    <m/>
    <s v="Overdue"/>
    <s v="Credit Card"/>
    <m/>
    <n v="-244"/>
    <s v="No"/>
    <s v="No"/>
    <n v="0"/>
    <s v="No"/>
    <n v="0"/>
  </r>
  <r>
    <s v="AP-0680"/>
    <s v="VND-017"/>
    <s v="OfficePro Services"/>
    <x v="4"/>
    <x v="3"/>
    <s v="Ana Torres"/>
    <d v="2025-04-03T00:00:00"/>
    <d v="2025-07-02T00:00:00"/>
    <n v="90"/>
    <n v="11808.84"/>
    <n v="5486.89"/>
    <n v="6321.95"/>
    <d v="2025-07-15T00:00:00"/>
    <s v="Partial"/>
    <s v="Check"/>
    <n v="103"/>
    <n v="-13"/>
    <s v="No"/>
    <s v="Yes"/>
    <n v="5.0000000000000001E-3"/>
    <s v="No"/>
    <n v="0"/>
  </r>
  <r>
    <s v="AP-0681"/>
    <s v="VND-024"/>
    <s v="EliteFacilities Corp."/>
    <x v="5"/>
    <x v="2"/>
    <s v="Marco Diaz"/>
    <d v="2025-05-28T00:00:00"/>
    <d v="2025-06-27T00:00:00"/>
    <n v="30"/>
    <n v="5524.86"/>
    <n v="5524.86"/>
    <n v="0"/>
    <d v="2025-06-14T00:00:00"/>
    <s v="Paid"/>
    <s v="Credit Card"/>
    <n v="17"/>
    <n v="13"/>
    <s v="Yes"/>
    <s v="Yes"/>
    <n v="0.01"/>
    <s v="No"/>
    <n v="0"/>
  </r>
  <r>
    <s v="AP-0682"/>
    <s v="VND-002"/>
    <s v="TechCore Solutions"/>
    <x v="1"/>
    <x v="2"/>
    <s v="Ana Torres"/>
    <d v="2025-11-21T00:00:00"/>
    <d v="2025-12-21T00:00:00"/>
    <n v="30"/>
    <n v="45930.879999999997"/>
    <n v="45930.879999999997"/>
    <n v="0"/>
    <d v="2025-12-29T00:00:00"/>
    <s v="Paid"/>
    <s v="Check"/>
    <n v="38"/>
    <n v="-8"/>
    <s v="No"/>
    <s v="Yes"/>
    <n v="0.01"/>
    <s v="No"/>
    <n v="0"/>
  </r>
  <r>
    <s v="AP-0683"/>
    <s v="VND-009"/>
    <s v="MetalWorks Ltd."/>
    <x v="2"/>
    <x v="1"/>
    <s v="Laura Chen"/>
    <d v="2025-11-12T00:00:00"/>
    <d v="2026-01-11T00:00:00"/>
    <n v="60"/>
    <n v="3011.56"/>
    <n v="3011.56"/>
    <n v="0"/>
    <d v="2026-01-17T00:00:00"/>
    <s v="Paid"/>
    <s v="Credit Card"/>
    <n v="66"/>
    <n v="-6"/>
    <s v="No"/>
    <s v="No"/>
    <n v="0"/>
    <s v="No"/>
    <n v="0"/>
  </r>
  <r>
    <s v="AP-0684"/>
    <s v="VND-002"/>
    <s v="TechCore Solutions"/>
    <x v="1"/>
    <x v="1"/>
    <s v="Laura Chen"/>
    <d v="2026-01-07T00:00:00"/>
    <d v="2026-02-21T00:00:00"/>
    <n v="45"/>
    <n v="72736.78"/>
    <n v="72736.78"/>
    <n v="0"/>
    <d v="2026-02-12T00:00:00"/>
    <s v="Paid"/>
    <s v="Credit Card"/>
    <n v="36"/>
    <n v="9"/>
    <s v="Yes"/>
    <s v="Yes"/>
    <n v="1.4999999999999999E-2"/>
    <s v="No"/>
    <n v="0"/>
  </r>
  <r>
    <s v="AP-0685"/>
    <s v="VND-008"/>
    <s v="GreenEnergy Corp."/>
    <x v="3"/>
    <x v="2"/>
    <s v="Pedro Alvarez"/>
    <d v="2025-09-19T00:00:00"/>
    <d v="2025-11-18T00:00:00"/>
    <n v="60"/>
    <n v="4862.88"/>
    <n v="4862.88"/>
    <n v="0"/>
    <d v="2025-11-14T00:00:00"/>
    <s v="Paid"/>
    <s v="ACH"/>
    <n v="56"/>
    <n v="4"/>
    <s v="Yes"/>
    <s v="No"/>
    <n v="0"/>
    <s v="No"/>
    <n v="0"/>
  </r>
  <r>
    <s v="AP-0686"/>
    <s v="VND-006"/>
    <s v="PowerGrid Utilities"/>
    <x v="3"/>
    <x v="2"/>
    <s v="Laura Chen"/>
    <d v="2025-10-08T00:00:00"/>
    <d v="2025-10-23T00:00:00"/>
    <n v="15"/>
    <n v="13063.45"/>
    <n v="0"/>
    <n v="13063.45"/>
    <m/>
    <s v="Overdue"/>
    <s v="Credit Card"/>
    <m/>
    <n v="-220"/>
    <s v="No"/>
    <s v="No"/>
    <n v="0"/>
    <s v="No"/>
    <n v="0"/>
  </r>
  <r>
    <s v="AP-0687"/>
    <s v="VND-016"/>
    <s v="CleanWater Utilities"/>
    <x v="3"/>
    <x v="2"/>
    <s v="Laura Chen"/>
    <d v="2025-06-14T00:00:00"/>
    <d v="2025-07-14T00:00:00"/>
    <n v="30"/>
    <n v="10627.99"/>
    <n v="10627.99"/>
    <n v="0"/>
    <d v="2025-07-29T00:00:00"/>
    <s v="Paid"/>
    <s v="Credit Card"/>
    <n v="45"/>
    <n v="-15"/>
    <s v="No"/>
    <s v="Yes"/>
    <n v="0.01"/>
    <s v="No"/>
    <n v="0"/>
  </r>
  <r>
    <s v="AP-0688"/>
    <s v="VND-020"/>
    <s v="TrustBuild Facilities"/>
    <x v="5"/>
    <x v="3"/>
    <s v="Laura Chen"/>
    <d v="2025-02-23T00:00:00"/>
    <d v="2025-03-10T00:00:00"/>
    <n v="15"/>
    <n v="23165.3"/>
    <n v="23165.3"/>
    <n v="0"/>
    <d v="2025-03-10T00:00:00"/>
    <s v="Paid"/>
    <s v="Credit Card"/>
    <n v="15"/>
    <n v="0"/>
    <s v="Yes"/>
    <s v="Yes"/>
    <n v="0.02"/>
    <s v="No"/>
    <n v="0"/>
  </r>
  <r>
    <s v="AP-0689"/>
    <s v="VND-007"/>
    <s v="ProStaff Services"/>
    <x v="4"/>
    <x v="4"/>
    <s v="Laura Chen"/>
    <d v="2025-06-11T00:00:00"/>
    <d v="2025-07-11T00:00:00"/>
    <n v="30"/>
    <n v="12235.33"/>
    <n v="12235.33"/>
    <n v="0"/>
    <d v="2025-07-11T00:00:00"/>
    <s v="Paid"/>
    <s v="ACH"/>
    <n v="30"/>
    <n v="0"/>
    <s v="Yes"/>
    <s v="No"/>
    <n v="0"/>
    <s v="No"/>
    <n v="0"/>
  </r>
  <r>
    <s v="AP-0690"/>
    <s v="VND-021"/>
    <s v="PrimePack Logistics"/>
    <x v="0"/>
    <x v="1"/>
    <s v="Ana Torres"/>
    <d v="2026-04-08T00:00:00"/>
    <d v="2026-06-07T00:00:00"/>
    <n v="60"/>
    <n v="10088.94"/>
    <n v="10088.94"/>
    <n v="0"/>
    <d v="2026-05-31T00:00:00"/>
    <s v="Paid"/>
    <s v="Credit Card"/>
    <n v="53"/>
    <n v="7"/>
    <s v="Yes"/>
    <s v="No"/>
    <n v="0"/>
    <s v="No"/>
    <n v="0"/>
  </r>
  <r>
    <s v="AP-0691"/>
    <s v="VND-007"/>
    <s v="ProStaff Services"/>
    <x v="4"/>
    <x v="0"/>
    <s v="Pedro Alvarez"/>
    <d v="2026-02-07T00:00:00"/>
    <d v="2026-03-09T00:00:00"/>
    <n v="30"/>
    <n v="35426.43"/>
    <n v="14604.32"/>
    <n v="20822.11"/>
    <d v="2026-03-04T00:00:00"/>
    <s v="Partial"/>
    <s v="Check"/>
    <n v="25"/>
    <n v="5"/>
    <s v="Yes"/>
    <s v="No"/>
    <n v="0"/>
    <s v="No"/>
    <n v="0"/>
  </r>
  <r>
    <s v="AP-0692"/>
    <s v="VND-018"/>
    <s v="BuildFast Materials"/>
    <x v="2"/>
    <x v="3"/>
    <s v="Marco Diaz"/>
    <d v="2025-07-23T00:00:00"/>
    <d v="2025-10-21T00:00:00"/>
    <n v="90"/>
    <n v="14565.59"/>
    <n v="14565.59"/>
    <n v="0"/>
    <d v="2025-10-09T00:00:00"/>
    <s v="Paid"/>
    <s v="ACH"/>
    <n v="78"/>
    <n v="12"/>
    <s v="Yes"/>
    <s v="No"/>
    <n v="0"/>
    <s v="No"/>
    <n v="0"/>
  </r>
  <r>
    <s v="AP-0693"/>
    <s v="VND-020"/>
    <s v="TrustBuild Facilities"/>
    <x v="5"/>
    <x v="2"/>
    <s v="Ana Torres"/>
    <d v="2025-04-02T00:00:00"/>
    <d v="2025-05-02T00:00:00"/>
    <n v="30"/>
    <n v="33615.08"/>
    <n v="33615.08"/>
    <n v="0"/>
    <d v="2025-05-11T00:00:00"/>
    <s v="Paid"/>
    <s v="Check"/>
    <n v="39"/>
    <n v="-9"/>
    <s v="No"/>
    <s v="Yes"/>
    <n v="0.01"/>
    <s v="No"/>
    <n v="0"/>
  </r>
  <r>
    <s v="AP-0694"/>
    <s v="VND-025"/>
    <s v="RapidShip Co."/>
    <x v="0"/>
    <x v="2"/>
    <s v="Pedro Alvarez"/>
    <d v="2025-07-28T00:00:00"/>
    <d v="2025-08-27T00:00:00"/>
    <n v="30"/>
    <n v="4620.34"/>
    <n v="2051.34"/>
    <n v="2569"/>
    <d v="2025-09-06T00:00:00"/>
    <s v="Partial"/>
    <s v="ACH"/>
    <n v="40"/>
    <n v="-10"/>
    <s v="No"/>
    <s v="No"/>
    <n v="0"/>
    <s v="No"/>
    <n v="0"/>
  </r>
  <r>
    <s v="AP-0695"/>
    <s v="VND-013"/>
    <s v="SafetyFirst Supplies"/>
    <x v="2"/>
    <x v="1"/>
    <s v="Pedro Alvarez"/>
    <d v="2025-10-17T00:00:00"/>
    <d v="2025-11-16T00:00:00"/>
    <n v="30"/>
    <n v="36881.99"/>
    <n v="36881.99"/>
    <n v="0"/>
    <d v="2025-11-16T00:00:00"/>
    <s v="Paid"/>
    <s v="Wire"/>
    <n v="30"/>
    <n v="0"/>
    <s v="Yes"/>
    <s v="Yes"/>
    <n v="0.01"/>
    <s v="No"/>
    <n v="0"/>
  </r>
  <r>
    <s v="AP-0696"/>
    <s v="VND-005"/>
    <s v="CloudSys Inc."/>
    <x v="1"/>
    <x v="0"/>
    <s v="Laura Chen"/>
    <d v="2026-04-07T00:00:00"/>
    <d v="2026-05-07T00:00:00"/>
    <n v="30"/>
    <n v="73049.62"/>
    <n v="73049.62"/>
    <n v="0"/>
    <d v="2026-05-11T00:00:00"/>
    <s v="Paid"/>
    <s v="Check"/>
    <n v="34"/>
    <n v="-4"/>
    <s v="No"/>
    <s v="Yes"/>
    <n v="0.01"/>
    <s v="No"/>
    <n v="0"/>
  </r>
  <r>
    <s v="AP-0697"/>
    <s v="VND-011"/>
    <s v="QuickFreight Inc."/>
    <x v="0"/>
    <x v="2"/>
    <s v="Marco Diaz"/>
    <d v="2025-09-20T00:00:00"/>
    <d v="2025-11-19T00:00:00"/>
    <n v="60"/>
    <n v="2388.06"/>
    <n v="2388.06"/>
    <n v="0"/>
    <d v="2025-11-19T00:00:00"/>
    <s v="Paid"/>
    <s v="Credit Card"/>
    <n v="60"/>
    <n v="0"/>
    <s v="Yes"/>
    <s v="Yes"/>
    <n v="0.01"/>
    <s v="No"/>
    <n v="0"/>
  </r>
  <r>
    <s v="AP-0698"/>
    <s v="VND-008"/>
    <s v="GreenEnergy Corp."/>
    <x v="3"/>
    <x v="2"/>
    <s v="Laura Chen"/>
    <d v="2025-09-17T00:00:00"/>
    <d v="2025-10-02T00:00:00"/>
    <n v="15"/>
    <n v="7815.86"/>
    <n v="0"/>
    <n v="7815.86"/>
    <m/>
    <s v="Overdue"/>
    <s v="ACH"/>
    <m/>
    <n v="-241"/>
    <s v="No"/>
    <s v="Yes"/>
    <n v="0.02"/>
    <s v="No"/>
    <n v="0"/>
  </r>
  <r>
    <s v="AP-0699"/>
    <s v="VND-022"/>
    <s v="Apex Consulting"/>
    <x v="4"/>
    <x v="4"/>
    <s v="Marco Diaz"/>
    <d v="2025-09-24T00:00:00"/>
    <d v="2025-10-24T00:00:00"/>
    <n v="30"/>
    <n v="9285.06"/>
    <n v="9285.06"/>
    <n v="0"/>
    <d v="2025-10-21T00:00:00"/>
    <s v="Paid"/>
    <s v="ACH"/>
    <n v="27"/>
    <n v="3"/>
    <s v="Yes"/>
    <s v="Yes"/>
    <n v="0.01"/>
    <s v="No"/>
    <n v="0"/>
  </r>
  <r>
    <s v="AP-0700"/>
    <s v="VND-023"/>
    <s v="CoolTech Systems"/>
    <x v="1"/>
    <x v="3"/>
    <s v="Pedro Alvarez"/>
    <d v="2025-04-30T00:00:00"/>
    <d v="2025-06-14T00:00:00"/>
    <n v="45"/>
    <n v="28495.22"/>
    <n v="28495.22"/>
    <n v="0"/>
    <d v="2025-06-14T00:00:00"/>
    <s v="Paid"/>
    <s v="Wire"/>
    <n v="45"/>
    <n v="0"/>
    <s v="Yes"/>
    <s v="No"/>
    <n v="0"/>
    <s v="No"/>
    <n v="0"/>
  </r>
  <r>
    <s v="AP-0701"/>
    <s v="VND-009"/>
    <s v="MetalWorks Ltd."/>
    <x v="2"/>
    <x v="4"/>
    <s v="Pedro Alvarez"/>
    <d v="2025-09-28T00:00:00"/>
    <d v="2025-11-12T00:00:00"/>
    <n v="45"/>
    <n v="26814.69"/>
    <n v="26814.69"/>
    <n v="0"/>
    <d v="2025-11-12T00:00:00"/>
    <s v="Paid"/>
    <s v="Check"/>
    <n v="45"/>
    <n v="0"/>
    <s v="Yes"/>
    <s v="Yes"/>
    <n v="1.4999999999999999E-2"/>
    <s v="No"/>
    <n v="0"/>
  </r>
  <r>
    <s v="AP-0702"/>
    <s v="VND-005"/>
    <s v="CloudSys Inc."/>
    <x v="1"/>
    <x v="3"/>
    <s v="Pedro Alvarez"/>
    <d v="2025-06-02T00:00:00"/>
    <d v="2025-07-02T00:00:00"/>
    <n v="30"/>
    <n v="9092.5400000000009"/>
    <n v="9092.5400000000009"/>
    <n v="0"/>
    <d v="2025-06-23T00:00:00"/>
    <s v="Paid"/>
    <s v="ACH"/>
    <n v="21"/>
    <n v="9"/>
    <s v="Yes"/>
    <s v="Yes"/>
    <n v="0.01"/>
    <s v="No"/>
    <n v="0"/>
  </r>
  <r>
    <s v="AP-0703"/>
    <s v="VND-006"/>
    <s v="PowerGrid Utilities"/>
    <x v="3"/>
    <x v="2"/>
    <s v="Pedro Alvarez"/>
    <d v="2025-02-11T00:00:00"/>
    <d v="2025-05-12T00:00:00"/>
    <n v="90"/>
    <n v="6902.04"/>
    <n v="6902.04"/>
    <n v="0"/>
    <d v="2025-05-09T00:00:00"/>
    <s v="Paid"/>
    <s v="ACH"/>
    <n v="87"/>
    <n v="3"/>
    <s v="Yes"/>
    <s v="No"/>
    <n v="0"/>
    <s v="No"/>
    <n v="0"/>
  </r>
  <r>
    <s v="AP-0704"/>
    <s v="VND-024"/>
    <s v="EliteFacilities Corp."/>
    <x v="5"/>
    <x v="1"/>
    <s v="Sofia Reyes"/>
    <d v="2025-07-28T00:00:00"/>
    <d v="2025-08-27T00:00:00"/>
    <n v="30"/>
    <n v="30649.71"/>
    <n v="30649.71"/>
    <n v="0"/>
    <d v="2025-08-28T00:00:00"/>
    <s v="Paid"/>
    <s v="Check"/>
    <n v="31"/>
    <n v="-1"/>
    <s v="No"/>
    <s v="Yes"/>
    <n v="0.01"/>
    <s v="No"/>
    <n v="0"/>
  </r>
  <r>
    <s v="AP-0705"/>
    <s v="VND-017"/>
    <s v="OfficePro Services"/>
    <x v="4"/>
    <x v="4"/>
    <s v="Ana Torres"/>
    <d v="2025-07-04T00:00:00"/>
    <d v="2025-07-19T00:00:00"/>
    <n v="15"/>
    <n v="18407.5"/>
    <n v="18407.5"/>
    <n v="0"/>
    <d v="2025-07-12T00:00:00"/>
    <s v="Paid"/>
    <s v="Wire"/>
    <n v="8"/>
    <n v="7"/>
    <s v="Yes"/>
    <s v="Yes"/>
    <n v="0.02"/>
    <s v="No"/>
    <n v="0"/>
  </r>
  <r>
    <s v="AP-0706"/>
    <s v="VND-001"/>
    <s v="Acme Supplies Co."/>
    <x v="2"/>
    <x v="4"/>
    <s v="Sofia Reyes"/>
    <d v="2025-04-19T00:00:00"/>
    <d v="2025-06-18T00:00:00"/>
    <n v="60"/>
    <n v="42174.91"/>
    <n v="42174.91"/>
    <n v="0"/>
    <d v="2025-06-04T00:00:00"/>
    <s v="Paid"/>
    <s v="Credit Card"/>
    <n v="46"/>
    <n v="14"/>
    <s v="Yes"/>
    <s v="Yes"/>
    <n v="0.01"/>
    <s v="No"/>
    <n v="0"/>
  </r>
  <r>
    <s v="AP-0707"/>
    <s v="VND-023"/>
    <s v="CoolTech Systems"/>
    <x v="1"/>
    <x v="2"/>
    <s v="Pedro Alvarez"/>
    <d v="2025-12-04T00:00:00"/>
    <d v="2025-12-19T00:00:00"/>
    <n v="15"/>
    <n v="77732.789999999994"/>
    <n v="0"/>
    <n v="77732.789999999994"/>
    <m/>
    <s v="Overdue"/>
    <s v="Check"/>
    <m/>
    <n v="-163"/>
    <s v="No"/>
    <s v="Yes"/>
    <n v="0.02"/>
    <s v="No"/>
    <n v="0"/>
  </r>
  <r>
    <s v="AP-0708"/>
    <s v="VND-011"/>
    <s v="QuickFreight Inc."/>
    <x v="0"/>
    <x v="3"/>
    <s v="Marco Diaz"/>
    <d v="2025-10-17T00:00:00"/>
    <d v="2025-11-01T00:00:00"/>
    <n v="15"/>
    <n v="7140.25"/>
    <n v="7140.25"/>
    <n v="0"/>
    <d v="2025-11-08T00:00:00"/>
    <s v="Paid"/>
    <s v="Wire"/>
    <n v="22"/>
    <n v="-7"/>
    <s v="No"/>
    <s v="Yes"/>
    <n v="0.02"/>
    <s v="No"/>
    <n v="0"/>
  </r>
  <r>
    <s v="AP-0709"/>
    <s v="VND-013"/>
    <s v="SafetyFirst Supplies"/>
    <x v="2"/>
    <x v="4"/>
    <s v="Marco Diaz"/>
    <d v="2025-04-02T00:00:00"/>
    <d v="2025-06-01T00:00:00"/>
    <n v="60"/>
    <n v="2984.58"/>
    <n v="2984.58"/>
    <n v="0"/>
    <d v="2025-05-30T00:00:00"/>
    <s v="Paid"/>
    <s v="Wire"/>
    <n v="58"/>
    <n v="2"/>
    <s v="Yes"/>
    <s v="Yes"/>
    <n v="0.01"/>
    <s v="No"/>
    <n v="0"/>
  </r>
  <r>
    <s v="AP-0710"/>
    <s v="VND-013"/>
    <s v="SafetyFirst Supplies"/>
    <x v="2"/>
    <x v="4"/>
    <s v="Marco Diaz"/>
    <d v="2026-05-18T00:00:00"/>
    <d v="2026-07-02T00:00:00"/>
    <n v="45"/>
    <n v="40452.82"/>
    <n v="0"/>
    <n v="40452.82"/>
    <m/>
    <s v="Overdue"/>
    <s v="ACH"/>
    <m/>
    <n v="32"/>
    <s v="No"/>
    <s v="No"/>
    <n v="0"/>
    <s v="No"/>
    <n v="0"/>
  </r>
  <r>
    <s v="AP-0711"/>
    <s v="VND-020"/>
    <s v="TrustBuild Facilities"/>
    <x v="5"/>
    <x v="1"/>
    <s v="Laura Chen"/>
    <d v="2025-07-24T00:00:00"/>
    <d v="2025-09-22T00:00:00"/>
    <n v="60"/>
    <n v="18157.560000000001"/>
    <n v="18157.560000000001"/>
    <n v="0"/>
    <d v="2025-09-15T00:00:00"/>
    <s v="Paid"/>
    <s v="ACH"/>
    <n v="53"/>
    <n v="7"/>
    <s v="Yes"/>
    <s v="No"/>
    <n v="0"/>
    <s v="No"/>
    <n v="0"/>
  </r>
  <r>
    <s v="AP-0712"/>
    <s v="VND-025"/>
    <s v="RapidShip Co."/>
    <x v="0"/>
    <x v="2"/>
    <s v="Laura Chen"/>
    <d v="2026-03-13T00:00:00"/>
    <d v="2026-05-12T00:00:00"/>
    <n v="60"/>
    <n v="2766"/>
    <n v="0"/>
    <n v="2766"/>
    <m/>
    <s v="Overdue"/>
    <s v="Wire"/>
    <m/>
    <n v="-19"/>
    <s v="No"/>
    <s v="Yes"/>
    <n v="0.01"/>
    <s v="No"/>
    <n v="0"/>
  </r>
  <r>
    <s v="AP-0713"/>
    <s v="VND-021"/>
    <s v="PrimePack Logistics"/>
    <x v="0"/>
    <x v="1"/>
    <s v="Pedro Alvarez"/>
    <d v="2026-04-25T00:00:00"/>
    <d v="2026-06-09T00:00:00"/>
    <n v="45"/>
    <n v="9309.75"/>
    <n v="0"/>
    <n v="9309.75"/>
    <m/>
    <s v="Pending"/>
    <s v="ACH"/>
    <m/>
    <m/>
    <m/>
    <s v="No"/>
    <n v="0"/>
    <s v="No"/>
    <n v="0"/>
  </r>
  <r>
    <s v="AP-0714"/>
    <s v="VND-005"/>
    <s v="CloudSys Inc."/>
    <x v="1"/>
    <x v="4"/>
    <s v="Marco Diaz"/>
    <d v="2025-02-18T00:00:00"/>
    <d v="2025-04-04T00:00:00"/>
    <n v="45"/>
    <n v="46324.57"/>
    <n v="46324.57"/>
    <n v="0"/>
    <d v="2025-04-01T00:00:00"/>
    <s v="Paid"/>
    <s v="Credit Card"/>
    <n v="42"/>
    <n v="3"/>
    <s v="Yes"/>
    <s v="No"/>
    <n v="0"/>
    <s v="No"/>
    <n v="0"/>
  </r>
  <r>
    <s v="AP-0715"/>
    <s v="VND-017"/>
    <s v="OfficePro Services"/>
    <x v="4"/>
    <x v="2"/>
    <s v="Pedro Alvarez"/>
    <d v="2025-09-17T00:00:00"/>
    <d v="2025-12-16T00:00:00"/>
    <n v="90"/>
    <n v="16151.93"/>
    <n v="16151.93"/>
    <n v="0"/>
    <d v="2025-12-29T00:00:00"/>
    <s v="Paid"/>
    <s v="ACH"/>
    <n v="103"/>
    <n v="-13"/>
    <s v="No"/>
    <s v="Yes"/>
    <n v="5.0000000000000001E-3"/>
    <s v="No"/>
    <n v="0"/>
  </r>
  <r>
    <s v="AP-0716"/>
    <s v="VND-015"/>
    <s v="ExpressRoute Logistics"/>
    <x v="0"/>
    <x v="1"/>
    <s v="Marco Diaz"/>
    <d v="2025-03-27T00:00:00"/>
    <d v="2025-04-11T00:00:00"/>
    <n v="15"/>
    <n v="8908.7800000000007"/>
    <n v="8908.7800000000007"/>
    <n v="0"/>
    <d v="2025-04-12T00:00:00"/>
    <s v="Paid"/>
    <s v="Credit Card"/>
    <n v="16"/>
    <n v="-1"/>
    <s v="No"/>
    <s v="No"/>
    <n v="0"/>
    <s v="No"/>
    <n v="0"/>
  </r>
  <r>
    <s v="AP-0717"/>
    <s v="VND-024"/>
    <s v="EliteFacilities Corp."/>
    <x v="5"/>
    <x v="2"/>
    <s v="Pedro Alvarez"/>
    <d v="2025-07-11T00:00:00"/>
    <d v="2025-09-09T00:00:00"/>
    <n v="60"/>
    <n v="8965.26"/>
    <n v="0"/>
    <n v="8965.26"/>
    <m/>
    <s v="Overdue"/>
    <s v="Check"/>
    <m/>
    <n v="-264"/>
    <s v="No"/>
    <s v="Yes"/>
    <n v="0.01"/>
    <s v="No"/>
    <n v="0"/>
  </r>
  <r>
    <s v="AP-0718"/>
    <s v="VND-009"/>
    <s v="MetalWorks Ltd."/>
    <x v="2"/>
    <x v="0"/>
    <s v="Pedro Alvarez"/>
    <d v="2026-02-09T00:00:00"/>
    <d v="2026-02-24T00:00:00"/>
    <n v="15"/>
    <n v="7600.56"/>
    <n v="7600.56"/>
    <n v="0"/>
    <d v="2026-02-19T00:00:00"/>
    <s v="Paid"/>
    <s v="ACH"/>
    <n v="10"/>
    <n v="5"/>
    <s v="Yes"/>
    <s v="Yes"/>
    <n v="0.02"/>
    <s v="No"/>
    <n v="0"/>
  </r>
  <r>
    <s v="AP-0719"/>
    <s v="VND-024"/>
    <s v="EliteFacilities Corp."/>
    <x v="5"/>
    <x v="3"/>
    <s v="Pedro Alvarez"/>
    <d v="2026-02-09T00:00:00"/>
    <d v="2026-04-10T00:00:00"/>
    <n v="60"/>
    <n v="28553.14"/>
    <n v="0"/>
    <n v="28553.14"/>
    <m/>
    <s v="Pending"/>
    <s v="Check"/>
    <m/>
    <m/>
    <m/>
    <s v="Yes"/>
    <n v="0.01"/>
    <s v="No"/>
    <n v="0"/>
  </r>
  <r>
    <s v="AP-0720"/>
    <s v="VND-001"/>
    <s v="Acme Supplies Co."/>
    <x v="2"/>
    <x v="1"/>
    <s v="Sofia Reyes"/>
    <d v="2025-05-29T00:00:00"/>
    <d v="2025-08-27T00:00:00"/>
    <n v="90"/>
    <n v="33187.51"/>
    <n v="33187.51"/>
    <n v="0"/>
    <d v="2025-08-12T00:00:00"/>
    <s v="Paid"/>
    <s v="Wire"/>
    <n v="75"/>
    <n v="15"/>
    <s v="Yes"/>
    <s v="Yes"/>
    <n v="5.0000000000000001E-3"/>
    <s v="No"/>
    <n v="0"/>
  </r>
  <r>
    <s v="AP-0721"/>
    <s v="VND-018"/>
    <s v="BuildFast Materials"/>
    <x v="2"/>
    <x v="1"/>
    <s v="Sofia Reyes"/>
    <d v="2025-06-01T00:00:00"/>
    <d v="2025-08-30T00:00:00"/>
    <n v="90"/>
    <n v="24751.48"/>
    <n v="24751.48"/>
    <n v="0"/>
    <d v="2025-09-06T00:00:00"/>
    <s v="Paid"/>
    <s v="Check"/>
    <n v="97"/>
    <n v="-7"/>
    <s v="No"/>
    <s v="Yes"/>
    <n v="5.0000000000000001E-3"/>
    <s v="No"/>
    <n v="0"/>
  </r>
  <r>
    <s v="AP-0722"/>
    <s v="VND-016"/>
    <s v="CleanWater Utilities"/>
    <x v="3"/>
    <x v="2"/>
    <s v="Sofia Reyes"/>
    <d v="2025-07-26T00:00:00"/>
    <d v="2025-08-25T00:00:00"/>
    <n v="30"/>
    <n v="4775.0600000000004"/>
    <n v="4775.0600000000004"/>
    <n v="0"/>
    <d v="2025-09-04T00:00:00"/>
    <s v="Paid"/>
    <s v="Credit Card"/>
    <n v="40"/>
    <n v="-10"/>
    <s v="No"/>
    <s v="No"/>
    <n v="0"/>
    <s v="No"/>
    <n v="0"/>
  </r>
  <r>
    <s v="AP-0723"/>
    <s v="VND-011"/>
    <s v="QuickFreight Inc."/>
    <x v="0"/>
    <x v="0"/>
    <s v="Sofia Reyes"/>
    <d v="2026-05-23T00:00:00"/>
    <d v="2026-07-22T00:00:00"/>
    <n v="60"/>
    <n v="15004.49"/>
    <n v="0"/>
    <n v="15004.49"/>
    <m/>
    <s v="Pending"/>
    <s v="Credit Card"/>
    <m/>
    <m/>
    <m/>
    <s v="Yes"/>
    <n v="0.01"/>
    <s v="No"/>
    <n v="0"/>
  </r>
  <r>
    <s v="AP-0724"/>
    <s v="VND-016"/>
    <s v="CleanWater Utilities"/>
    <x v="3"/>
    <x v="2"/>
    <s v="Pedro Alvarez"/>
    <d v="2025-03-04T00:00:00"/>
    <d v="2025-04-03T00:00:00"/>
    <n v="30"/>
    <n v="8160.48"/>
    <n v="8160.48"/>
    <n v="0"/>
    <d v="2025-04-18T00:00:00"/>
    <s v="Paid"/>
    <s v="Credit Card"/>
    <n v="45"/>
    <n v="-15"/>
    <s v="No"/>
    <s v="Yes"/>
    <n v="0.01"/>
    <s v="No"/>
    <n v="0"/>
  </r>
  <r>
    <s v="AP-0725"/>
    <s v="VND-014"/>
    <s v="NetConnect Systems"/>
    <x v="1"/>
    <x v="2"/>
    <s v="Sofia Reyes"/>
    <d v="2026-04-05T00:00:00"/>
    <d v="2026-06-04T00:00:00"/>
    <n v="60"/>
    <n v="57313.58"/>
    <n v="0"/>
    <n v="57313.58"/>
    <m/>
    <s v="Pending"/>
    <s v="Credit Card"/>
    <m/>
    <m/>
    <m/>
    <s v="Yes"/>
    <n v="0.01"/>
    <s v="No"/>
    <n v="0"/>
  </r>
  <r>
    <s v="AP-0726"/>
    <s v="VND-012"/>
    <s v="FacilityPro Services"/>
    <x v="5"/>
    <x v="2"/>
    <s v="Marco Diaz"/>
    <d v="2026-04-25T00:00:00"/>
    <d v="2026-06-24T00:00:00"/>
    <n v="60"/>
    <n v="6328.23"/>
    <n v="6328.23"/>
    <n v="0"/>
    <d v="2026-05-31T00:00:00"/>
    <s v="Paid"/>
    <s v="Wire"/>
    <n v="36"/>
    <n v="24"/>
    <s v="Yes"/>
    <s v="Yes"/>
    <n v="0.01"/>
    <s v="No"/>
    <n v="0"/>
  </r>
  <r>
    <s v="AP-0727"/>
    <s v="VND-022"/>
    <s v="Apex Consulting"/>
    <x v="4"/>
    <x v="4"/>
    <s v="Pedro Alvarez"/>
    <d v="2025-10-17T00:00:00"/>
    <d v="2025-11-16T00:00:00"/>
    <n v="30"/>
    <n v="28555.81"/>
    <n v="28555.81"/>
    <n v="0"/>
    <d v="2025-11-18T00:00:00"/>
    <s v="Paid"/>
    <s v="Wire"/>
    <n v="32"/>
    <n v="-2"/>
    <s v="No"/>
    <s v="Yes"/>
    <n v="0.01"/>
    <s v="No"/>
    <n v="0"/>
  </r>
  <r>
    <s v="AP-0728"/>
    <s v="VND-016"/>
    <s v="CleanWater Utilities"/>
    <x v="3"/>
    <x v="0"/>
    <s v="Pedro Alvarez"/>
    <d v="2025-08-29T00:00:00"/>
    <d v="2025-10-13T00:00:00"/>
    <n v="45"/>
    <n v="3536.78"/>
    <n v="3536.78"/>
    <n v="0"/>
    <d v="2025-10-17T00:00:00"/>
    <s v="Paid"/>
    <s v="Credit Card"/>
    <n v="49"/>
    <n v="-4"/>
    <s v="No"/>
    <s v="Yes"/>
    <n v="1.4999999999999999E-2"/>
    <s v="No"/>
    <n v="0"/>
  </r>
  <r>
    <s v="AP-0729"/>
    <s v="VND-009"/>
    <s v="MetalWorks Ltd."/>
    <x v="2"/>
    <x v="4"/>
    <s v="Marco Diaz"/>
    <d v="2025-03-07T00:00:00"/>
    <d v="2025-03-22T00:00:00"/>
    <n v="15"/>
    <n v="18211.27"/>
    <n v="18211.27"/>
    <n v="0"/>
    <d v="2025-03-14T00:00:00"/>
    <s v="Paid"/>
    <s v="Wire"/>
    <n v="7"/>
    <n v="8"/>
    <s v="Yes"/>
    <s v="Yes"/>
    <n v="0.02"/>
    <s v="No"/>
    <n v="0"/>
  </r>
  <r>
    <s v="AP-0730"/>
    <s v="VND-011"/>
    <s v="QuickFreight Inc."/>
    <x v="0"/>
    <x v="4"/>
    <s v="Sofia Reyes"/>
    <d v="2025-04-17T00:00:00"/>
    <d v="2025-05-17T00:00:00"/>
    <n v="30"/>
    <n v="14421.69"/>
    <n v="14421.69"/>
    <n v="0"/>
    <d v="2025-05-14T00:00:00"/>
    <s v="Paid"/>
    <s v="Check"/>
    <n v="27"/>
    <n v="3"/>
    <s v="Yes"/>
    <s v="No"/>
    <n v="0"/>
    <s v="No"/>
    <n v="0"/>
  </r>
  <r>
    <s v="AP-0731"/>
    <s v="VND-015"/>
    <s v="ExpressRoute Logistics"/>
    <x v="0"/>
    <x v="0"/>
    <s v="Sofia Reyes"/>
    <d v="2025-04-18T00:00:00"/>
    <d v="2025-05-03T00:00:00"/>
    <n v="15"/>
    <n v="4173.88"/>
    <n v="4173.88"/>
    <n v="0"/>
    <d v="2025-04-25T00:00:00"/>
    <s v="Paid"/>
    <s v="ACH"/>
    <n v="7"/>
    <n v="8"/>
    <s v="Yes"/>
    <s v="Yes"/>
    <n v="0.02"/>
    <s v="No"/>
    <n v="0"/>
  </r>
  <r>
    <s v="AP-0732"/>
    <s v="VND-023"/>
    <s v="CoolTech Systems"/>
    <x v="1"/>
    <x v="2"/>
    <s v="Ana Torres"/>
    <d v="2025-06-07T00:00:00"/>
    <d v="2025-07-07T00:00:00"/>
    <n v="30"/>
    <n v="53531.97"/>
    <n v="53531.97"/>
    <n v="0"/>
    <d v="2025-07-16T00:00:00"/>
    <s v="Paid"/>
    <s v="Credit Card"/>
    <n v="39"/>
    <n v="-9"/>
    <s v="No"/>
    <s v="Yes"/>
    <n v="0.01"/>
    <s v="No"/>
    <n v="0"/>
  </r>
  <r>
    <s v="AP-0733"/>
    <s v="VND-007"/>
    <s v="ProStaff Services"/>
    <x v="4"/>
    <x v="2"/>
    <s v="Pedro Alvarez"/>
    <d v="2026-05-01T00:00:00"/>
    <d v="2026-05-31T00:00:00"/>
    <n v="30"/>
    <n v="15628.84"/>
    <n v="0"/>
    <n v="15628.84"/>
    <m/>
    <s v="Pending"/>
    <s v="ACH"/>
    <m/>
    <m/>
    <m/>
    <s v="Yes"/>
    <n v="0.01"/>
    <s v="No"/>
    <n v="0"/>
  </r>
  <r>
    <s v="AP-0734"/>
    <s v="VND-025"/>
    <s v="RapidShip Co."/>
    <x v="0"/>
    <x v="2"/>
    <s v="Laura Chen"/>
    <d v="2026-03-08T00:00:00"/>
    <d v="2026-04-07T00:00:00"/>
    <n v="30"/>
    <n v="15957.1"/>
    <n v="15957.1"/>
    <n v="0"/>
    <d v="2026-04-22T00:00:00"/>
    <s v="Paid"/>
    <s v="Wire"/>
    <n v="45"/>
    <n v="-15"/>
    <s v="No"/>
    <s v="Yes"/>
    <n v="0.01"/>
    <s v="No"/>
    <n v="0"/>
  </r>
  <r>
    <s v="AP-0735"/>
    <s v="VND-017"/>
    <s v="OfficePro Services"/>
    <x v="4"/>
    <x v="4"/>
    <s v="Sofia Reyes"/>
    <d v="2025-01-11T00:00:00"/>
    <d v="2025-02-10T00:00:00"/>
    <n v="30"/>
    <n v="29552.15"/>
    <n v="29552.15"/>
    <n v="0"/>
    <d v="2025-01-30T00:00:00"/>
    <s v="Paid"/>
    <s v="Credit Card"/>
    <n v="19"/>
    <n v="11"/>
    <s v="Yes"/>
    <s v="Yes"/>
    <n v="0.01"/>
    <s v="No"/>
    <n v="0"/>
  </r>
  <r>
    <s v="AP-0736"/>
    <s v="VND-011"/>
    <s v="QuickFreight Inc."/>
    <x v="0"/>
    <x v="4"/>
    <s v="Pedro Alvarez"/>
    <d v="2025-03-04T00:00:00"/>
    <d v="2025-05-03T00:00:00"/>
    <n v="60"/>
    <n v="8472.06"/>
    <n v="0"/>
    <n v="8472.06"/>
    <m/>
    <s v="Overdue"/>
    <s v="Wire"/>
    <m/>
    <n v="-393"/>
    <s v="No"/>
    <s v="Yes"/>
    <n v="0.01"/>
    <s v="No"/>
    <n v="0"/>
  </r>
  <r>
    <s v="AP-0737"/>
    <s v="VND-005"/>
    <s v="CloudSys Inc."/>
    <x v="1"/>
    <x v="3"/>
    <s v="Sofia Reyes"/>
    <d v="2026-02-16T00:00:00"/>
    <d v="2026-04-17T00:00:00"/>
    <n v="60"/>
    <n v="71433.710000000006"/>
    <n v="32634.32"/>
    <n v="38799.39"/>
    <d v="2026-04-23T00:00:00"/>
    <s v="Partial"/>
    <s v="Check"/>
    <n v="66"/>
    <n v="-6"/>
    <s v="No"/>
    <s v="No"/>
    <n v="0"/>
    <s v="No"/>
    <n v="0"/>
  </r>
  <r>
    <s v="AP-0738"/>
    <s v="VND-001"/>
    <s v="Acme Supplies Co."/>
    <x v="2"/>
    <x v="4"/>
    <s v="Ana Torres"/>
    <d v="2026-04-02T00:00:00"/>
    <d v="2026-06-01T00:00:00"/>
    <n v="60"/>
    <n v="32906.21"/>
    <n v="32906.21"/>
    <n v="0"/>
    <d v="2026-05-26T00:00:00"/>
    <s v="Paid"/>
    <s v="Wire"/>
    <n v="54"/>
    <n v="6"/>
    <s v="Yes"/>
    <s v="No"/>
    <n v="0"/>
    <s v="No"/>
    <n v="0"/>
  </r>
  <r>
    <s v="AP-0739"/>
    <s v="VND-021"/>
    <s v="PrimePack Logistics"/>
    <x v="0"/>
    <x v="2"/>
    <s v="Marco Diaz"/>
    <d v="2025-02-07T00:00:00"/>
    <d v="2025-03-09T00:00:00"/>
    <n v="30"/>
    <n v="11211.24"/>
    <n v="11211.24"/>
    <n v="0"/>
    <d v="2025-03-11T00:00:00"/>
    <s v="Paid"/>
    <s v="Check"/>
    <n v="32"/>
    <n v="-2"/>
    <s v="No"/>
    <s v="Yes"/>
    <n v="0.01"/>
    <s v="No"/>
    <n v="0"/>
  </r>
  <r>
    <s v="AP-0740"/>
    <s v="VND-005"/>
    <s v="CloudSys Inc."/>
    <x v="1"/>
    <x v="3"/>
    <s v="Ana Torres"/>
    <d v="2025-04-06T00:00:00"/>
    <d v="2025-05-06T00:00:00"/>
    <n v="30"/>
    <n v="43375.37"/>
    <n v="43375.37"/>
    <n v="0"/>
    <d v="2025-05-05T00:00:00"/>
    <s v="Paid"/>
    <s v="Check"/>
    <n v="29"/>
    <n v="1"/>
    <s v="Yes"/>
    <s v="Yes"/>
    <n v="0.01"/>
    <s v="No"/>
    <n v="0"/>
  </r>
  <r>
    <s v="AP-0741"/>
    <s v="VND-018"/>
    <s v="BuildFast Materials"/>
    <x v="2"/>
    <x v="3"/>
    <s v="Laura Chen"/>
    <d v="2026-03-09T00:00:00"/>
    <d v="2026-04-23T00:00:00"/>
    <n v="45"/>
    <n v="49373.83"/>
    <n v="0"/>
    <n v="49373.83"/>
    <m/>
    <s v="Pending"/>
    <s v="Wire"/>
    <m/>
    <m/>
    <m/>
    <s v="Yes"/>
    <n v="1.4999999999999999E-2"/>
    <s v="No"/>
    <n v="0"/>
  </r>
  <r>
    <s v="AP-0742"/>
    <s v="VND-021"/>
    <s v="PrimePack Logistics"/>
    <x v="0"/>
    <x v="3"/>
    <s v="Laura Chen"/>
    <d v="2025-05-08T00:00:00"/>
    <d v="2025-05-23T00:00:00"/>
    <n v="15"/>
    <n v="9526"/>
    <n v="9526"/>
    <n v="0"/>
    <d v="2025-05-22T00:00:00"/>
    <s v="Paid"/>
    <s v="ACH"/>
    <n v="14"/>
    <n v="1"/>
    <s v="Yes"/>
    <s v="Yes"/>
    <n v="0.02"/>
    <s v="No"/>
    <n v="0"/>
  </r>
  <r>
    <s v="AP-0743"/>
    <s v="VND-011"/>
    <s v="QuickFreight Inc."/>
    <x v="0"/>
    <x v="1"/>
    <s v="Ana Torres"/>
    <d v="2025-11-03T00:00:00"/>
    <d v="2026-01-02T00:00:00"/>
    <n v="60"/>
    <n v="6406.17"/>
    <n v="6406.17"/>
    <n v="0"/>
    <d v="2025-12-28T00:00:00"/>
    <s v="Paid"/>
    <s v="Wire"/>
    <n v="55"/>
    <n v="5"/>
    <s v="Yes"/>
    <s v="No"/>
    <n v="0"/>
    <s v="No"/>
    <n v="0"/>
  </r>
  <r>
    <s v="AP-0744"/>
    <s v="VND-017"/>
    <s v="OfficePro Services"/>
    <x v="4"/>
    <x v="1"/>
    <s v="Sofia Reyes"/>
    <d v="2026-01-05T00:00:00"/>
    <d v="2026-02-04T00:00:00"/>
    <n v="30"/>
    <n v="19809.45"/>
    <n v="19809.45"/>
    <n v="0"/>
    <d v="2026-01-24T00:00:00"/>
    <s v="Paid"/>
    <s v="Check"/>
    <n v="19"/>
    <n v="11"/>
    <s v="Yes"/>
    <s v="Yes"/>
    <n v="0.01"/>
    <s v="No"/>
    <n v="0"/>
  </r>
  <r>
    <s v="AP-0745"/>
    <s v="VND-014"/>
    <s v="NetConnect Systems"/>
    <x v="1"/>
    <x v="0"/>
    <s v="Sofia Reyes"/>
    <d v="2025-05-14T00:00:00"/>
    <d v="2025-07-13T00:00:00"/>
    <n v="60"/>
    <n v="40718.980000000003"/>
    <n v="40718.980000000003"/>
    <n v="0"/>
    <d v="2025-07-03T00:00:00"/>
    <s v="Paid"/>
    <s v="ACH"/>
    <n v="50"/>
    <n v="10"/>
    <s v="Yes"/>
    <s v="Yes"/>
    <n v="0.01"/>
    <s v="No"/>
    <n v="0"/>
  </r>
  <r>
    <s v="AP-0746"/>
    <s v="VND-017"/>
    <s v="OfficePro Services"/>
    <x v="4"/>
    <x v="2"/>
    <s v="Laura Chen"/>
    <d v="2026-03-27T00:00:00"/>
    <d v="2026-05-26T00:00:00"/>
    <n v="60"/>
    <n v="28493.66"/>
    <n v="28493.66"/>
    <n v="0"/>
    <d v="2026-05-25T00:00:00"/>
    <s v="Paid"/>
    <s v="Credit Card"/>
    <n v="59"/>
    <n v="1"/>
    <s v="Yes"/>
    <s v="No"/>
    <n v="0"/>
    <s v="No"/>
    <n v="0"/>
  </r>
  <r>
    <s v="AP-0747"/>
    <s v="VND-006"/>
    <s v="PowerGrid Utilities"/>
    <x v="3"/>
    <x v="1"/>
    <s v="Ana Torres"/>
    <d v="2026-04-14T00:00:00"/>
    <d v="2026-07-13T00:00:00"/>
    <n v="90"/>
    <n v="2376.09"/>
    <n v="0"/>
    <n v="2376.09"/>
    <m/>
    <s v="Pending"/>
    <s v="Wire"/>
    <m/>
    <m/>
    <m/>
    <s v="No"/>
    <n v="0"/>
    <s v="No"/>
    <n v="0"/>
  </r>
  <r>
    <s v="AP-0748"/>
    <s v="VND-007"/>
    <s v="ProStaff Services"/>
    <x v="4"/>
    <x v="2"/>
    <s v="Pedro Alvarez"/>
    <d v="2026-01-14T00:00:00"/>
    <d v="2026-02-13T00:00:00"/>
    <n v="30"/>
    <n v="37102.800000000003"/>
    <n v="13177.73"/>
    <n v="23925.07"/>
    <d v="2026-02-19T00:00:00"/>
    <s v="Partial"/>
    <s v="ACH"/>
    <n v="36"/>
    <n v="-6"/>
    <s v="No"/>
    <s v="Yes"/>
    <n v="0.01"/>
    <s v="No"/>
    <n v="0"/>
  </r>
  <r>
    <s v="AP-0749"/>
    <s v="VND-019"/>
    <s v="SkyNet IT Solutions"/>
    <x v="1"/>
    <x v="4"/>
    <s v="Sofia Reyes"/>
    <d v="2026-01-16T00:00:00"/>
    <d v="2026-02-15T00:00:00"/>
    <n v="30"/>
    <n v="27869.34"/>
    <n v="27869.34"/>
    <n v="0"/>
    <d v="2026-02-19T00:00:00"/>
    <s v="Paid"/>
    <s v="Wire"/>
    <n v="34"/>
    <n v="-4"/>
    <s v="No"/>
    <s v="Yes"/>
    <n v="0.01"/>
    <s v="No"/>
    <n v="0"/>
  </r>
  <r>
    <s v="AP-0750"/>
    <s v="VND-019"/>
    <s v="SkyNet IT Solutions"/>
    <x v="1"/>
    <x v="2"/>
    <s v="Sofia Reyes"/>
    <d v="2025-08-09T00:00:00"/>
    <d v="2025-09-23T00:00:00"/>
    <n v="45"/>
    <n v="18730.78"/>
    <n v="18730.78"/>
    <n v="0"/>
    <d v="2025-09-23T00:00:00"/>
    <s v="Paid"/>
    <s v="Check"/>
    <n v="45"/>
    <n v="0"/>
    <s v="Yes"/>
    <s v="No"/>
    <n v="0"/>
    <s v="No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s v="AP-0001"/>
    <s v="VND-021"/>
    <s v="PrimePack Logistics"/>
    <s v="Logistics"/>
    <s v="North"/>
    <s v="Sofia Reyes"/>
    <d v="2025-08-17T00:00:00"/>
    <d v="2025-09-16T00:00:00"/>
    <n v="30"/>
    <n v="3651.22"/>
    <n v="3651.22"/>
    <n v="0"/>
    <d v="2025-09-06T00:00:00"/>
    <x v="0"/>
    <s v="Check"/>
    <n v="20"/>
    <n v="10"/>
    <s v="Yes"/>
    <s v="Yes"/>
    <n v="0.01"/>
    <s v="No"/>
    <n v="0"/>
  </r>
  <r>
    <s v="AP-0002"/>
    <s v="VND-002"/>
    <s v="TechCore Solutions"/>
    <s v="IT"/>
    <s v="North"/>
    <s v="Sofia Reyes"/>
    <d v="2025-01-28T00:00:00"/>
    <d v="2025-02-27T00:00:00"/>
    <n v="30"/>
    <n v="47093.38"/>
    <n v="47093.38"/>
    <n v="0"/>
    <d v="2025-02-24T00:00:00"/>
    <x v="0"/>
    <s v="Wire"/>
    <n v="27"/>
    <n v="3"/>
    <s v="Yes"/>
    <s v="No"/>
    <n v="0"/>
    <s v="No"/>
    <n v="0"/>
  </r>
  <r>
    <s v="AP-0003"/>
    <s v="VND-014"/>
    <s v="NetConnect Systems"/>
    <s v="IT"/>
    <s v="South"/>
    <s v="Pedro Alvarez"/>
    <d v="2025-06-13T00:00:00"/>
    <d v="2025-06-28T00:00:00"/>
    <n v="15"/>
    <n v="57360.45"/>
    <n v="57360.45"/>
    <n v="0"/>
    <d v="2025-07-04T00:00:00"/>
    <x v="0"/>
    <s v="Check"/>
    <n v="21"/>
    <n v="-6"/>
    <s v="No"/>
    <s v="Yes"/>
    <n v="0.02"/>
    <s v="No"/>
    <n v="0"/>
  </r>
  <r>
    <s v="AP-0004"/>
    <s v="VND-003"/>
    <s v="FastShip Logistics"/>
    <s v="Logistics"/>
    <s v="West"/>
    <s v="Sofia Reyes"/>
    <d v="2025-09-28T00:00:00"/>
    <d v="2025-11-27T00:00:00"/>
    <n v="60"/>
    <n v="16335.44"/>
    <n v="16335.44"/>
    <n v="0"/>
    <d v="2025-11-26T00:00:00"/>
    <x v="0"/>
    <s v="Check"/>
    <n v="59"/>
    <n v="1"/>
    <s v="Yes"/>
    <s v="No"/>
    <n v="0"/>
    <s v="No"/>
    <n v="0"/>
  </r>
  <r>
    <s v="AP-0005"/>
    <s v="VND-013"/>
    <s v="SafetyFirst Supplies"/>
    <s v="Materials"/>
    <s v="North"/>
    <s v="Ana Torres"/>
    <d v="2025-07-16T00:00:00"/>
    <d v="2025-09-14T00:00:00"/>
    <n v="60"/>
    <n v="35819.449999999997"/>
    <n v="35819.449999999997"/>
    <n v="0"/>
    <d v="2025-09-14T00:00:00"/>
    <x v="0"/>
    <s v="Check"/>
    <n v="60"/>
    <n v="0"/>
    <s v="Yes"/>
    <s v="Yes"/>
    <n v="0.01"/>
    <s v="No"/>
    <n v="0"/>
  </r>
  <r>
    <s v="AP-0006"/>
    <s v="VND-008"/>
    <s v="GreenEnergy Corp."/>
    <s v="Utilities"/>
    <s v="North"/>
    <s v="Pedro Alvarez"/>
    <d v="2026-01-09T00:00:00"/>
    <d v="2026-04-09T00:00:00"/>
    <n v="90"/>
    <n v="2858.48"/>
    <n v="2858.48"/>
    <n v="0"/>
    <d v="2026-04-12T00:00:00"/>
    <x v="0"/>
    <s v="Check"/>
    <n v="93"/>
    <n v="-3"/>
    <s v="No"/>
    <s v="Yes"/>
    <n v="5.0000000000000001E-3"/>
    <s v="No"/>
    <n v="0"/>
  </r>
  <r>
    <s v="AP-0007"/>
    <s v="VND-022"/>
    <s v="Apex Consulting"/>
    <s v="Services"/>
    <s v="North"/>
    <s v="Ana Torres"/>
    <d v="2025-06-17T00:00:00"/>
    <d v="2025-07-17T00:00:00"/>
    <n v="30"/>
    <n v="20103.63"/>
    <n v="0"/>
    <n v="20103.63"/>
    <m/>
    <x v="1"/>
    <s v="Wire"/>
    <m/>
    <n v="-318"/>
    <s v="No"/>
    <s v="Yes"/>
    <n v="0.01"/>
    <s v="No"/>
    <n v="0"/>
  </r>
  <r>
    <s v="AP-0008"/>
    <s v="VND-023"/>
    <s v="CoolTech Systems"/>
    <s v="IT"/>
    <s v="Central"/>
    <s v="Marco Diaz"/>
    <d v="2025-08-23T00:00:00"/>
    <d v="2025-09-07T00:00:00"/>
    <n v="15"/>
    <n v="66635.19"/>
    <n v="66635.19"/>
    <n v="0"/>
    <d v="2025-09-23T00:00:00"/>
    <x v="0"/>
    <s v="Check"/>
    <n v="31"/>
    <n v="-16"/>
    <s v="No"/>
    <s v="No"/>
    <n v="0"/>
    <s v="No"/>
    <n v="0"/>
  </r>
  <r>
    <s v="AP-0009"/>
    <s v="VND-019"/>
    <s v="SkyNet IT Solutions"/>
    <s v="IT"/>
    <s v="East"/>
    <s v="Marco Diaz"/>
    <d v="2026-04-15T00:00:00"/>
    <d v="2026-06-14T00:00:00"/>
    <n v="60"/>
    <n v="15715.37"/>
    <n v="15715.37"/>
    <n v="0"/>
    <d v="2026-05-31T00:00:00"/>
    <x v="0"/>
    <s v="Credit Card"/>
    <n v="46"/>
    <n v="14"/>
    <s v="Yes"/>
    <s v="Yes"/>
    <n v="0.01"/>
    <s v="No"/>
    <n v="0"/>
  </r>
  <r>
    <s v="AP-0010"/>
    <s v="VND-024"/>
    <s v="EliteFacilities Corp."/>
    <s v="Facilities"/>
    <s v="Central"/>
    <s v="Pedro Alvarez"/>
    <d v="2025-08-13T00:00:00"/>
    <d v="2025-10-12T00:00:00"/>
    <n v="60"/>
    <n v="34911.75"/>
    <n v="34911.75"/>
    <n v="0"/>
    <d v="2025-10-12T00:00:00"/>
    <x v="0"/>
    <s v="Credit Card"/>
    <n v="60"/>
    <n v="0"/>
    <s v="Yes"/>
    <s v="Yes"/>
    <n v="0.01"/>
    <s v="No"/>
    <n v="0"/>
  </r>
  <r>
    <s v="AP-0011"/>
    <s v="VND-005"/>
    <s v="CloudSys Inc."/>
    <s v="IT"/>
    <s v="South"/>
    <s v="Pedro Alvarez"/>
    <d v="2026-01-26T00:00:00"/>
    <d v="2026-03-27T00:00:00"/>
    <n v="60"/>
    <n v="49691.63"/>
    <n v="49691.63"/>
    <n v="0"/>
    <d v="2026-03-12T00:00:00"/>
    <x v="0"/>
    <s v="ACH"/>
    <n v="45"/>
    <n v="15"/>
    <s v="Yes"/>
    <s v="Yes"/>
    <n v="0.01"/>
    <s v="No"/>
    <n v="0"/>
  </r>
  <r>
    <s v="AP-0012"/>
    <s v="VND-018"/>
    <s v="BuildFast Materials"/>
    <s v="Materials"/>
    <s v="North"/>
    <s v="Sofia Reyes"/>
    <d v="2025-04-25T00:00:00"/>
    <d v="2025-06-24T00:00:00"/>
    <n v="60"/>
    <n v="16088.01"/>
    <n v="16088.01"/>
    <n v="0"/>
    <d v="2025-06-22T00:00:00"/>
    <x v="0"/>
    <s v="Check"/>
    <n v="58"/>
    <n v="2"/>
    <s v="Yes"/>
    <s v="Yes"/>
    <n v="0.01"/>
    <s v="No"/>
    <n v="0"/>
  </r>
  <r>
    <s v="AP-0013"/>
    <s v="VND-017"/>
    <s v="OfficePro Services"/>
    <s v="Services"/>
    <s v="South"/>
    <s v="Ana Torres"/>
    <d v="2025-07-23T00:00:00"/>
    <d v="2025-09-06T00:00:00"/>
    <n v="45"/>
    <n v="8655.0499999999993"/>
    <n v="8655.0499999999993"/>
    <n v="0"/>
    <d v="2025-08-25T00:00:00"/>
    <x v="0"/>
    <s v="ACH"/>
    <n v="33"/>
    <n v="12"/>
    <s v="Yes"/>
    <s v="No"/>
    <n v="0"/>
    <s v="No"/>
    <n v="0"/>
  </r>
  <r>
    <s v="AP-0014"/>
    <s v="VND-025"/>
    <s v="RapidShip Co."/>
    <s v="Logistics"/>
    <s v="Central"/>
    <s v="Sofia Reyes"/>
    <d v="2025-01-20T00:00:00"/>
    <d v="2025-04-20T00:00:00"/>
    <n v="90"/>
    <n v="3125.49"/>
    <n v="0"/>
    <n v="3125.49"/>
    <m/>
    <x v="1"/>
    <s v="Check"/>
    <m/>
    <n v="-406"/>
    <s v="No"/>
    <s v="Yes"/>
    <n v="5.0000000000000001E-3"/>
    <s v="No"/>
    <n v="0"/>
  </r>
  <r>
    <s v="AP-0015"/>
    <s v="VND-010"/>
    <s v="DataBridge IT"/>
    <s v="IT"/>
    <s v="South"/>
    <s v="Sofia Reyes"/>
    <d v="2025-03-29T00:00:00"/>
    <d v="2025-04-28T00:00:00"/>
    <n v="30"/>
    <n v="59893.07"/>
    <n v="0"/>
    <n v="59893.07"/>
    <m/>
    <x v="1"/>
    <s v="Wire"/>
    <m/>
    <n v="-398"/>
    <s v="No"/>
    <s v="No"/>
    <n v="0"/>
    <s v="No"/>
    <n v="0"/>
  </r>
  <r>
    <s v="AP-0016"/>
    <s v="VND-018"/>
    <s v="BuildFast Materials"/>
    <s v="Materials"/>
    <s v="South"/>
    <s v="Marco Diaz"/>
    <d v="2025-09-29T00:00:00"/>
    <d v="2025-10-29T00:00:00"/>
    <n v="30"/>
    <n v="27328.34"/>
    <n v="0"/>
    <n v="27328.34"/>
    <m/>
    <x v="1"/>
    <s v="Credit Card"/>
    <m/>
    <n v="-214"/>
    <s v="No"/>
    <s v="Yes"/>
    <n v="0.01"/>
    <s v="No"/>
    <n v="0"/>
  </r>
  <r>
    <s v="AP-0017"/>
    <s v="VND-018"/>
    <s v="BuildFast Materials"/>
    <s v="Materials"/>
    <s v="South"/>
    <s v="Laura Chen"/>
    <d v="2026-03-25T00:00:00"/>
    <d v="2026-05-24T00:00:00"/>
    <n v="60"/>
    <n v="45181.48"/>
    <n v="0"/>
    <n v="45181.48"/>
    <m/>
    <x v="2"/>
    <s v="Credit Card"/>
    <m/>
    <m/>
    <m/>
    <s v="Yes"/>
    <n v="0.01"/>
    <s v="No"/>
    <n v="0"/>
  </r>
  <r>
    <s v="AP-0018"/>
    <s v="VND-001"/>
    <s v="Acme Supplies Co."/>
    <s v="Materials"/>
    <s v="Central"/>
    <s v="Ana Torres"/>
    <d v="2025-01-08T00:00:00"/>
    <d v="2025-02-07T00:00:00"/>
    <n v="30"/>
    <n v="5407.67"/>
    <n v="5407.67"/>
    <n v="0"/>
    <d v="2025-02-20T00:00:00"/>
    <x v="0"/>
    <s v="Wire"/>
    <n v="43"/>
    <n v="-13"/>
    <s v="No"/>
    <s v="Yes"/>
    <n v="0.01"/>
    <s v="No"/>
    <n v="0"/>
  </r>
  <r>
    <s v="AP-0019"/>
    <s v="VND-003"/>
    <s v="FastShip Logistics"/>
    <s v="Logistics"/>
    <s v="Central"/>
    <s v="Marco Diaz"/>
    <d v="2025-08-08T00:00:00"/>
    <d v="2025-11-06T00:00:00"/>
    <n v="90"/>
    <n v="11245.44"/>
    <n v="6613.51"/>
    <n v="4631.93"/>
    <d v="2025-11-08T00:00:00"/>
    <x v="3"/>
    <s v="Check"/>
    <n v="92"/>
    <n v="-2"/>
    <s v="No"/>
    <s v="No"/>
    <n v="0"/>
    <s v="No"/>
    <n v="0"/>
  </r>
  <r>
    <s v="AP-0020"/>
    <s v="VND-016"/>
    <s v="CleanWater Utilities"/>
    <s v="Utilities"/>
    <s v="West"/>
    <s v="Marco Diaz"/>
    <d v="2026-03-18T00:00:00"/>
    <d v="2026-04-17T00:00:00"/>
    <n v="30"/>
    <n v="5637.31"/>
    <n v="0"/>
    <n v="5637.31"/>
    <m/>
    <x v="2"/>
    <s v="ACH"/>
    <m/>
    <m/>
    <m/>
    <s v="Yes"/>
    <n v="0.01"/>
    <s v="No"/>
    <n v="0"/>
  </r>
  <r>
    <s v="AP-0021"/>
    <s v="VND-021"/>
    <s v="PrimePack Logistics"/>
    <s v="Logistics"/>
    <s v="North"/>
    <s v="Sofia Reyes"/>
    <d v="2025-04-22T00:00:00"/>
    <d v="2025-06-21T00:00:00"/>
    <n v="60"/>
    <n v="5724.47"/>
    <n v="5724.47"/>
    <n v="0"/>
    <d v="2025-06-13T00:00:00"/>
    <x v="0"/>
    <s v="Credit Card"/>
    <n v="52"/>
    <n v="8"/>
    <s v="Yes"/>
    <s v="Yes"/>
    <n v="0.01"/>
    <s v="No"/>
    <n v="0"/>
  </r>
  <r>
    <s v="AP-0022"/>
    <s v="VND-014"/>
    <s v="NetConnect Systems"/>
    <s v="IT"/>
    <s v="South"/>
    <s v="Laura Chen"/>
    <d v="2025-03-19T00:00:00"/>
    <d v="2025-04-18T00:00:00"/>
    <n v="30"/>
    <n v="38234.81"/>
    <n v="38234.81"/>
    <n v="0"/>
    <d v="2025-05-16T00:00:00"/>
    <x v="0"/>
    <s v="Credit Card"/>
    <n v="58"/>
    <n v="-28"/>
    <s v="No"/>
    <s v="No"/>
    <n v="0"/>
    <s v="No"/>
    <n v="0"/>
  </r>
  <r>
    <s v="AP-0023"/>
    <s v="VND-001"/>
    <s v="Acme Supplies Co."/>
    <s v="Materials"/>
    <s v="North"/>
    <s v="Marco Diaz"/>
    <d v="2026-05-13T00:00:00"/>
    <d v="2026-07-12T00:00:00"/>
    <n v="60"/>
    <n v="25105.200000000001"/>
    <n v="0"/>
    <n v="25105.200000000001"/>
    <m/>
    <x v="2"/>
    <s v="Wire"/>
    <m/>
    <m/>
    <m/>
    <s v="No"/>
    <n v="0"/>
    <s v="No"/>
    <n v="0"/>
  </r>
  <r>
    <s v="AP-0024"/>
    <s v="VND-001"/>
    <s v="Acme Supplies Co."/>
    <s v="Materials"/>
    <s v="West"/>
    <s v="Laura Chen"/>
    <d v="2026-03-10T00:00:00"/>
    <d v="2026-04-24T00:00:00"/>
    <n v="45"/>
    <n v="35436.39"/>
    <n v="19253.86"/>
    <n v="16182.53"/>
    <d v="2026-04-25T00:00:00"/>
    <x v="3"/>
    <s v="Credit Card"/>
    <n v="46"/>
    <n v="-1"/>
    <s v="No"/>
    <s v="No"/>
    <n v="0"/>
    <s v="No"/>
    <n v="0"/>
  </r>
  <r>
    <s v="AP-0025"/>
    <s v="VND-010"/>
    <s v="DataBridge IT"/>
    <s v="IT"/>
    <s v="South"/>
    <s v="Sofia Reyes"/>
    <d v="2025-02-28T00:00:00"/>
    <d v="2025-04-29T00:00:00"/>
    <n v="60"/>
    <n v="8760.68"/>
    <n v="0"/>
    <n v="8760.68"/>
    <m/>
    <x v="1"/>
    <s v="ACH"/>
    <m/>
    <n v="-397"/>
    <s v="No"/>
    <s v="Yes"/>
    <n v="0.01"/>
    <s v="No"/>
    <n v="0"/>
  </r>
  <r>
    <s v="AP-0026"/>
    <s v="VND-017"/>
    <s v="OfficePro Services"/>
    <s v="Services"/>
    <s v="South"/>
    <s v="Sofia Reyes"/>
    <d v="2025-03-12T00:00:00"/>
    <d v="2025-04-11T00:00:00"/>
    <n v="30"/>
    <n v="25016.3"/>
    <n v="25016.3"/>
    <n v="0"/>
    <d v="2025-04-20T00:00:00"/>
    <x v="0"/>
    <s v="ACH"/>
    <n v="39"/>
    <n v="-9"/>
    <s v="No"/>
    <s v="Yes"/>
    <n v="0.01"/>
    <s v="No"/>
    <n v="0"/>
  </r>
  <r>
    <s v="AP-0027"/>
    <s v="VND-004"/>
    <s v="BuildRight Materials"/>
    <s v="Materials"/>
    <s v="Central"/>
    <s v="Marco Diaz"/>
    <d v="2026-03-06T00:00:00"/>
    <d v="2026-04-05T00:00:00"/>
    <n v="30"/>
    <n v="33553.910000000003"/>
    <n v="0"/>
    <n v="33553.910000000003"/>
    <m/>
    <x v="2"/>
    <s v="ACH"/>
    <m/>
    <m/>
    <m/>
    <s v="Yes"/>
    <n v="0.01"/>
    <s v="No"/>
    <n v="0"/>
  </r>
  <r>
    <s v="AP-0028"/>
    <s v="VND-022"/>
    <s v="Apex Consulting"/>
    <s v="Services"/>
    <s v="East"/>
    <s v="Marco Diaz"/>
    <d v="2025-05-15T00:00:00"/>
    <d v="2025-07-14T00:00:00"/>
    <n v="60"/>
    <n v="27852.54"/>
    <n v="27852.54"/>
    <n v="0"/>
    <d v="2025-07-14T00:00:00"/>
    <x v="0"/>
    <s v="Check"/>
    <n v="60"/>
    <n v="0"/>
    <s v="Yes"/>
    <s v="Yes"/>
    <n v="0.01"/>
    <s v="No"/>
    <n v="0"/>
  </r>
  <r>
    <s v="AP-0029"/>
    <s v="VND-015"/>
    <s v="ExpressRoute Logistics"/>
    <s v="Logistics"/>
    <s v="Central"/>
    <s v="Ana Torres"/>
    <d v="2025-08-07T00:00:00"/>
    <d v="2025-09-06T00:00:00"/>
    <n v="30"/>
    <n v="10611.81"/>
    <n v="10611.81"/>
    <n v="0"/>
    <d v="2025-09-03T00:00:00"/>
    <x v="0"/>
    <s v="ACH"/>
    <n v="27"/>
    <n v="3"/>
    <s v="Yes"/>
    <s v="Yes"/>
    <n v="0.01"/>
    <s v="No"/>
    <n v="0"/>
  </r>
  <r>
    <s v="AP-0030"/>
    <s v="VND-003"/>
    <s v="FastShip Logistics"/>
    <s v="Logistics"/>
    <s v="South"/>
    <s v="Laura Chen"/>
    <d v="2026-03-25T00:00:00"/>
    <d v="2026-04-24T00:00:00"/>
    <n v="30"/>
    <n v="16841.150000000001"/>
    <n v="16841.150000000001"/>
    <n v="0"/>
    <d v="2026-04-24T00:00:00"/>
    <x v="0"/>
    <s v="Check"/>
    <n v="30"/>
    <n v="0"/>
    <s v="Yes"/>
    <s v="No"/>
    <n v="0"/>
    <s v="No"/>
    <n v="0"/>
  </r>
  <r>
    <s v="AP-0031"/>
    <s v="VND-018"/>
    <s v="BuildFast Materials"/>
    <s v="Materials"/>
    <s v="East"/>
    <s v="Sofia Reyes"/>
    <d v="2025-04-29T00:00:00"/>
    <d v="2025-06-13T00:00:00"/>
    <n v="45"/>
    <n v="44706.21"/>
    <n v="44706.21"/>
    <n v="0"/>
    <d v="2025-06-13T00:00:00"/>
    <x v="0"/>
    <s v="Wire"/>
    <n v="45"/>
    <n v="0"/>
    <s v="Yes"/>
    <s v="No"/>
    <n v="0"/>
    <s v="No"/>
    <n v="0"/>
  </r>
  <r>
    <s v="AP-0032"/>
    <s v="VND-010"/>
    <s v="DataBridge IT"/>
    <s v="IT"/>
    <s v="Central"/>
    <s v="Marco Diaz"/>
    <d v="2025-09-28T00:00:00"/>
    <d v="2025-10-28T00:00:00"/>
    <n v="30"/>
    <n v="42905.68"/>
    <n v="0"/>
    <n v="42905.68"/>
    <m/>
    <x v="1"/>
    <s v="Check"/>
    <m/>
    <n v="-215"/>
    <s v="No"/>
    <s v="Yes"/>
    <n v="0.01"/>
    <s v="No"/>
    <n v="0"/>
  </r>
  <r>
    <s v="AP-0033"/>
    <s v="VND-002"/>
    <s v="TechCore Solutions"/>
    <s v="IT"/>
    <s v="North"/>
    <s v="Pedro Alvarez"/>
    <d v="2025-01-04T00:00:00"/>
    <d v="2025-01-19T00:00:00"/>
    <n v="15"/>
    <n v="30016.74"/>
    <n v="0"/>
    <n v="30016.74"/>
    <m/>
    <x v="1"/>
    <s v="Check"/>
    <m/>
    <n v="-497"/>
    <s v="No"/>
    <s v="Yes"/>
    <n v="0.02"/>
    <s v="No"/>
    <n v="0"/>
  </r>
  <r>
    <s v="AP-0034"/>
    <s v="VND-006"/>
    <s v="PowerGrid Utilities"/>
    <s v="Utilities"/>
    <s v="West"/>
    <s v="Ana Torres"/>
    <d v="2025-04-25T00:00:00"/>
    <d v="2025-05-10T00:00:00"/>
    <n v="15"/>
    <n v="1591.04"/>
    <n v="0"/>
    <n v="1591.04"/>
    <m/>
    <x v="1"/>
    <s v="Credit Card"/>
    <m/>
    <n v="-386"/>
    <s v="No"/>
    <s v="No"/>
    <n v="0"/>
    <s v="No"/>
    <n v="0"/>
  </r>
  <r>
    <s v="AP-0035"/>
    <s v="VND-018"/>
    <s v="BuildFast Materials"/>
    <s v="Materials"/>
    <s v="North"/>
    <s v="Laura Chen"/>
    <d v="2025-05-11T00:00:00"/>
    <d v="2025-07-10T00:00:00"/>
    <n v="60"/>
    <n v="4007.79"/>
    <n v="0"/>
    <n v="4007.79"/>
    <m/>
    <x v="1"/>
    <s v="Wire"/>
    <m/>
    <n v="-325"/>
    <s v="No"/>
    <s v="Yes"/>
    <n v="0.01"/>
    <s v="No"/>
    <n v="0"/>
  </r>
  <r>
    <s v="AP-0036"/>
    <s v="VND-002"/>
    <s v="TechCore Solutions"/>
    <s v="IT"/>
    <s v="East"/>
    <s v="Marco Diaz"/>
    <d v="2025-12-29T00:00:00"/>
    <d v="2026-01-28T00:00:00"/>
    <n v="30"/>
    <n v="63508.72"/>
    <n v="63508.72"/>
    <n v="0"/>
    <d v="2026-01-25T00:00:00"/>
    <x v="0"/>
    <s v="Wire"/>
    <n v="27"/>
    <n v="3"/>
    <s v="Yes"/>
    <s v="No"/>
    <n v="0"/>
    <s v="No"/>
    <n v="0"/>
  </r>
  <r>
    <s v="AP-0037"/>
    <s v="VND-008"/>
    <s v="GreenEnergy Corp."/>
    <s v="Utilities"/>
    <s v="South"/>
    <s v="Marco Diaz"/>
    <d v="2025-07-03T00:00:00"/>
    <d v="2025-07-18T00:00:00"/>
    <n v="15"/>
    <n v="11180.18"/>
    <n v="0"/>
    <n v="11180.18"/>
    <m/>
    <x v="1"/>
    <s v="Credit Card"/>
    <m/>
    <n v="-317"/>
    <s v="No"/>
    <s v="Yes"/>
    <n v="0.02"/>
    <s v="No"/>
    <n v="0"/>
  </r>
  <r>
    <s v="AP-0038"/>
    <s v="VND-022"/>
    <s v="Apex Consulting"/>
    <s v="Services"/>
    <s v="South"/>
    <s v="Laura Chen"/>
    <d v="2026-01-27T00:00:00"/>
    <d v="2026-02-26T00:00:00"/>
    <n v="30"/>
    <n v="35270.17"/>
    <n v="35270.17"/>
    <n v="0"/>
    <d v="2026-02-23T00:00:00"/>
    <x v="0"/>
    <s v="Wire"/>
    <n v="27"/>
    <n v="3"/>
    <s v="Yes"/>
    <s v="No"/>
    <n v="0"/>
    <s v="No"/>
    <n v="0"/>
  </r>
  <r>
    <s v="AP-0039"/>
    <s v="VND-015"/>
    <s v="ExpressRoute Logistics"/>
    <s v="Logistics"/>
    <s v="East"/>
    <s v="Laura Chen"/>
    <d v="2025-01-25T00:00:00"/>
    <d v="2025-02-24T00:00:00"/>
    <n v="30"/>
    <n v="13540.63"/>
    <n v="13540.63"/>
    <n v="0"/>
    <d v="2025-03-08T00:00:00"/>
    <x v="0"/>
    <s v="Wire"/>
    <n v="42"/>
    <n v="-12"/>
    <s v="No"/>
    <s v="Yes"/>
    <n v="0.01"/>
    <s v="No"/>
    <n v="0"/>
  </r>
  <r>
    <s v="AP-0040"/>
    <s v="VND-012"/>
    <s v="FacilityPro Services"/>
    <s v="Facilities"/>
    <s v="Central"/>
    <s v="Pedro Alvarez"/>
    <d v="2025-04-29T00:00:00"/>
    <d v="2025-05-14T00:00:00"/>
    <n v="15"/>
    <n v="30942.27"/>
    <n v="30942.27"/>
    <n v="0"/>
    <d v="2025-05-19T00:00:00"/>
    <x v="0"/>
    <s v="Check"/>
    <n v="20"/>
    <n v="-5"/>
    <s v="No"/>
    <s v="Yes"/>
    <n v="0.02"/>
    <s v="No"/>
    <n v="0"/>
  </r>
  <r>
    <s v="AP-0041"/>
    <s v="VND-009"/>
    <s v="MetalWorks Ltd."/>
    <s v="Materials"/>
    <s v="North"/>
    <s v="Sofia Reyes"/>
    <d v="2025-11-18T00:00:00"/>
    <d v="2026-01-17T00:00:00"/>
    <n v="60"/>
    <n v="22946.91"/>
    <n v="22946.91"/>
    <n v="0"/>
    <d v="2026-01-21T00:00:00"/>
    <x v="0"/>
    <s v="Credit Card"/>
    <n v="64"/>
    <n v="-4"/>
    <s v="No"/>
    <s v="No"/>
    <n v="0"/>
    <s v="No"/>
    <n v="0"/>
  </r>
  <r>
    <s v="AP-0042"/>
    <s v="VND-002"/>
    <s v="TechCore Solutions"/>
    <s v="IT"/>
    <s v="West"/>
    <s v="Sofia Reyes"/>
    <d v="2026-03-18T00:00:00"/>
    <d v="2026-05-17T00:00:00"/>
    <n v="60"/>
    <n v="10248.040000000001"/>
    <n v="0"/>
    <n v="10248.040000000001"/>
    <m/>
    <x v="2"/>
    <s v="Wire"/>
    <m/>
    <m/>
    <m/>
    <s v="Yes"/>
    <n v="0.01"/>
    <s v="No"/>
    <n v="0"/>
  </r>
  <r>
    <s v="AP-0043"/>
    <s v="VND-004"/>
    <s v="BuildRight Materials"/>
    <s v="Materials"/>
    <s v="East"/>
    <s v="Ana Torres"/>
    <d v="2025-12-01T00:00:00"/>
    <d v="2026-01-30T00:00:00"/>
    <n v="60"/>
    <n v="21315.22"/>
    <n v="21315.22"/>
    <n v="0"/>
    <d v="2026-01-27T00:00:00"/>
    <x v="0"/>
    <s v="Check"/>
    <n v="57"/>
    <n v="3"/>
    <s v="Yes"/>
    <s v="Yes"/>
    <n v="0.01"/>
    <s v="No"/>
    <n v="0"/>
  </r>
  <r>
    <s v="AP-0044"/>
    <s v="VND-014"/>
    <s v="NetConnect Systems"/>
    <s v="IT"/>
    <s v="West"/>
    <s v="Marco Diaz"/>
    <d v="2025-01-01T00:00:00"/>
    <d v="2025-03-02T00:00:00"/>
    <n v="60"/>
    <n v="27790.62"/>
    <n v="16766.939999999999"/>
    <n v="11023.68"/>
    <d v="2025-03-07T00:00:00"/>
    <x v="3"/>
    <s v="Check"/>
    <n v="65"/>
    <n v="-5"/>
    <s v="No"/>
    <s v="Yes"/>
    <n v="0.01"/>
    <s v="No"/>
    <n v="0"/>
  </r>
  <r>
    <s v="AP-0045"/>
    <s v="VND-015"/>
    <s v="ExpressRoute Logistics"/>
    <s v="Logistics"/>
    <s v="West"/>
    <s v="Pedro Alvarez"/>
    <d v="2025-06-23T00:00:00"/>
    <d v="2025-09-21T00:00:00"/>
    <n v="90"/>
    <n v="13518.16"/>
    <n v="13518.16"/>
    <n v="0"/>
    <d v="2025-09-19T00:00:00"/>
    <x v="0"/>
    <s v="Wire"/>
    <n v="88"/>
    <n v="2"/>
    <s v="Yes"/>
    <s v="Yes"/>
    <n v="5.0000000000000001E-3"/>
    <s v="No"/>
    <n v="0"/>
  </r>
  <r>
    <s v="AP-0046"/>
    <s v="VND-025"/>
    <s v="RapidShip Co."/>
    <s v="Logistics"/>
    <s v="South"/>
    <s v="Laura Chen"/>
    <d v="2025-05-31T00:00:00"/>
    <d v="2025-06-30T00:00:00"/>
    <n v="30"/>
    <n v="1464.08"/>
    <n v="1464.08"/>
    <n v="0"/>
    <d v="2025-06-28T00:00:00"/>
    <x v="0"/>
    <s v="Wire"/>
    <n v="28"/>
    <n v="2"/>
    <s v="Yes"/>
    <s v="Yes"/>
    <n v="0.01"/>
    <s v="No"/>
    <n v="0"/>
  </r>
  <r>
    <s v="AP-0047"/>
    <s v="VND-025"/>
    <s v="RapidShip Co."/>
    <s v="Logistics"/>
    <s v="North"/>
    <s v="Pedro Alvarez"/>
    <d v="2026-01-29T00:00:00"/>
    <d v="2026-02-28T00:00:00"/>
    <n v="30"/>
    <n v="10393.17"/>
    <n v="10393.17"/>
    <n v="0"/>
    <d v="2026-03-13T00:00:00"/>
    <x v="0"/>
    <s v="Credit Card"/>
    <n v="43"/>
    <n v="-13"/>
    <s v="No"/>
    <s v="Yes"/>
    <n v="0.01"/>
    <s v="No"/>
    <n v="0"/>
  </r>
  <r>
    <s v="AP-0048"/>
    <s v="VND-025"/>
    <s v="RapidShip Co."/>
    <s v="Logistics"/>
    <s v="North"/>
    <s v="Pedro Alvarez"/>
    <d v="2026-04-21T00:00:00"/>
    <d v="2026-05-21T00:00:00"/>
    <n v="30"/>
    <n v="1954.15"/>
    <n v="1369.29"/>
    <n v="584.86"/>
    <d v="2026-05-31T00:00:00"/>
    <x v="3"/>
    <s v="Wire"/>
    <n v="40"/>
    <n v="-10"/>
    <s v="No"/>
    <s v="Yes"/>
    <n v="0.01"/>
    <s v="No"/>
    <n v="0"/>
  </r>
  <r>
    <s v="AP-0049"/>
    <s v="VND-017"/>
    <s v="OfficePro Services"/>
    <s v="Services"/>
    <s v="Central"/>
    <s v="Ana Torres"/>
    <d v="2026-03-13T00:00:00"/>
    <d v="2026-06-11T00:00:00"/>
    <n v="90"/>
    <n v="33731.06"/>
    <n v="18124.95"/>
    <n v="15606.11"/>
    <d v="2026-05-31T00:00:00"/>
    <x v="3"/>
    <s v="Check"/>
    <n v="79"/>
    <n v="11"/>
    <s v="Yes"/>
    <s v="Yes"/>
    <n v="5.0000000000000001E-3"/>
    <s v="No"/>
    <n v="0"/>
  </r>
  <r>
    <s v="AP-0050"/>
    <s v="VND-025"/>
    <s v="RapidShip Co."/>
    <s v="Logistics"/>
    <s v="South"/>
    <s v="Laura Chen"/>
    <d v="2025-10-09T00:00:00"/>
    <d v="2025-11-08T00:00:00"/>
    <n v="30"/>
    <n v="9357.58"/>
    <n v="9357.58"/>
    <n v="0"/>
    <d v="2025-11-08T00:00:00"/>
    <x v="0"/>
    <s v="Credit Card"/>
    <n v="30"/>
    <n v="0"/>
    <s v="Yes"/>
    <s v="No"/>
    <n v="0"/>
    <s v="No"/>
    <n v="0"/>
  </r>
  <r>
    <s v="AP-0051"/>
    <s v="VND-011"/>
    <s v="QuickFreight Inc."/>
    <s v="Logistics"/>
    <s v="East"/>
    <s v="Ana Torres"/>
    <d v="2025-06-04T00:00:00"/>
    <d v="2025-07-04T00:00:00"/>
    <n v="30"/>
    <n v="5393.97"/>
    <n v="5393.97"/>
    <n v="0"/>
    <d v="2025-07-11T00:00:00"/>
    <x v="0"/>
    <s v="ACH"/>
    <n v="37"/>
    <n v="-7"/>
    <s v="No"/>
    <s v="Yes"/>
    <n v="0.01"/>
    <s v="No"/>
    <n v="0"/>
  </r>
  <r>
    <s v="AP-0052"/>
    <s v="VND-018"/>
    <s v="BuildFast Materials"/>
    <s v="Materials"/>
    <s v="West"/>
    <s v="Pedro Alvarez"/>
    <d v="2026-03-07T00:00:00"/>
    <d v="2026-04-06T00:00:00"/>
    <n v="30"/>
    <n v="20694.89"/>
    <n v="0"/>
    <n v="20694.89"/>
    <m/>
    <x v="2"/>
    <s v="ACH"/>
    <m/>
    <m/>
    <m/>
    <s v="No"/>
    <n v="0"/>
    <s v="No"/>
    <n v="0"/>
  </r>
  <r>
    <s v="AP-0053"/>
    <s v="VND-025"/>
    <s v="RapidShip Co."/>
    <s v="Logistics"/>
    <s v="Central"/>
    <s v="Pedro Alvarez"/>
    <d v="2025-12-27T00:00:00"/>
    <d v="2026-01-11T00:00:00"/>
    <n v="15"/>
    <n v="6673.64"/>
    <n v="4790.7700000000004"/>
    <n v="1882.87"/>
    <d v="2026-01-23T00:00:00"/>
    <x v="3"/>
    <s v="Credit Card"/>
    <n v="27"/>
    <n v="-12"/>
    <s v="No"/>
    <s v="Yes"/>
    <n v="0.02"/>
    <s v="No"/>
    <n v="0"/>
  </r>
  <r>
    <s v="AP-0054"/>
    <s v="VND-024"/>
    <s v="EliteFacilities Corp."/>
    <s v="Facilities"/>
    <s v="Central"/>
    <s v="Ana Torres"/>
    <d v="2025-08-13T00:00:00"/>
    <d v="2025-11-11T00:00:00"/>
    <n v="90"/>
    <n v="11006.87"/>
    <n v="11006.87"/>
    <n v="0"/>
    <d v="2025-11-14T00:00:00"/>
    <x v="0"/>
    <s v="Wire"/>
    <n v="93"/>
    <n v="-3"/>
    <s v="No"/>
    <s v="Yes"/>
    <n v="5.0000000000000001E-3"/>
    <s v="No"/>
    <n v="0"/>
  </r>
  <r>
    <s v="AP-0055"/>
    <s v="VND-022"/>
    <s v="Apex Consulting"/>
    <s v="Services"/>
    <s v="West"/>
    <s v="Marco Diaz"/>
    <d v="2025-01-28T00:00:00"/>
    <d v="2025-02-27T00:00:00"/>
    <n v="30"/>
    <n v="36556.370000000003"/>
    <n v="36556.370000000003"/>
    <n v="0"/>
    <d v="2025-03-06T00:00:00"/>
    <x v="0"/>
    <s v="Credit Card"/>
    <n v="37"/>
    <n v="-7"/>
    <s v="No"/>
    <s v="Yes"/>
    <n v="0.01"/>
    <s v="No"/>
    <n v="0"/>
  </r>
  <r>
    <s v="AP-0056"/>
    <s v="VND-015"/>
    <s v="ExpressRoute Logistics"/>
    <s v="Logistics"/>
    <s v="South"/>
    <s v="Sofia Reyes"/>
    <d v="2025-12-02T00:00:00"/>
    <d v="2026-01-31T00:00:00"/>
    <n v="60"/>
    <n v="5021.55"/>
    <n v="5021.55"/>
    <n v="0"/>
    <d v="2026-02-04T00:00:00"/>
    <x v="0"/>
    <s v="Check"/>
    <n v="64"/>
    <n v="-4"/>
    <s v="No"/>
    <s v="Yes"/>
    <n v="0.01"/>
    <s v="No"/>
    <n v="0"/>
  </r>
  <r>
    <s v="AP-0057"/>
    <s v="VND-013"/>
    <s v="SafetyFirst Supplies"/>
    <s v="Materials"/>
    <s v="East"/>
    <s v="Pedro Alvarez"/>
    <d v="2026-04-27T00:00:00"/>
    <d v="2026-05-27T00:00:00"/>
    <n v="30"/>
    <n v="2930.4"/>
    <n v="0"/>
    <n v="2930.4"/>
    <m/>
    <x v="2"/>
    <s v="Check"/>
    <m/>
    <m/>
    <m/>
    <s v="Yes"/>
    <n v="0.01"/>
    <s v="No"/>
    <n v="0"/>
  </r>
  <r>
    <s v="AP-0058"/>
    <s v="VND-021"/>
    <s v="PrimePack Logistics"/>
    <s v="Logistics"/>
    <s v="North"/>
    <s v="Sofia Reyes"/>
    <d v="2025-07-24T00:00:00"/>
    <d v="2025-08-23T00:00:00"/>
    <n v="30"/>
    <n v="16945.349999999999"/>
    <n v="16945.349999999999"/>
    <n v="0"/>
    <d v="2025-08-20T00:00:00"/>
    <x v="0"/>
    <s v="ACH"/>
    <n v="27"/>
    <n v="3"/>
    <s v="Yes"/>
    <s v="Yes"/>
    <n v="0.01"/>
    <s v="No"/>
    <n v="0"/>
  </r>
  <r>
    <s v="AP-0059"/>
    <s v="VND-007"/>
    <s v="ProStaff Services"/>
    <s v="Services"/>
    <s v="West"/>
    <s v="Laura Chen"/>
    <d v="2025-04-28T00:00:00"/>
    <d v="2025-05-28T00:00:00"/>
    <n v="30"/>
    <n v="31778.3"/>
    <n v="31778.3"/>
    <n v="0"/>
    <d v="2025-05-28T00:00:00"/>
    <x v="0"/>
    <s v="Check"/>
    <n v="30"/>
    <n v="0"/>
    <s v="Yes"/>
    <s v="Yes"/>
    <n v="0.01"/>
    <s v="No"/>
    <n v="0"/>
  </r>
  <r>
    <s v="AP-0060"/>
    <s v="VND-019"/>
    <s v="SkyNet IT Solutions"/>
    <s v="IT"/>
    <s v="North"/>
    <s v="Laura Chen"/>
    <d v="2025-07-23T00:00:00"/>
    <d v="2025-09-21T00:00:00"/>
    <n v="60"/>
    <n v="10699.74"/>
    <n v="10699.74"/>
    <n v="0"/>
    <d v="2025-10-02T00:00:00"/>
    <x v="0"/>
    <s v="Credit Card"/>
    <n v="71"/>
    <n v="-11"/>
    <s v="No"/>
    <s v="Yes"/>
    <n v="0.01"/>
    <s v="No"/>
    <n v="0"/>
  </r>
  <r>
    <s v="AP-0061"/>
    <s v="VND-022"/>
    <s v="Apex Consulting"/>
    <s v="Services"/>
    <s v="Central"/>
    <s v="Sofia Reyes"/>
    <d v="2026-03-15T00:00:00"/>
    <d v="2026-05-14T00:00:00"/>
    <n v="60"/>
    <n v="27476.29"/>
    <n v="0"/>
    <n v="27476.29"/>
    <m/>
    <x v="2"/>
    <s v="ACH"/>
    <m/>
    <m/>
    <m/>
    <s v="Yes"/>
    <n v="0.01"/>
    <s v="No"/>
    <n v="0"/>
  </r>
  <r>
    <s v="AP-0062"/>
    <s v="VND-014"/>
    <s v="NetConnect Systems"/>
    <s v="IT"/>
    <s v="West"/>
    <s v="Sofia Reyes"/>
    <d v="2026-04-16T00:00:00"/>
    <d v="2026-06-15T00:00:00"/>
    <n v="60"/>
    <n v="58048.15"/>
    <n v="58048.15"/>
    <n v="0"/>
    <d v="2026-05-31T00:00:00"/>
    <x v="0"/>
    <s v="Credit Card"/>
    <n v="45"/>
    <n v="15"/>
    <s v="Yes"/>
    <s v="Yes"/>
    <n v="0.01"/>
    <s v="No"/>
    <n v="0"/>
  </r>
  <r>
    <s v="AP-0063"/>
    <s v="VND-009"/>
    <s v="MetalWorks Ltd."/>
    <s v="Materials"/>
    <s v="Central"/>
    <s v="Ana Torres"/>
    <d v="2026-03-23T00:00:00"/>
    <d v="2026-06-21T00:00:00"/>
    <n v="90"/>
    <n v="41635.26"/>
    <n v="0"/>
    <n v="41635.26"/>
    <m/>
    <x v="2"/>
    <s v="Credit Card"/>
    <m/>
    <m/>
    <m/>
    <s v="Yes"/>
    <n v="5.0000000000000001E-3"/>
    <s v="No"/>
    <n v="0"/>
  </r>
  <r>
    <s v="AP-0064"/>
    <s v="VND-003"/>
    <s v="FastShip Logistics"/>
    <s v="Logistics"/>
    <s v="East"/>
    <s v="Pedro Alvarez"/>
    <d v="2026-01-24T00:00:00"/>
    <d v="2026-04-24T00:00:00"/>
    <n v="90"/>
    <n v="7391.54"/>
    <n v="7391.54"/>
    <n v="0"/>
    <d v="2026-04-21T00:00:00"/>
    <x v="0"/>
    <s v="Wire"/>
    <n v="87"/>
    <n v="3"/>
    <s v="Yes"/>
    <s v="Yes"/>
    <n v="5.0000000000000001E-3"/>
    <s v="No"/>
    <n v="0"/>
  </r>
  <r>
    <s v="AP-0065"/>
    <s v="VND-009"/>
    <s v="MetalWorks Ltd."/>
    <s v="Materials"/>
    <s v="Central"/>
    <s v="Laura Chen"/>
    <d v="2025-03-29T00:00:00"/>
    <d v="2025-04-28T00:00:00"/>
    <n v="30"/>
    <n v="13585.09"/>
    <n v="13585.09"/>
    <n v="0"/>
    <d v="2025-05-02T00:00:00"/>
    <x v="0"/>
    <s v="ACH"/>
    <n v="34"/>
    <n v="-4"/>
    <s v="No"/>
    <s v="Yes"/>
    <n v="0.01"/>
    <s v="No"/>
    <n v="0"/>
  </r>
  <r>
    <s v="AP-0066"/>
    <s v="VND-008"/>
    <s v="GreenEnergy Corp."/>
    <s v="Utilities"/>
    <s v="West"/>
    <s v="Pedro Alvarez"/>
    <d v="2025-04-06T00:00:00"/>
    <d v="2025-04-21T00:00:00"/>
    <n v="15"/>
    <n v="4766.42"/>
    <n v="4766.42"/>
    <n v="0"/>
    <d v="2025-04-18T00:00:00"/>
    <x v="0"/>
    <s v="Credit Card"/>
    <n v="12"/>
    <n v="3"/>
    <s v="Yes"/>
    <s v="Yes"/>
    <n v="0.02"/>
    <s v="No"/>
    <n v="0"/>
  </r>
  <r>
    <s v="AP-0067"/>
    <s v="VND-018"/>
    <s v="BuildFast Materials"/>
    <s v="Materials"/>
    <s v="Central"/>
    <s v="Laura Chen"/>
    <d v="2025-12-27T00:00:00"/>
    <d v="2026-02-25T00:00:00"/>
    <n v="60"/>
    <n v="35737.040000000001"/>
    <n v="35737.040000000001"/>
    <n v="0"/>
    <d v="2026-02-19T00:00:00"/>
    <x v="0"/>
    <s v="Credit Card"/>
    <n v="54"/>
    <n v="6"/>
    <s v="Yes"/>
    <s v="Yes"/>
    <n v="0.01"/>
    <s v="No"/>
    <n v="0"/>
  </r>
  <r>
    <s v="AP-0068"/>
    <s v="VND-004"/>
    <s v="BuildRight Materials"/>
    <s v="Materials"/>
    <s v="South"/>
    <s v="Laura Chen"/>
    <d v="2025-07-16T00:00:00"/>
    <d v="2025-08-15T00:00:00"/>
    <n v="30"/>
    <n v="12386.46"/>
    <n v="12386.46"/>
    <n v="0"/>
    <d v="2025-08-24T00:00:00"/>
    <x v="0"/>
    <s v="ACH"/>
    <n v="39"/>
    <n v="-9"/>
    <s v="No"/>
    <s v="Yes"/>
    <n v="0.01"/>
    <s v="No"/>
    <n v="0"/>
  </r>
  <r>
    <s v="AP-0069"/>
    <s v="VND-010"/>
    <s v="DataBridge IT"/>
    <s v="IT"/>
    <s v="North"/>
    <s v="Marco Diaz"/>
    <d v="2026-01-05T00:00:00"/>
    <d v="2026-02-04T00:00:00"/>
    <n v="30"/>
    <n v="18458.12"/>
    <n v="18458.12"/>
    <n v="0"/>
    <d v="2026-02-03T00:00:00"/>
    <x v="0"/>
    <s v="Check"/>
    <n v="29"/>
    <n v="1"/>
    <s v="Yes"/>
    <s v="Yes"/>
    <n v="0.01"/>
    <s v="No"/>
    <n v="0"/>
  </r>
  <r>
    <s v="AP-0070"/>
    <s v="VND-009"/>
    <s v="MetalWorks Ltd."/>
    <s v="Materials"/>
    <s v="North"/>
    <s v="Sofia Reyes"/>
    <d v="2026-05-18T00:00:00"/>
    <d v="2026-06-17T00:00:00"/>
    <n v="30"/>
    <n v="6924.21"/>
    <n v="6924.21"/>
    <n v="0"/>
    <d v="2026-05-31T00:00:00"/>
    <x v="0"/>
    <s v="Check"/>
    <n v="13"/>
    <n v="17"/>
    <s v="Yes"/>
    <s v="Yes"/>
    <n v="0.01"/>
    <s v="No"/>
    <n v="0"/>
  </r>
  <r>
    <s v="AP-0071"/>
    <s v="VND-009"/>
    <s v="MetalWorks Ltd."/>
    <s v="Materials"/>
    <s v="West"/>
    <s v="Sofia Reyes"/>
    <d v="2026-05-19T00:00:00"/>
    <d v="2026-07-18T00:00:00"/>
    <n v="60"/>
    <n v="5555.94"/>
    <n v="0"/>
    <n v="5555.94"/>
    <m/>
    <x v="2"/>
    <s v="ACH"/>
    <m/>
    <m/>
    <m/>
    <s v="Yes"/>
    <n v="0.01"/>
    <s v="No"/>
    <n v="0"/>
  </r>
  <r>
    <s v="AP-0072"/>
    <s v="VND-019"/>
    <s v="SkyNet IT Solutions"/>
    <s v="IT"/>
    <s v="East"/>
    <s v="Sofia Reyes"/>
    <d v="2026-03-03T00:00:00"/>
    <d v="2026-04-02T00:00:00"/>
    <n v="30"/>
    <n v="50473.82"/>
    <n v="50473.82"/>
    <n v="0"/>
    <d v="2026-04-19T00:00:00"/>
    <x v="0"/>
    <s v="Wire"/>
    <n v="47"/>
    <n v="-17"/>
    <s v="No"/>
    <s v="No"/>
    <n v="0"/>
    <s v="No"/>
    <n v="0"/>
  </r>
  <r>
    <s v="AP-0073"/>
    <s v="VND-015"/>
    <s v="ExpressRoute Logistics"/>
    <s v="Logistics"/>
    <s v="West"/>
    <s v="Laura Chen"/>
    <d v="2025-03-03T00:00:00"/>
    <d v="2025-04-17T00:00:00"/>
    <n v="45"/>
    <n v="12582.99"/>
    <n v="0"/>
    <n v="12582.99"/>
    <m/>
    <x v="1"/>
    <s v="Credit Card"/>
    <m/>
    <n v="-409"/>
    <s v="No"/>
    <s v="No"/>
    <n v="0"/>
    <s v="No"/>
    <n v="0"/>
  </r>
  <r>
    <s v="AP-0074"/>
    <s v="VND-007"/>
    <s v="ProStaff Services"/>
    <s v="Services"/>
    <s v="South"/>
    <s v="Laura Chen"/>
    <d v="2025-09-03T00:00:00"/>
    <d v="2025-10-03T00:00:00"/>
    <n v="30"/>
    <n v="9431.1"/>
    <n v="9431.1"/>
    <n v="0"/>
    <d v="2025-09-23T00:00:00"/>
    <x v="0"/>
    <s v="ACH"/>
    <n v="20"/>
    <n v="10"/>
    <s v="Yes"/>
    <s v="Yes"/>
    <n v="0.01"/>
    <s v="No"/>
    <n v="0"/>
  </r>
  <r>
    <s v="AP-0075"/>
    <s v="VND-010"/>
    <s v="DataBridge IT"/>
    <s v="IT"/>
    <s v="North"/>
    <s v="Marco Diaz"/>
    <d v="2026-04-10T00:00:00"/>
    <d v="2026-05-25T00:00:00"/>
    <n v="45"/>
    <n v="10338.48"/>
    <n v="10338.48"/>
    <n v="0"/>
    <d v="2026-05-28T00:00:00"/>
    <x v="0"/>
    <s v="Check"/>
    <n v="48"/>
    <n v="-3"/>
    <s v="No"/>
    <s v="Yes"/>
    <n v="1.4999999999999999E-2"/>
    <s v="No"/>
    <n v="0"/>
  </r>
  <r>
    <s v="AP-0076"/>
    <s v="VND-019"/>
    <s v="SkyNet IT Solutions"/>
    <s v="IT"/>
    <s v="South"/>
    <s v="Pedro Alvarez"/>
    <d v="2025-06-02T00:00:00"/>
    <d v="2025-07-02T00:00:00"/>
    <n v="30"/>
    <n v="73130.86"/>
    <n v="73130.86"/>
    <n v="0"/>
    <d v="2025-07-05T00:00:00"/>
    <x v="0"/>
    <s v="ACH"/>
    <n v="33"/>
    <n v="-3"/>
    <s v="No"/>
    <s v="No"/>
    <n v="0"/>
    <s v="No"/>
    <n v="0"/>
  </r>
  <r>
    <s v="AP-0077"/>
    <s v="VND-024"/>
    <s v="EliteFacilities Corp."/>
    <s v="Facilities"/>
    <s v="Central"/>
    <s v="Laura Chen"/>
    <d v="2026-04-25T00:00:00"/>
    <d v="2026-05-25T00:00:00"/>
    <n v="30"/>
    <n v="24726.37"/>
    <n v="0"/>
    <n v="24726.37"/>
    <m/>
    <x v="1"/>
    <s v="Credit Card"/>
    <m/>
    <n v="-6"/>
    <s v="No"/>
    <s v="Yes"/>
    <n v="0.01"/>
    <s v="No"/>
    <n v="0"/>
  </r>
  <r>
    <s v="AP-0078"/>
    <s v="VND-016"/>
    <s v="CleanWater Utilities"/>
    <s v="Utilities"/>
    <s v="West"/>
    <s v="Sofia Reyes"/>
    <d v="2025-11-27T00:00:00"/>
    <d v="2026-01-26T00:00:00"/>
    <n v="60"/>
    <n v="9253.85"/>
    <n v="9253.85"/>
    <n v="0"/>
    <d v="2026-01-31T00:00:00"/>
    <x v="0"/>
    <s v="ACH"/>
    <n v="65"/>
    <n v="-5"/>
    <s v="No"/>
    <s v="Yes"/>
    <n v="0.01"/>
    <s v="No"/>
    <n v="0"/>
  </r>
  <r>
    <s v="AP-0079"/>
    <s v="VND-022"/>
    <s v="Apex Consulting"/>
    <s v="Services"/>
    <s v="Central"/>
    <s v="Ana Torres"/>
    <d v="2025-02-11T00:00:00"/>
    <d v="2025-03-28T00:00:00"/>
    <n v="45"/>
    <n v="31235.03"/>
    <n v="31235.03"/>
    <n v="0"/>
    <d v="2025-03-22T00:00:00"/>
    <x v="0"/>
    <s v="ACH"/>
    <n v="39"/>
    <n v="6"/>
    <s v="Yes"/>
    <s v="Yes"/>
    <n v="1.4999999999999999E-2"/>
    <s v="No"/>
    <n v="0"/>
  </r>
  <r>
    <s v="AP-0080"/>
    <s v="VND-019"/>
    <s v="SkyNet IT Solutions"/>
    <s v="IT"/>
    <s v="West"/>
    <s v="Pedro Alvarez"/>
    <d v="2025-12-23T00:00:00"/>
    <d v="2026-03-23T00:00:00"/>
    <n v="90"/>
    <n v="35626.11"/>
    <n v="35626.11"/>
    <n v="0"/>
    <d v="2026-03-25T00:00:00"/>
    <x v="0"/>
    <s v="ACH"/>
    <n v="92"/>
    <n v="-2"/>
    <s v="No"/>
    <s v="Yes"/>
    <n v="5.0000000000000001E-3"/>
    <s v="No"/>
    <n v="0"/>
  </r>
  <r>
    <s v="AP-0081"/>
    <s v="VND-006"/>
    <s v="PowerGrid Utilities"/>
    <s v="Utilities"/>
    <s v="East"/>
    <s v="Pedro Alvarez"/>
    <d v="2026-02-15T00:00:00"/>
    <d v="2026-04-01T00:00:00"/>
    <n v="45"/>
    <n v="12296.71"/>
    <n v="12296.71"/>
    <n v="0"/>
    <d v="2026-03-30T00:00:00"/>
    <x v="0"/>
    <s v="Credit Card"/>
    <n v="43"/>
    <n v="2"/>
    <s v="Yes"/>
    <s v="Yes"/>
    <n v="1.4999999999999999E-2"/>
    <s v="No"/>
    <n v="0"/>
  </r>
  <r>
    <s v="AP-0082"/>
    <s v="VND-025"/>
    <s v="RapidShip Co."/>
    <s v="Logistics"/>
    <s v="West"/>
    <s v="Ana Torres"/>
    <d v="2026-02-28T00:00:00"/>
    <d v="2026-05-29T00:00:00"/>
    <n v="90"/>
    <n v="2029.88"/>
    <n v="2029.88"/>
    <n v="0"/>
    <d v="2026-05-31T00:00:00"/>
    <x v="0"/>
    <s v="ACH"/>
    <n v="92"/>
    <n v="-2"/>
    <s v="No"/>
    <s v="Yes"/>
    <n v="5.0000000000000001E-3"/>
    <s v="No"/>
    <n v="0"/>
  </r>
  <r>
    <s v="AP-0083"/>
    <s v="VND-015"/>
    <s v="ExpressRoute Logistics"/>
    <s v="Logistics"/>
    <s v="North"/>
    <s v="Marco Diaz"/>
    <d v="2025-10-22T00:00:00"/>
    <d v="2025-11-21T00:00:00"/>
    <n v="30"/>
    <n v="9324.2099999999991"/>
    <n v="9324.2099999999991"/>
    <n v="0"/>
    <d v="2025-12-01T00:00:00"/>
    <x v="0"/>
    <s v="Check"/>
    <n v="40"/>
    <n v="-10"/>
    <s v="No"/>
    <s v="Yes"/>
    <n v="0.01"/>
    <s v="No"/>
    <n v="0"/>
  </r>
  <r>
    <s v="AP-0084"/>
    <s v="VND-008"/>
    <s v="GreenEnergy Corp."/>
    <s v="Utilities"/>
    <s v="South"/>
    <s v="Laura Chen"/>
    <d v="2025-04-06T00:00:00"/>
    <d v="2025-06-05T00:00:00"/>
    <n v="60"/>
    <n v="3758.16"/>
    <n v="3758.16"/>
    <n v="0"/>
    <d v="2025-06-04T00:00:00"/>
    <x v="0"/>
    <s v="ACH"/>
    <n v="59"/>
    <n v="1"/>
    <s v="Yes"/>
    <s v="No"/>
    <n v="0"/>
    <s v="No"/>
    <n v="0"/>
  </r>
  <r>
    <s v="AP-0085"/>
    <s v="VND-004"/>
    <s v="BuildRight Materials"/>
    <s v="Materials"/>
    <s v="South"/>
    <s v="Pedro Alvarez"/>
    <d v="2026-03-02T00:00:00"/>
    <d v="2026-04-16T00:00:00"/>
    <n v="45"/>
    <n v="42066.75"/>
    <n v="42066.75"/>
    <n v="0"/>
    <d v="2026-04-03T00:00:00"/>
    <x v="0"/>
    <s v="Check"/>
    <n v="32"/>
    <n v="13"/>
    <s v="Yes"/>
    <s v="No"/>
    <n v="0"/>
    <s v="No"/>
    <n v="0"/>
  </r>
  <r>
    <s v="AP-0086"/>
    <s v="VND-017"/>
    <s v="OfficePro Services"/>
    <s v="Services"/>
    <s v="South"/>
    <s v="Sofia Reyes"/>
    <d v="2025-12-15T00:00:00"/>
    <d v="2026-02-13T00:00:00"/>
    <n v="60"/>
    <n v="37567.19"/>
    <n v="16582.89"/>
    <n v="20984.3"/>
    <d v="2026-02-17T00:00:00"/>
    <x v="3"/>
    <s v="Check"/>
    <n v="64"/>
    <n v="-4"/>
    <s v="No"/>
    <s v="Yes"/>
    <n v="0.01"/>
    <s v="No"/>
    <n v="0"/>
  </r>
  <r>
    <s v="AP-0087"/>
    <s v="VND-019"/>
    <s v="SkyNet IT Solutions"/>
    <s v="IT"/>
    <s v="Central"/>
    <s v="Pedro Alvarez"/>
    <d v="2026-05-11T00:00:00"/>
    <d v="2026-08-09T00:00:00"/>
    <n v="90"/>
    <n v="30884.3"/>
    <n v="30884.3"/>
    <n v="0"/>
    <d v="2026-05-31T00:00:00"/>
    <x v="0"/>
    <s v="Wire"/>
    <n v="20"/>
    <n v="70"/>
    <s v="Yes"/>
    <s v="Yes"/>
    <n v="5.0000000000000001E-3"/>
    <s v="Yes"/>
    <n v="154.41999999999999"/>
  </r>
  <r>
    <s v="AP-0088"/>
    <s v="VND-011"/>
    <s v="QuickFreight Inc."/>
    <s v="Logistics"/>
    <s v="South"/>
    <s v="Marco Diaz"/>
    <d v="2026-02-25T00:00:00"/>
    <d v="2026-03-27T00:00:00"/>
    <n v="30"/>
    <n v="1829.3"/>
    <n v="1829.3"/>
    <n v="0"/>
    <d v="2026-03-29T00:00:00"/>
    <x v="0"/>
    <s v="Credit Card"/>
    <n v="32"/>
    <n v="-2"/>
    <s v="No"/>
    <s v="No"/>
    <n v="0"/>
    <s v="No"/>
    <n v="0"/>
  </r>
  <r>
    <s v="AP-0089"/>
    <s v="VND-022"/>
    <s v="Apex Consulting"/>
    <s v="Services"/>
    <s v="South"/>
    <s v="Pedro Alvarez"/>
    <d v="2026-05-30T00:00:00"/>
    <d v="2026-06-29T00:00:00"/>
    <n v="30"/>
    <n v="38718.080000000002"/>
    <n v="38718.080000000002"/>
    <n v="0"/>
    <d v="2026-05-31T00:00:00"/>
    <x v="0"/>
    <s v="ACH"/>
    <n v="1"/>
    <n v="29"/>
    <s v="Yes"/>
    <s v="Yes"/>
    <n v="0.01"/>
    <s v="Yes"/>
    <n v="387.18"/>
  </r>
  <r>
    <s v="AP-0090"/>
    <s v="VND-004"/>
    <s v="BuildRight Materials"/>
    <s v="Materials"/>
    <s v="Central"/>
    <s v="Pedro Alvarez"/>
    <d v="2026-02-24T00:00:00"/>
    <d v="2026-03-26T00:00:00"/>
    <n v="30"/>
    <n v="43804.78"/>
    <n v="43804.78"/>
    <n v="0"/>
    <d v="2026-03-27T00:00:00"/>
    <x v="0"/>
    <s v="ACH"/>
    <n v="31"/>
    <n v="-1"/>
    <s v="No"/>
    <s v="No"/>
    <n v="0"/>
    <s v="No"/>
    <n v="0"/>
  </r>
  <r>
    <s v="AP-0091"/>
    <s v="VND-020"/>
    <s v="TrustBuild Facilities"/>
    <s v="Facilities"/>
    <s v="West"/>
    <s v="Sofia Reyes"/>
    <d v="2025-11-21T00:00:00"/>
    <d v="2026-01-20T00:00:00"/>
    <n v="60"/>
    <n v="22684.37"/>
    <n v="22684.37"/>
    <n v="0"/>
    <d v="2026-01-14T00:00:00"/>
    <x v="0"/>
    <s v="Check"/>
    <n v="54"/>
    <n v="6"/>
    <s v="Yes"/>
    <s v="No"/>
    <n v="0"/>
    <s v="No"/>
    <n v="0"/>
  </r>
  <r>
    <s v="AP-0092"/>
    <s v="VND-018"/>
    <s v="BuildFast Materials"/>
    <s v="Materials"/>
    <s v="North"/>
    <s v="Ana Torres"/>
    <d v="2025-10-22T00:00:00"/>
    <d v="2025-11-21T00:00:00"/>
    <n v="30"/>
    <n v="49876.44"/>
    <n v="49876.44"/>
    <n v="0"/>
    <d v="2025-11-30T00:00:00"/>
    <x v="0"/>
    <s v="ACH"/>
    <n v="39"/>
    <n v="-9"/>
    <s v="No"/>
    <s v="No"/>
    <n v="0"/>
    <s v="No"/>
    <n v="0"/>
  </r>
  <r>
    <s v="AP-0093"/>
    <s v="VND-004"/>
    <s v="BuildRight Materials"/>
    <s v="Materials"/>
    <s v="West"/>
    <s v="Marco Diaz"/>
    <d v="2025-02-17T00:00:00"/>
    <d v="2025-03-04T00:00:00"/>
    <n v="15"/>
    <n v="17569.98"/>
    <n v="17569.98"/>
    <n v="0"/>
    <d v="2025-03-10T00:00:00"/>
    <x v="0"/>
    <s v="Check"/>
    <n v="21"/>
    <n v="-6"/>
    <s v="No"/>
    <s v="Yes"/>
    <n v="0.02"/>
    <s v="No"/>
    <n v="0"/>
  </r>
  <r>
    <s v="AP-0094"/>
    <s v="VND-014"/>
    <s v="NetConnect Systems"/>
    <s v="IT"/>
    <s v="South"/>
    <s v="Marco Diaz"/>
    <d v="2025-06-24T00:00:00"/>
    <d v="2025-07-24T00:00:00"/>
    <n v="30"/>
    <n v="18130.2"/>
    <n v="18130.2"/>
    <n v="0"/>
    <d v="2025-07-21T00:00:00"/>
    <x v="0"/>
    <s v="Credit Card"/>
    <n v="27"/>
    <n v="3"/>
    <s v="Yes"/>
    <s v="Yes"/>
    <n v="0.01"/>
    <s v="No"/>
    <n v="0"/>
  </r>
  <r>
    <s v="AP-0095"/>
    <s v="VND-019"/>
    <s v="SkyNet IT Solutions"/>
    <s v="IT"/>
    <s v="South"/>
    <s v="Marco Diaz"/>
    <d v="2026-04-16T00:00:00"/>
    <d v="2026-05-31T00:00:00"/>
    <n v="45"/>
    <n v="24149.5"/>
    <n v="15426.83"/>
    <n v="8722.67"/>
    <d v="2026-05-31T00:00:00"/>
    <x v="3"/>
    <s v="Credit Card"/>
    <n v="45"/>
    <n v="0"/>
    <s v="Yes"/>
    <s v="Yes"/>
    <n v="1.4999999999999999E-2"/>
    <s v="No"/>
    <n v="0"/>
  </r>
  <r>
    <s v="AP-0096"/>
    <s v="VND-003"/>
    <s v="FastShip Logistics"/>
    <s v="Logistics"/>
    <s v="West"/>
    <s v="Laura Chen"/>
    <d v="2025-09-14T00:00:00"/>
    <d v="2025-11-13T00:00:00"/>
    <n v="60"/>
    <n v="9679.8799999999992"/>
    <n v="0"/>
    <n v="9679.8799999999992"/>
    <m/>
    <x v="1"/>
    <s v="Check"/>
    <m/>
    <n v="-199"/>
    <s v="No"/>
    <s v="Yes"/>
    <n v="0.01"/>
    <s v="No"/>
    <n v="0"/>
  </r>
  <r>
    <s v="AP-0097"/>
    <s v="VND-016"/>
    <s v="CleanWater Utilities"/>
    <s v="Utilities"/>
    <s v="North"/>
    <s v="Marco Diaz"/>
    <d v="2025-10-30T00:00:00"/>
    <d v="2025-12-29T00:00:00"/>
    <n v="60"/>
    <n v="14894.03"/>
    <n v="0"/>
    <n v="14894.03"/>
    <m/>
    <x v="1"/>
    <s v="Credit Card"/>
    <m/>
    <n v="-153"/>
    <s v="No"/>
    <s v="Yes"/>
    <n v="0.01"/>
    <s v="No"/>
    <n v="0"/>
  </r>
  <r>
    <s v="AP-0098"/>
    <s v="VND-022"/>
    <s v="Apex Consulting"/>
    <s v="Services"/>
    <s v="West"/>
    <s v="Laura Chen"/>
    <d v="2026-05-24T00:00:00"/>
    <d v="2026-06-08T00:00:00"/>
    <n v="15"/>
    <n v="33815.040000000001"/>
    <n v="0"/>
    <n v="33815.040000000001"/>
    <m/>
    <x v="2"/>
    <s v="ACH"/>
    <m/>
    <m/>
    <m/>
    <s v="No"/>
    <n v="0"/>
    <s v="No"/>
    <n v="0"/>
  </r>
  <r>
    <s v="AP-0099"/>
    <s v="VND-012"/>
    <s v="FacilityPro Services"/>
    <s v="Facilities"/>
    <s v="South"/>
    <s v="Marco Diaz"/>
    <d v="2025-04-10T00:00:00"/>
    <d v="2025-05-10T00:00:00"/>
    <n v="30"/>
    <n v="31812.32"/>
    <n v="31812.32"/>
    <n v="0"/>
    <d v="2025-05-02T00:00:00"/>
    <x v="0"/>
    <s v="Check"/>
    <n v="22"/>
    <n v="8"/>
    <s v="Yes"/>
    <s v="Yes"/>
    <n v="0.01"/>
    <s v="No"/>
    <n v="0"/>
  </r>
  <r>
    <s v="AP-0100"/>
    <s v="VND-015"/>
    <s v="ExpressRoute Logistics"/>
    <s v="Logistics"/>
    <s v="North"/>
    <s v="Ana Torres"/>
    <d v="2025-04-03T00:00:00"/>
    <d v="2025-05-03T00:00:00"/>
    <n v="30"/>
    <n v="18282.93"/>
    <n v="18282.93"/>
    <n v="0"/>
    <d v="2025-05-07T00:00:00"/>
    <x v="0"/>
    <s v="Check"/>
    <n v="34"/>
    <n v="-4"/>
    <s v="No"/>
    <s v="Yes"/>
    <n v="0.01"/>
    <s v="No"/>
    <n v="0"/>
  </r>
  <r>
    <s v="AP-0101"/>
    <s v="VND-012"/>
    <s v="FacilityPro Services"/>
    <s v="Facilities"/>
    <s v="Central"/>
    <s v="Ana Torres"/>
    <d v="2025-09-21T00:00:00"/>
    <d v="2025-10-21T00:00:00"/>
    <n v="30"/>
    <n v="32163.62"/>
    <n v="0"/>
    <n v="32163.62"/>
    <m/>
    <x v="1"/>
    <s v="Check"/>
    <m/>
    <n v="-222"/>
    <s v="No"/>
    <s v="No"/>
    <n v="0"/>
    <s v="No"/>
    <n v="0"/>
  </r>
  <r>
    <s v="AP-0102"/>
    <s v="VND-010"/>
    <s v="DataBridge IT"/>
    <s v="IT"/>
    <s v="East"/>
    <s v="Sofia Reyes"/>
    <d v="2025-05-25T00:00:00"/>
    <d v="2025-06-24T00:00:00"/>
    <n v="30"/>
    <n v="61561.36"/>
    <n v="61561.36"/>
    <n v="0"/>
    <d v="2025-07-07T00:00:00"/>
    <x v="0"/>
    <s v="Credit Card"/>
    <n v="43"/>
    <n v="-13"/>
    <s v="No"/>
    <s v="Yes"/>
    <n v="0.01"/>
    <s v="No"/>
    <n v="0"/>
  </r>
  <r>
    <s v="AP-0103"/>
    <s v="VND-022"/>
    <s v="Apex Consulting"/>
    <s v="Services"/>
    <s v="West"/>
    <s v="Ana Torres"/>
    <d v="2026-02-09T00:00:00"/>
    <d v="2026-03-11T00:00:00"/>
    <n v="30"/>
    <n v="3514.99"/>
    <n v="3514.99"/>
    <n v="0"/>
    <d v="2026-03-06T00:00:00"/>
    <x v="0"/>
    <s v="Check"/>
    <n v="25"/>
    <n v="5"/>
    <s v="Yes"/>
    <s v="Yes"/>
    <n v="0.01"/>
    <s v="No"/>
    <n v="0"/>
  </r>
  <r>
    <s v="AP-0104"/>
    <s v="VND-019"/>
    <s v="SkyNet IT Solutions"/>
    <s v="IT"/>
    <s v="West"/>
    <s v="Laura Chen"/>
    <d v="2026-04-28T00:00:00"/>
    <d v="2026-05-28T00:00:00"/>
    <n v="30"/>
    <n v="6876.85"/>
    <n v="6876.85"/>
    <n v="0"/>
    <d v="2026-05-18T00:00:00"/>
    <x v="0"/>
    <s v="ACH"/>
    <n v="20"/>
    <n v="10"/>
    <s v="Yes"/>
    <s v="No"/>
    <n v="0"/>
    <s v="No"/>
    <n v="0"/>
  </r>
  <r>
    <s v="AP-0105"/>
    <s v="VND-008"/>
    <s v="GreenEnergy Corp."/>
    <s v="Utilities"/>
    <s v="North"/>
    <s v="Pedro Alvarez"/>
    <d v="2025-04-30T00:00:00"/>
    <d v="2025-06-29T00:00:00"/>
    <n v="60"/>
    <n v="2526.77"/>
    <n v="2526.77"/>
    <n v="0"/>
    <d v="2025-06-26T00:00:00"/>
    <x v="0"/>
    <s v="Check"/>
    <n v="57"/>
    <n v="3"/>
    <s v="Yes"/>
    <s v="No"/>
    <n v="0"/>
    <s v="No"/>
    <n v="0"/>
  </r>
  <r>
    <s v="AP-0106"/>
    <s v="VND-018"/>
    <s v="BuildFast Materials"/>
    <s v="Materials"/>
    <s v="South"/>
    <s v="Pedro Alvarez"/>
    <d v="2026-03-06T00:00:00"/>
    <d v="2026-05-05T00:00:00"/>
    <n v="60"/>
    <n v="30192.34"/>
    <n v="21643.27"/>
    <n v="8549.07"/>
    <d v="2026-05-19T00:00:00"/>
    <x v="3"/>
    <s v="Credit Card"/>
    <n v="74"/>
    <n v="-14"/>
    <s v="No"/>
    <s v="No"/>
    <n v="0"/>
    <s v="No"/>
    <n v="0"/>
  </r>
  <r>
    <s v="AP-0107"/>
    <s v="VND-014"/>
    <s v="NetConnect Systems"/>
    <s v="IT"/>
    <s v="East"/>
    <s v="Sofia Reyes"/>
    <d v="2026-03-31T00:00:00"/>
    <d v="2026-04-30T00:00:00"/>
    <n v="30"/>
    <n v="38352.19"/>
    <n v="38352.19"/>
    <n v="0"/>
    <d v="2026-04-30T00:00:00"/>
    <x v="0"/>
    <s v="Check"/>
    <n v="30"/>
    <n v="0"/>
    <s v="Yes"/>
    <s v="Yes"/>
    <n v="0.01"/>
    <s v="No"/>
    <n v="0"/>
  </r>
  <r>
    <s v="AP-0108"/>
    <s v="VND-012"/>
    <s v="FacilityPro Services"/>
    <s v="Facilities"/>
    <s v="Central"/>
    <s v="Laura Chen"/>
    <d v="2025-10-10T00:00:00"/>
    <d v="2025-12-09T00:00:00"/>
    <n v="60"/>
    <n v="8263.68"/>
    <n v="4357.92"/>
    <n v="3905.76"/>
    <d v="2025-12-25T00:00:00"/>
    <x v="3"/>
    <s v="ACH"/>
    <n v="76"/>
    <n v="-16"/>
    <s v="No"/>
    <s v="Yes"/>
    <n v="0.01"/>
    <s v="No"/>
    <n v="0"/>
  </r>
  <r>
    <s v="AP-0109"/>
    <s v="VND-007"/>
    <s v="ProStaff Services"/>
    <s v="Services"/>
    <s v="Central"/>
    <s v="Sofia Reyes"/>
    <d v="2025-09-07T00:00:00"/>
    <d v="2025-11-06T00:00:00"/>
    <n v="60"/>
    <n v="39586.370000000003"/>
    <n v="39586.370000000003"/>
    <n v="0"/>
    <d v="2025-11-10T00:00:00"/>
    <x v="0"/>
    <s v="ACH"/>
    <n v="64"/>
    <n v="-4"/>
    <s v="No"/>
    <s v="No"/>
    <n v="0"/>
    <s v="No"/>
    <n v="0"/>
  </r>
  <r>
    <s v="AP-0110"/>
    <s v="VND-019"/>
    <s v="SkyNet IT Solutions"/>
    <s v="IT"/>
    <s v="South"/>
    <s v="Marco Diaz"/>
    <d v="2025-01-03T00:00:00"/>
    <d v="2025-02-02T00:00:00"/>
    <n v="30"/>
    <n v="25795.61"/>
    <n v="0"/>
    <n v="25795.61"/>
    <m/>
    <x v="1"/>
    <s v="Check"/>
    <m/>
    <n v="-483"/>
    <s v="No"/>
    <s v="No"/>
    <n v="0"/>
    <s v="No"/>
    <n v="0"/>
  </r>
  <r>
    <s v="AP-0111"/>
    <s v="VND-018"/>
    <s v="BuildFast Materials"/>
    <s v="Materials"/>
    <s v="East"/>
    <s v="Marco Diaz"/>
    <d v="2025-05-15T00:00:00"/>
    <d v="2025-05-30T00:00:00"/>
    <n v="15"/>
    <n v="2713.3"/>
    <n v="2713.3"/>
    <n v="0"/>
    <d v="2025-05-22T00:00:00"/>
    <x v="0"/>
    <s v="ACH"/>
    <n v="7"/>
    <n v="8"/>
    <s v="Yes"/>
    <s v="No"/>
    <n v="0"/>
    <s v="No"/>
    <n v="0"/>
  </r>
  <r>
    <s v="AP-0112"/>
    <s v="VND-011"/>
    <s v="QuickFreight Inc."/>
    <s v="Logistics"/>
    <s v="North"/>
    <s v="Marco Diaz"/>
    <d v="2025-05-10T00:00:00"/>
    <d v="2025-05-25T00:00:00"/>
    <n v="15"/>
    <n v="15092.64"/>
    <n v="15092.64"/>
    <n v="0"/>
    <d v="2025-05-12T00:00:00"/>
    <x v="0"/>
    <s v="Check"/>
    <n v="2"/>
    <n v="13"/>
    <s v="Yes"/>
    <s v="Yes"/>
    <n v="0.02"/>
    <s v="Yes"/>
    <n v="301.85000000000002"/>
  </r>
  <r>
    <s v="AP-0113"/>
    <s v="VND-017"/>
    <s v="OfficePro Services"/>
    <s v="Services"/>
    <s v="Central"/>
    <s v="Sofia Reyes"/>
    <d v="2025-02-14T00:00:00"/>
    <d v="2025-03-16T00:00:00"/>
    <n v="30"/>
    <n v="29907.99"/>
    <n v="29907.99"/>
    <n v="0"/>
    <d v="2025-03-18T00:00:00"/>
    <x v="0"/>
    <s v="Credit Card"/>
    <n v="32"/>
    <n v="-2"/>
    <s v="No"/>
    <s v="No"/>
    <n v="0"/>
    <s v="No"/>
    <n v="0"/>
  </r>
  <r>
    <s v="AP-0114"/>
    <s v="VND-010"/>
    <s v="DataBridge IT"/>
    <s v="IT"/>
    <s v="West"/>
    <s v="Sofia Reyes"/>
    <d v="2026-02-16T00:00:00"/>
    <d v="2026-05-17T00:00:00"/>
    <n v="90"/>
    <n v="36970.519999999997"/>
    <n v="36970.519999999997"/>
    <n v="0"/>
    <d v="2026-05-22T00:00:00"/>
    <x v="0"/>
    <s v="ACH"/>
    <n v="95"/>
    <n v="-5"/>
    <s v="No"/>
    <s v="Yes"/>
    <n v="5.0000000000000001E-3"/>
    <s v="No"/>
    <n v="0"/>
  </r>
  <r>
    <s v="AP-0115"/>
    <s v="VND-005"/>
    <s v="CloudSys Inc."/>
    <s v="IT"/>
    <s v="North"/>
    <s v="Marco Diaz"/>
    <d v="2026-01-26T00:00:00"/>
    <d v="2026-03-27T00:00:00"/>
    <n v="60"/>
    <n v="79597.08"/>
    <n v="79597.08"/>
    <n v="0"/>
    <d v="2026-03-23T00:00:00"/>
    <x v="0"/>
    <s v="Check"/>
    <n v="56"/>
    <n v="4"/>
    <s v="Yes"/>
    <s v="Yes"/>
    <n v="0.01"/>
    <s v="No"/>
    <n v="0"/>
  </r>
  <r>
    <s v="AP-0116"/>
    <s v="VND-020"/>
    <s v="TrustBuild Facilities"/>
    <s v="Facilities"/>
    <s v="West"/>
    <s v="Sofia Reyes"/>
    <d v="2026-03-17T00:00:00"/>
    <d v="2026-04-16T00:00:00"/>
    <n v="30"/>
    <n v="16901.310000000001"/>
    <n v="16901.310000000001"/>
    <n v="0"/>
    <d v="2026-04-13T00:00:00"/>
    <x v="0"/>
    <s v="ACH"/>
    <n v="27"/>
    <n v="3"/>
    <s v="Yes"/>
    <s v="Yes"/>
    <n v="0.01"/>
    <s v="No"/>
    <n v="0"/>
  </r>
  <r>
    <s v="AP-0117"/>
    <s v="VND-014"/>
    <s v="NetConnect Systems"/>
    <s v="IT"/>
    <s v="East"/>
    <s v="Laura Chen"/>
    <d v="2026-05-01T00:00:00"/>
    <d v="2026-05-31T00:00:00"/>
    <n v="30"/>
    <n v="10035"/>
    <n v="0"/>
    <n v="10035"/>
    <m/>
    <x v="2"/>
    <s v="Check"/>
    <m/>
    <m/>
    <m/>
    <s v="No"/>
    <n v="0"/>
    <s v="No"/>
    <n v="0"/>
  </r>
  <r>
    <s v="AP-0118"/>
    <s v="VND-024"/>
    <s v="EliteFacilities Corp."/>
    <s v="Facilities"/>
    <s v="East"/>
    <s v="Marco Diaz"/>
    <d v="2025-05-06T00:00:00"/>
    <d v="2025-07-05T00:00:00"/>
    <n v="60"/>
    <n v="15556.68"/>
    <n v="0"/>
    <n v="15556.68"/>
    <m/>
    <x v="1"/>
    <s v="ACH"/>
    <m/>
    <n v="-330"/>
    <s v="No"/>
    <s v="No"/>
    <n v="0"/>
    <s v="No"/>
    <n v="0"/>
  </r>
  <r>
    <s v="AP-0119"/>
    <s v="VND-014"/>
    <s v="NetConnect Systems"/>
    <s v="IT"/>
    <s v="North"/>
    <s v="Laura Chen"/>
    <d v="2025-04-17T00:00:00"/>
    <d v="2025-06-16T00:00:00"/>
    <n v="60"/>
    <n v="48343.89"/>
    <n v="48343.89"/>
    <n v="0"/>
    <d v="2025-06-17T00:00:00"/>
    <x v="0"/>
    <s v="Check"/>
    <n v="61"/>
    <n v="-1"/>
    <s v="No"/>
    <s v="Yes"/>
    <n v="0.01"/>
    <s v="No"/>
    <n v="0"/>
  </r>
  <r>
    <s v="AP-0120"/>
    <s v="VND-008"/>
    <s v="GreenEnergy Corp."/>
    <s v="Utilities"/>
    <s v="North"/>
    <s v="Laura Chen"/>
    <d v="2025-10-13T00:00:00"/>
    <d v="2025-11-12T00:00:00"/>
    <n v="30"/>
    <n v="8824.4500000000007"/>
    <n v="6947.25"/>
    <n v="1877.2"/>
    <d v="2025-11-26T00:00:00"/>
    <x v="3"/>
    <s v="Check"/>
    <n v="44"/>
    <n v="-14"/>
    <s v="No"/>
    <s v="No"/>
    <n v="0"/>
    <s v="No"/>
    <n v="0"/>
  </r>
  <r>
    <s v="AP-0121"/>
    <s v="VND-020"/>
    <s v="TrustBuild Facilities"/>
    <s v="Facilities"/>
    <s v="Central"/>
    <s v="Sofia Reyes"/>
    <d v="2025-07-04T00:00:00"/>
    <d v="2025-07-19T00:00:00"/>
    <n v="15"/>
    <n v="11017.92"/>
    <n v="0"/>
    <n v="11017.92"/>
    <m/>
    <x v="1"/>
    <s v="Check"/>
    <m/>
    <n v="-316"/>
    <s v="No"/>
    <s v="No"/>
    <n v="0"/>
    <s v="No"/>
    <n v="0"/>
  </r>
  <r>
    <s v="AP-0122"/>
    <s v="VND-012"/>
    <s v="FacilityPro Services"/>
    <s v="Facilities"/>
    <s v="North"/>
    <s v="Marco Diaz"/>
    <d v="2025-03-13T00:00:00"/>
    <d v="2025-05-12T00:00:00"/>
    <n v="60"/>
    <n v="6681.86"/>
    <n v="6681.86"/>
    <n v="0"/>
    <d v="2025-05-12T00:00:00"/>
    <x v="0"/>
    <s v="Wire"/>
    <n v="60"/>
    <n v="0"/>
    <s v="Yes"/>
    <s v="Yes"/>
    <n v="0.01"/>
    <s v="No"/>
    <n v="0"/>
  </r>
  <r>
    <s v="AP-0123"/>
    <s v="VND-014"/>
    <s v="NetConnect Systems"/>
    <s v="IT"/>
    <s v="West"/>
    <s v="Laura Chen"/>
    <d v="2025-11-16T00:00:00"/>
    <d v="2026-01-15T00:00:00"/>
    <n v="60"/>
    <n v="59119.7"/>
    <n v="59119.7"/>
    <n v="0"/>
    <d v="2026-01-10T00:00:00"/>
    <x v="0"/>
    <s v="Wire"/>
    <n v="55"/>
    <n v="5"/>
    <s v="Yes"/>
    <s v="No"/>
    <n v="0"/>
    <s v="No"/>
    <n v="0"/>
  </r>
  <r>
    <s v="AP-0124"/>
    <s v="VND-003"/>
    <s v="FastShip Logistics"/>
    <s v="Logistics"/>
    <s v="North"/>
    <s v="Marco Diaz"/>
    <d v="2025-03-25T00:00:00"/>
    <d v="2025-04-09T00:00:00"/>
    <n v="15"/>
    <n v="6169.95"/>
    <n v="6169.95"/>
    <n v="0"/>
    <d v="2025-04-04T00:00:00"/>
    <x v="0"/>
    <s v="Wire"/>
    <n v="10"/>
    <n v="5"/>
    <s v="Yes"/>
    <s v="Yes"/>
    <n v="0.02"/>
    <s v="No"/>
    <n v="0"/>
  </r>
  <r>
    <s v="AP-0125"/>
    <s v="VND-025"/>
    <s v="RapidShip Co."/>
    <s v="Logistics"/>
    <s v="Central"/>
    <s v="Sofia Reyes"/>
    <d v="2025-04-24T00:00:00"/>
    <d v="2025-06-23T00:00:00"/>
    <n v="60"/>
    <n v="6381.68"/>
    <n v="6381.68"/>
    <n v="0"/>
    <d v="2025-06-25T00:00:00"/>
    <x v="0"/>
    <s v="Check"/>
    <n v="62"/>
    <n v="-2"/>
    <s v="No"/>
    <s v="Yes"/>
    <n v="0.01"/>
    <s v="No"/>
    <n v="0"/>
  </r>
  <r>
    <s v="AP-0126"/>
    <s v="VND-022"/>
    <s v="Apex Consulting"/>
    <s v="Services"/>
    <s v="East"/>
    <s v="Sofia Reyes"/>
    <d v="2025-02-26T00:00:00"/>
    <d v="2025-04-27T00:00:00"/>
    <n v="60"/>
    <n v="3284.42"/>
    <n v="3284.42"/>
    <n v="0"/>
    <d v="2025-04-30T00:00:00"/>
    <x v="0"/>
    <s v="Wire"/>
    <n v="63"/>
    <n v="-3"/>
    <s v="No"/>
    <s v="Yes"/>
    <n v="0.01"/>
    <s v="No"/>
    <n v="0"/>
  </r>
  <r>
    <s v="AP-0127"/>
    <s v="VND-011"/>
    <s v="QuickFreight Inc."/>
    <s v="Logistics"/>
    <s v="North"/>
    <s v="Sofia Reyes"/>
    <d v="2025-06-29T00:00:00"/>
    <d v="2025-08-28T00:00:00"/>
    <n v="60"/>
    <n v="3454.53"/>
    <n v="3454.53"/>
    <n v="0"/>
    <d v="2025-09-01T00:00:00"/>
    <x v="0"/>
    <s v="Credit Card"/>
    <n v="64"/>
    <n v="-4"/>
    <s v="No"/>
    <s v="Yes"/>
    <n v="0.01"/>
    <s v="No"/>
    <n v="0"/>
  </r>
  <r>
    <s v="AP-0128"/>
    <s v="VND-018"/>
    <s v="BuildFast Materials"/>
    <s v="Materials"/>
    <s v="East"/>
    <s v="Sofia Reyes"/>
    <d v="2026-03-23T00:00:00"/>
    <d v="2026-04-07T00:00:00"/>
    <n v="15"/>
    <n v="2899.59"/>
    <n v="1701.19"/>
    <n v="1198.4000000000001"/>
    <d v="2026-04-24T00:00:00"/>
    <x v="3"/>
    <s v="Credit Card"/>
    <n v="32"/>
    <n v="-17"/>
    <s v="No"/>
    <s v="No"/>
    <n v="0"/>
    <s v="No"/>
    <n v="0"/>
  </r>
  <r>
    <s v="AP-0129"/>
    <s v="VND-021"/>
    <s v="PrimePack Logistics"/>
    <s v="Logistics"/>
    <s v="West"/>
    <s v="Laura Chen"/>
    <d v="2025-01-22T00:00:00"/>
    <d v="2025-03-23T00:00:00"/>
    <n v="60"/>
    <n v="19357.79"/>
    <n v="0"/>
    <n v="19357.79"/>
    <m/>
    <x v="1"/>
    <s v="ACH"/>
    <m/>
    <n v="-434"/>
    <s v="No"/>
    <s v="Yes"/>
    <n v="0.01"/>
    <s v="No"/>
    <n v="0"/>
  </r>
  <r>
    <s v="AP-0130"/>
    <s v="VND-015"/>
    <s v="ExpressRoute Logistics"/>
    <s v="Logistics"/>
    <s v="East"/>
    <s v="Sofia Reyes"/>
    <d v="2025-09-07T00:00:00"/>
    <d v="2025-10-07T00:00:00"/>
    <n v="30"/>
    <n v="9277.85"/>
    <n v="9277.85"/>
    <n v="0"/>
    <d v="2025-10-16T00:00:00"/>
    <x v="0"/>
    <s v="Credit Card"/>
    <n v="39"/>
    <n v="-9"/>
    <s v="No"/>
    <s v="Yes"/>
    <n v="0.01"/>
    <s v="No"/>
    <n v="0"/>
  </r>
  <r>
    <s v="AP-0131"/>
    <s v="VND-008"/>
    <s v="GreenEnergy Corp."/>
    <s v="Utilities"/>
    <s v="East"/>
    <s v="Marco Diaz"/>
    <d v="2025-07-18T00:00:00"/>
    <d v="2025-08-17T00:00:00"/>
    <n v="30"/>
    <n v="13635.88"/>
    <n v="13635.88"/>
    <n v="0"/>
    <d v="2025-08-08T00:00:00"/>
    <x v="0"/>
    <s v="ACH"/>
    <n v="21"/>
    <n v="9"/>
    <s v="Yes"/>
    <s v="Yes"/>
    <n v="0.01"/>
    <s v="No"/>
    <n v="0"/>
  </r>
  <r>
    <s v="AP-0132"/>
    <s v="VND-021"/>
    <s v="PrimePack Logistics"/>
    <s v="Logistics"/>
    <s v="South"/>
    <s v="Marco Diaz"/>
    <d v="2025-09-20T00:00:00"/>
    <d v="2025-10-20T00:00:00"/>
    <n v="30"/>
    <n v="4748.16"/>
    <n v="4748.16"/>
    <n v="0"/>
    <d v="2025-10-18T00:00:00"/>
    <x v="0"/>
    <s v="ACH"/>
    <n v="28"/>
    <n v="2"/>
    <s v="Yes"/>
    <s v="Yes"/>
    <n v="0.01"/>
    <s v="No"/>
    <n v="0"/>
  </r>
  <r>
    <s v="AP-0133"/>
    <s v="VND-025"/>
    <s v="RapidShip Co."/>
    <s v="Logistics"/>
    <s v="West"/>
    <s v="Pedro Alvarez"/>
    <d v="2025-11-20T00:00:00"/>
    <d v="2026-01-19T00:00:00"/>
    <n v="60"/>
    <n v="3868.19"/>
    <n v="3868.19"/>
    <n v="0"/>
    <d v="2026-01-15T00:00:00"/>
    <x v="0"/>
    <s v="Credit Card"/>
    <n v="56"/>
    <n v="4"/>
    <s v="Yes"/>
    <s v="Yes"/>
    <n v="0.01"/>
    <s v="No"/>
    <n v="0"/>
  </r>
  <r>
    <s v="AP-0134"/>
    <s v="VND-010"/>
    <s v="DataBridge IT"/>
    <s v="IT"/>
    <s v="East"/>
    <s v="Ana Torres"/>
    <d v="2025-03-17T00:00:00"/>
    <d v="2025-05-16T00:00:00"/>
    <n v="60"/>
    <n v="28280.59"/>
    <n v="28280.59"/>
    <n v="0"/>
    <d v="2025-05-17T00:00:00"/>
    <x v="0"/>
    <s v="ACH"/>
    <n v="61"/>
    <n v="-1"/>
    <s v="No"/>
    <s v="Yes"/>
    <n v="0.01"/>
    <s v="No"/>
    <n v="0"/>
  </r>
  <r>
    <s v="AP-0135"/>
    <s v="VND-003"/>
    <s v="FastShip Logistics"/>
    <s v="Logistics"/>
    <s v="Central"/>
    <s v="Ana Torres"/>
    <d v="2025-02-12T00:00:00"/>
    <d v="2025-05-13T00:00:00"/>
    <n v="90"/>
    <n v="9544.94"/>
    <n v="9544.94"/>
    <n v="0"/>
    <d v="2025-05-11T00:00:00"/>
    <x v="0"/>
    <s v="Credit Card"/>
    <n v="88"/>
    <n v="2"/>
    <s v="Yes"/>
    <s v="No"/>
    <n v="0"/>
    <s v="No"/>
    <n v="0"/>
  </r>
  <r>
    <s v="AP-0136"/>
    <s v="VND-011"/>
    <s v="QuickFreight Inc."/>
    <s v="Logistics"/>
    <s v="Central"/>
    <s v="Pedro Alvarez"/>
    <d v="2026-04-07T00:00:00"/>
    <d v="2026-04-22T00:00:00"/>
    <n v="15"/>
    <n v="2966.54"/>
    <n v="2966.54"/>
    <n v="0"/>
    <d v="2026-04-18T00:00:00"/>
    <x v="0"/>
    <s v="Wire"/>
    <n v="11"/>
    <n v="4"/>
    <s v="Yes"/>
    <s v="No"/>
    <n v="0"/>
    <s v="No"/>
    <n v="0"/>
  </r>
  <r>
    <s v="AP-0137"/>
    <s v="VND-008"/>
    <s v="GreenEnergy Corp."/>
    <s v="Utilities"/>
    <s v="West"/>
    <s v="Pedro Alvarez"/>
    <d v="2026-01-17T00:00:00"/>
    <d v="2026-03-18T00:00:00"/>
    <n v="60"/>
    <n v="13810.08"/>
    <n v="13810.08"/>
    <n v="0"/>
    <d v="2026-03-18T00:00:00"/>
    <x v="0"/>
    <s v="Wire"/>
    <n v="60"/>
    <n v="0"/>
    <s v="Yes"/>
    <s v="Yes"/>
    <n v="0.01"/>
    <s v="No"/>
    <n v="0"/>
  </r>
  <r>
    <s v="AP-0138"/>
    <s v="VND-022"/>
    <s v="Apex Consulting"/>
    <s v="Services"/>
    <s v="Central"/>
    <s v="Sofia Reyes"/>
    <d v="2025-12-04T00:00:00"/>
    <d v="2026-01-03T00:00:00"/>
    <n v="30"/>
    <n v="6496.72"/>
    <n v="6496.72"/>
    <n v="0"/>
    <d v="2026-01-02T00:00:00"/>
    <x v="0"/>
    <s v="Check"/>
    <n v="29"/>
    <n v="1"/>
    <s v="Yes"/>
    <s v="Yes"/>
    <n v="0.01"/>
    <s v="No"/>
    <n v="0"/>
  </r>
  <r>
    <s v="AP-0139"/>
    <s v="VND-020"/>
    <s v="TrustBuild Facilities"/>
    <s v="Facilities"/>
    <s v="South"/>
    <s v="Laura Chen"/>
    <d v="2025-12-25T00:00:00"/>
    <d v="2026-01-24T00:00:00"/>
    <n v="30"/>
    <n v="12237.65"/>
    <n v="12237.65"/>
    <n v="0"/>
    <d v="2026-01-13T00:00:00"/>
    <x v="0"/>
    <s v="ACH"/>
    <n v="19"/>
    <n v="11"/>
    <s v="Yes"/>
    <s v="Yes"/>
    <n v="0.01"/>
    <s v="No"/>
    <n v="0"/>
  </r>
  <r>
    <s v="AP-0140"/>
    <s v="VND-005"/>
    <s v="CloudSys Inc."/>
    <s v="IT"/>
    <s v="Central"/>
    <s v="Sofia Reyes"/>
    <d v="2025-12-03T00:00:00"/>
    <d v="2026-02-01T00:00:00"/>
    <n v="60"/>
    <n v="65988.86"/>
    <n v="44172.11"/>
    <n v="21816.75"/>
    <d v="2026-02-17T00:00:00"/>
    <x v="3"/>
    <s v="Check"/>
    <n v="76"/>
    <n v="-16"/>
    <s v="No"/>
    <s v="Yes"/>
    <n v="0.01"/>
    <s v="No"/>
    <n v="0"/>
  </r>
  <r>
    <s v="AP-0141"/>
    <s v="VND-017"/>
    <s v="OfficePro Services"/>
    <s v="Services"/>
    <s v="North"/>
    <s v="Pedro Alvarez"/>
    <d v="2026-01-07T00:00:00"/>
    <d v="2026-01-22T00:00:00"/>
    <n v="15"/>
    <n v="14428.04"/>
    <n v="14428.04"/>
    <n v="0"/>
    <d v="2026-01-22T00:00:00"/>
    <x v="0"/>
    <s v="Check"/>
    <n v="15"/>
    <n v="0"/>
    <s v="Yes"/>
    <s v="No"/>
    <n v="0"/>
    <s v="No"/>
    <n v="0"/>
  </r>
  <r>
    <s v="AP-0142"/>
    <s v="VND-005"/>
    <s v="CloudSys Inc."/>
    <s v="IT"/>
    <s v="South"/>
    <s v="Sofia Reyes"/>
    <d v="2025-02-08T00:00:00"/>
    <d v="2025-03-10T00:00:00"/>
    <n v="30"/>
    <n v="54644.69"/>
    <n v="54644.69"/>
    <n v="0"/>
    <d v="2025-03-05T00:00:00"/>
    <x v="0"/>
    <s v="Check"/>
    <n v="25"/>
    <n v="5"/>
    <s v="Yes"/>
    <s v="No"/>
    <n v="0"/>
    <s v="No"/>
    <n v="0"/>
  </r>
  <r>
    <s v="AP-0143"/>
    <s v="VND-020"/>
    <s v="TrustBuild Facilities"/>
    <s v="Facilities"/>
    <s v="West"/>
    <s v="Marco Diaz"/>
    <d v="2025-06-19T00:00:00"/>
    <d v="2025-07-19T00:00:00"/>
    <n v="30"/>
    <n v="25799.040000000001"/>
    <n v="25799.040000000001"/>
    <n v="0"/>
    <d v="2025-07-15T00:00:00"/>
    <x v="0"/>
    <s v="Wire"/>
    <n v="26"/>
    <n v="4"/>
    <s v="Yes"/>
    <s v="Yes"/>
    <n v="0.01"/>
    <s v="No"/>
    <n v="0"/>
  </r>
  <r>
    <s v="AP-0144"/>
    <s v="VND-020"/>
    <s v="TrustBuild Facilities"/>
    <s v="Facilities"/>
    <s v="East"/>
    <s v="Pedro Alvarez"/>
    <d v="2025-11-13T00:00:00"/>
    <d v="2025-12-13T00:00:00"/>
    <n v="30"/>
    <n v="33864.69"/>
    <n v="0"/>
    <n v="33864.69"/>
    <m/>
    <x v="1"/>
    <s v="Wire"/>
    <m/>
    <n v="-169"/>
    <s v="No"/>
    <s v="No"/>
    <n v="0"/>
    <s v="No"/>
    <n v="0"/>
  </r>
  <r>
    <s v="AP-0145"/>
    <s v="VND-007"/>
    <s v="ProStaff Services"/>
    <s v="Services"/>
    <s v="East"/>
    <s v="Ana Torres"/>
    <d v="2025-10-16T00:00:00"/>
    <d v="2026-01-14T00:00:00"/>
    <n v="90"/>
    <n v="31790.59"/>
    <n v="31790.59"/>
    <n v="0"/>
    <d v="2025-12-25T00:00:00"/>
    <x v="0"/>
    <s v="Credit Card"/>
    <n v="70"/>
    <n v="20"/>
    <s v="Yes"/>
    <s v="Yes"/>
    <n v="5.0000000000000001E-3"/>
    <s v="No"/>
    <n v="0"/>
  </r>
  <r>
    <s v="AP-0146"/>
    <s v="VND-006"/>
    <s v="PowerGrid Utilities"/>
    <s v="Utilities"/>
    <s v="South"/>
    <s v="Ana Torres"/>
    <d v="2025-02-23T00:00:00"/>
    <d v="2025-04-09T00:00:00"/>
    <n v="45"/>
    <n v="9797.1"/>
    <n v="9797.1"/>
    <n v="0"/>
    <d v="2025-04-21T00:00:00"/>
    <x v="0"/>
    <s v="Wire"/>
    <n v="57"/>
    <n v="-12"/>
    <s v="No"/>
    <s v="No"/>
    <n v="0"/>
    <s v="No"/>
    <n v="0"/>
  </r>
  <r>
    <s v="AP-0147"/>
    <s v="VND-004"/>
    <s v="BuildRight Materials"/>
    <s v="Materials"/>
    <s v="East"/>
    <s v="Sofia Reyes"/>
    <d v="2026-04-06T00:00:00"/>
    <d v="2026-05-21T00:00:00"/>
    <n v="45"/>
    <n v="45454.7"/>
    <n v="45454.7"/>
    <n v="0"/>
    <d v="2026-05-30T00:00:00"/>
    <x v="0"/>
    <s v="Wire"/>
    <n v="54"/>
    <n v="-9"/>
    <s v="No"/>
    <s v="Yes"/>
    <n v="1.4999999999999999E-2"/>
    <s v="No"/>
    <n v="0"/>
  </r>
  <r>
    <s v="AP-0148"/>
    <s v="VND-008"/>
    <s v="GreenEnergy Corp."/>
    <s v="Utilities"/>
    <s v="West"/>
    <s v="Laura Chen"/>
    <d v="2025-02-24T00:00:00"/>
    <d v="2025-04-25T00:00:00"/>
    <n v="60"/>
    <n v="6248.58"/>
    <n v="6248.58"/>
    <n v="0"/>
    <d v="2025-04-29T00:00:00"/>
    <x v="0"/>
    <s v="ACH"/>
    <n v="64"/>
    <n v="-4"/>
    <s v="No"/>
    <s v="Yes"/>
    <n v="0.01"/>
    <s v="No"/>
    <n v="0"/>
  </r>
  <r>
    <s v="AP-0149"/>
    <s v="VND-011"/>
    <s v="QuickFreight Inc."/>
    <s v="Logistics"/>
    <s v="North"/>
    <s v="Laura Chen"/>
    <d v="2025-02-09T00:00:00"/>
    <d v="2025-03-11T00:00:00"/>
    <n v="30"/>
    <n v="6450.71"/>
    <n v="6450.71"/>
    <n v="0"/>
    <d v="2025-03-13T00:00:00"/>
    <x v="0"/>
    <s v="Wire"/>
    <n v="32"/>
    <n v="-2"/>
    <s v="No"/>
    <s v="No"/>
    <n v="0"/>
    <s v="No"/>
    <n v="0"/>
  </r>
  <r>
    <s v="AP-0150"/>
    <s v="VND-005"/>
    <s v="CloudSys Inc."/>
    <s v="IT"/>
    <s v="West"/>
    <s v="Pedro Alvarez"/>
    <d v="2025-01-20T00:00:00"/>
    <d v="2025-02-19T00:00:00"/>
    <n v="30"/>
    <n v="24194.29"/>
    <n v="24194.29"/>
    <n v="0"/>
    <d v="2025-02-18T00:00:00"/>
    <x v="0"/>
    <s v="ACH"/>
    <n v="29"/>
    <n v="1"/>
    <s v="Yes"/>
    <s v="No"/>
    <n v="0"/>
    <s v="No"/>
    <n v="0"/>
  </r>
  <r>
    <s v="AP-0151"/>
    <s v="VND-004"/>
    <s v="BuildRight Materials"/>
    <s v="Materials"/>
    <s v="East"/>
    <s v="Marco Diaz"/>
    <d v="2025-02-18T00:00:00"/>
    <d v="2025-03-20T00:00:00"/>
    <n v="30"/>
    <n v="13445.1"/>
    <n v="13445.1"/>
    <n v="0"/>
    <d v="2025-03-11T00:00:00"/>
    <x v="0"/>
    <s v="Check"/>
    <n v="21"/>
    <n v="9"/>
    <s v="Yes"/>
    <s v="Yes"/>
    <n v="0.01"/>
    <s v="No"/>
    <n v="0"/>
  </r>
  <r>
    <s v="AP-0152"/>
    <s v="VND-003"/>
    <s v="FastShip Logistics"/>
    <s v="Logistics"/>
    <s v="North"/>
    <s v="Pedro Alvarez"/>
    <d v="2025-05-28T00:00:00"/>
    <d v="2025-06-27T00:00:00"/>
    <n v="30"/>
    <n v="6534.17"/>
    <n v="6534.17"/>
    <n v="0"/>
    <d v="2025-06-23T00:00:00"/>
    <x v="0"/>
    <s v="ACH"/>
    <n v="26"/>
    <n v="4"/>
    <s v="Yes"/>
    <s v="Yes"/>
    <n v="0.01"/>
    <s v="No"/>
    <n v="0"/>
  </r>
  <r>
    <s v="AP-0153"/>
    <s v="VND-022"/>
    <s v="Apex Consulting"/>
    <s v="Services"/>
    <s v="North"/>
    <s v="Ana Torres"/>
    <d v="2025-01-21T00:00:00"/>
    <d v="2025-02-20T00:00:00"/>
    <n v="30"/>
    <n v="17446.79"/>
    <n v="17446.79"/>
    <n v="0"/>
    <d v="2025-02-18T00:00:00"/>
    <x v="0"/>
    <s v="Check"/>
    <n v="28"/>
    <n v="2"/>
    <s v="Yes"/>
    <s v="Yes"/>
    <n v="0.01"/>
    <s v="No"/>
    <n v="0"/>
  </r>
  <r>
    <s v="AP-0154"/>
    <s v="VND-012"/>
    <s v="FacilityPro Services"/>
    <s v="Facilities"/>
    <s v="East"/>
    <s v="Sofia Reyes"/>
    <d v="2025-12-20T00:00:00"/>
    <d v="2026-01-19T00:00:00"/>
    <n v="30"/>
    <n v="9957.16"/>
    <n v="9957.16"/>
    <n v="0"/>
    <d v="2026-01-08T00:00:00"/>
    <x v="0"/>
    <s v="Check"/>
    <n v="19"/>
    <n v="11"/>
    <s v="Yes"/>
    <s v="Yes"/>
    <n v="0.01"/>
    <s v="No"/>
    <n v="0"/>
  </r>
  <r>
    <s v="AP-0155"/>
    <s v="VND-005"/>
    <s v="CloudSys Inc."/>
    <s v="IT"/>
    <s v="North"/>
    <s v="Laura Chen"/>
    <d v="2026-04-21T00:00:00"/>
    <d v="2026-05-21T00:00:00"/>
    <n v="30"/>
    <n v="78561.440000000002"/>
    <n v="0"/>
    <n v="78561.440000000002"/>
    <m/>
    <x v="2"/>
    <s v="Check"/>
    <m/>
    <m/>
    <m/>
    <s v="Yes"/>
    <n v="0.01"/>
    <s v="No"/>
    <n v="0"/>
  </r>
  <r>
    <s v="AP-0156"/>
    <s v="VND-023"/>
    <s v="CoolTech Systems"/>
    <s v="IT"/>
    <s v="West"/>
    <s v="Sofia Reyes"/>
    <d v="2025-02-14T00:00:00"/>
    <d v="2025-03-16T00:00:00"/>
    <n v="30"/>
    <n v="64333.19"/>
    <n v="64333.19"/>
    <n v="0"/>
    <d v="2025-03-10T00:00:00"/>
    <x v="0"/>
    <s v="Check"/>
    <n v="24"/>
    <n v="6"/>
    <s v="Yes"/>
    <s v="No"/>
    <n v="0"/>
    <s v="No"/>
    <n v="0"/>
  </r>
  <r>
    <s v="AP-0157"/>
    <s v="VND-010"/>
    <s v="DataBridge IT"/>
    <s v="IT"/>
    <s v="Central"/>
    <s v="Pedro Alvarez"/>
    <d v="2025-02-07T00:00:00"/>
    <d v="2025-03-24T00:00:00"/>
    <n v="45"/>
    <n v="61496.82"/>
    <n v="61496.82"/>
    <n v="0"/>
    <d v="2025-03-27T00:00:00"/>
    <x v="0"/>
    <s v="Credit Card"/>
    <n v="48"/>
    <n v="-3"/>
    <s v="No"/>
    <s v="Yes"/>
    <n v="1.4999999999999999E-2"/>
    <s v="No"/>
    <n v="0"/>
  </r>
  <r>
    <s v="AP-0158"/>
    <s v="VND-011"/>
    <s v="QuickFreight Inc."/>
    <s v="Logistics"/>
    <s v="East"/>
    <s v="Sofia Reyes"/>
    <d v="2026-02-14T00:00:00"/>
    <d v="2026-04-15T00:00:00"/>
    <n v="60"/>
    <n v="15122.85"/>
    <n v="15122.85"/>
    <n v="0"/>
    <d v="2026-03-31T00:00:00"/>
    <x v="0"/>
    <s v="Check"/>
    <n v="45"/>
    <n v="15"/>
    <s v="Yes"/>
    <s v="No"/>
    <n v="0"/>
    <s v="No"/>
    <n v="0"/>
  </r>
  <r>
    <s v="AP-0159"/>
    <s v="VND-016"/>
    <s v="CleanWater Utilities"/>
    <s v="Utilities"/>
    <s v="West"/>
    <s v="Laura Chen"/>
    <d v="2026-03-11T00:00:00"/>
    <d v="2026-04-10T00:00:00"/>
    <n v="30"/>
    <n v="1644.44"/>
    <n v="757.44"/>
    <n v="887"/>
    <d v="2026-04-07T00:00:00"/>
    <x v="3"/>
    <s v="Check"/>
    <n v="27"/>
    <n v="3"/>
    <s v="Yes"/>
    <s v="Yes"/>
    <n v="0.01"/>
    <s v="No"/>
    <n v="0"/>
  </r>
  <r>
    <s v="AP-0160"/>
    <s v="VND-011"/>
    <s v="QuickFreight Inc."/>
    <s v="Logistics"/>
    <s v="East"/>
    <s v="Laura Chen"/>
    <d v="2025-06-20T00:00:00"/>
    <d v="2025-08-19T00:00:00"/>
    <n v="60"/>
    <n v="14105.53"/>
    <n v="14105.53"/>
    <n v="0"/>
    <d v="2025-08-24T00:00:00"/>
    <x v="0"/>
    <s v="Credit Card"/>
    <n v="65"/>
    <n v="-5"/>
    <s v="No"/>
    <s v="Yes"/>
    <n v="0.01"/>
    <s v="No"/>
    <n v="0"/>
  </r>
  <r>
    <s v="AP-0161"/>
    <s v="VND-014"/>
    <s v="NetConnect Systems"/>
    <s v="IT"/>
    <s v="East"/>
    <s v="Sofia Reyes"/>
    <d v="2026-01-08T00:00:00"/>
    <d v="2026-03-09T00:00:00"/>
    <n v="60"/>
    <n v="43481.45"/>
    <n v="43481.45"/>
    <n v="0"/>
    <d v="2026-03-04T00:00:00"/>
    <x v="0"/>
    <s v="ACH"/>
    <n v="55"/>
    <n v="5"/>
    <s v="Yes"/>
    <s v="No"/>
    <n v="0"/>
    <s v="No"/>
    <n v="0"/>
  </r>
  <r>
    <s v="AP-0162"/>
    <s v="VND-001"/>
    <s v="Acme Supplies Co."/>
    <s v="Materials"/>
    <s v="South"/>
    <s v="Ana Torres"/>
    <d v="2025-05-10T00:00:00"/>
    <d v="2025-05-25T00:00:00"/>
    <n v="15"/>
    <n v="5227.2"/>
    <n v="5227.2"/>
    <n v="0"/>
    <d v="2025-05-18T00:00:00"/>
    <x v="0"/>
    <s v="Credit Card"/>
    <n v="8"/>
    <n v="7"/>
    <s v="Yes"/>
    <s v="No"/>
    <n v="0"/>
    <s v="No"/>
    <n v="0"/>
  </r>
  <r>
    <s v="AP-0163"/>
    <s v="VND-020"/>
    <s v="TrustBuild Facilities"/>
    <s v="Facilities"/>
    <s v="South"/>
    <s v="Pedro Alvarez"/>
    <d v="2026-03-31T00:00:00"/>
    <d v="2026-05-30T00:00:00"/>
    <n v="60"/>
    <n v="27181.79"/>
    <n v="0"/>
    <n v="27181.79"/>
    <m/>
    <x v="2"/>
    <s v="Check"/>
    <m/>
    <m/>
    <m/>
    <s v="Yes"/>
    <n v="0.01"/>
    <s v="No"/>
    <n v="0"/>
  </r>
  <r>
    <s v="AP-0164"/>
    <s v="VND-021"/>
    <s v="PrimePack Logistics"/>
    <s v="Logistics"/>
    <s v="East"/>
    <s v="Marco Diaz"/>
    <d v="2025-07-10T00:00:00"/>
    <d v="2025-07-25T00:00:00"/>
    <n v="15"/>
    <n v="10481.84"/>
    <n v="10481.84"/>
    <n v="0"/>
    <d v="2025-07-31T00:00:00"/>
    <x v="0"/>
    <s v="ACH"/>
    <n v="21"/>
    <n v="-6"/>
    <s v="No"/>
    <s v="Yes"/>
    <n v="0.02"/>
    <s v="No"/>
    <n v="0"/>
  </r>
  <r>
    <s v="AP-0165"/>
    <s v="VND-009"/>
    <s v="MetalWorks Ltd."/>
    <s v="Materials"/>
    <s v="East"/>
    <s v="Pedro Alvarez"/>
    <d v="2026-05-18T00:00:00"/>
    <d v="2026-07-02T00:00:00"/>
    <n v="45"/>
    <n v="11608.56"/>
    <n v="0"/>
    <n v="11608.56"/>
    <m/>
    <x v="2"/>
    <s v="Wire"/>
    <m/>
    <m/>
    <m/>
    <s v="Yes"/>
    <n v="1.4999999999999999E-2"/>
    <s v="No"/>
    <n v="0"/>
  </r>
  <r>
    <s v="AP-0166"/>
    <s v="VND-023"/>
    <s v="CoolTech Systems"/>
    <s v="IT"/>
    <s v="West"/>
    <s v="Sofia Reyes"/>
    <d v="2025-03-08T00:00:00"/>
    <d v="2025-05-07T00:00:00"/>
    <n v="60"/>
    <n v="46249.79"/>
    <n v="46249.79"/>
    <n v="0"/>
    <d v="2025-05-13T00:00:00"/>
    <x v="0"/>
    <s v="Check"/>
    <n v="66"/>
    <n v="-6"/>
    <s v="No"/>
    <s v="Yes"/>
    <n v="0.01"/>
    <s v="No"/>
    <n v="0"/>
  </r>
  <r>
    <s v="AP-0167"/>
    <s v="VND-023"/>
    <s v="CoolTech Systems"/>
    <s v="IT"/>
    <s v="South"/>
    <s v="Laura Chen"/>
    <d v="2025-07-25T00:00:00"/>
    <d v="2025-08-24T00:00:00"/>
    <n v="30"/>
    <n v="64404.93"/>
    <n v="64404.93"/>
    <n v="0"/>
    <d v="2025-09-03T00:00:00"/>
    <x v="0"/>
    <s v="Wire"/>
    <n v="40"/>
    <n v="-10"/>
    <s v="No"/>
    <s v="Yes"/>
    <n v="0.01"/>
    <s v="No"/>
    <n v="0"/>
  </r>
  <r>
    <s v="AP-0168"/>
    <s v="VND-012"/>
    <s v="FacilityPro Services"/>
    <s v="Facilities"/>
    <s v="Central"/>
    <s v="Ana Torres"/>
    <d v="2025-05-13T00:00:00"/>
    <d v="2025-08-11T00:00:00"/>
    <n v="90"/>
    <n v="22194.3"/>
    <n v="22194.3"/>
    <n v="0"/>
    <d v="2025-08-23T00:00:00"/>
    <x v="0"/>
    <s v="Check"/>
    <n v="102"/>
    <n v="-12"/>
    <s v="No"/>
    <s v="Yes"/>
    <n v="5.0000000000000001E-3"/>
    <s v="No"/>
    <n v="0"/>
  </r>
  <r>
    <s v="AP-0169"/>
    <s v="VND-017"/>
    <s v="OfficePro Services"/>
    <s v="Services"/>
    <s v="West"/>
    <s v="Pedro Alvarez"/>
    <d v="2025-11-21T00:00:00"/>
    <d v="2025-12-21T00:00:00"/>
    <n v="30"/>
    <n v="26766.53"/>
    <n v="26766.53"/>
    <n v="0"/>
    <d v="2025-12-21T00:00:00"/>
    <x v="0"/>
    <s v="ACH"/>
    <n v="30"/>
    <n v="0"/>
    <s v="Yes"/>
    <s v="Yes"/>
    <n v="0.01"/>
    <s v="No"/>
    <n v="0"/>
  </r>
  <r>
    <s v="AP-0170"/>
    <s v="VND-012"/>
    <s v="FacilityPro Services"/>
    <s v="Facilities"/>
    <s v="South"/>
    <s v="Ana Torres"/>
    <d v="2026-03-20T00:00:00"/>
    <d v="2026-04-19T00:00:00"/>
    <n v="30"/>
    <n v="18594.5"/>
    <n v="8405.8700000000008"/>
    <n v="10188.629999999999"/>
    <d v="2026-04-19T00:00:00"/>
    <x v="3"/>
    <s v="Wire"/>
    <n v="30"/>
    <n v="0"/>
    <s v="Yes"/>
    <s v="No"/>
    <n v="0"/>
    <s v="No"/>
    <n v="0"/>
  </r>
  <r>
    <s v="AP-0171"/>
    <s v="VND-011"/>
    <s v="QuickFreight Inc."/>
    <s v="Logistics"/>
    <s v="South"/>
    <s v="Laura Chen"/>
    <d v="2025-09-14T00:00:00"/>
    <d v="2025-10-14T00:00:00"/>
    <n v="30"/>
    <n v="4729.74"/>
    <n v="4729.74"/>
    <n v="0"/>
    <d v="2025-10-07T00:00:00"/>
    <x v="0"/>
    <s v="Check"/>
    <n v="23"/>
    <n v="7"/>
    <s v="Yes"/>
    <s v="No"/>
    <n v="0"/>
    <s v="No"/>
    <n v="0"/>
  </r>
  <r>
    <s v="AP-0172"/>
    <s v="VND-003"/>
    <s v="FastShip Logistics"/>
    <s v="Logistics"/>
    <s v="Central"/>
    <s v="Marco Diaz"/>
    <d v="2025-12-12T00:00:00"/>
    <d v="2026-01-11T00:00:00"/>
    <n v="30"/>
    <n v="17008.07"/>
    <n v="5343.71"/>
    <n v="11664.36"/>
    <d v="2026-01-07T00:00:00"/>
    <x v="3"/>
    <s v="Wire"/>
    <n v="26"/>
    <n v="4"/>
    <s v="Yes"/>
    <s v="Yes"/>
    <n v="0.01"/>
    <s v="No"/>
    <n v="0"/>
  </r>
  <r>
    <s v="AP-0173"/>
    <s v="VND-021"/>
    <s v="PrimePack Logistics"/>
    <s v="Logistics"/>
    <s v="Central"/>
    <s v="Laura Chen"/>
    <d v="2025-02-01T00:00:00"/>
    <d v="2025-04-02T00:00:00"/>
    <n v="60"/>
    <n v="10462.719999999999"/>
    <n v="10462.719999999999"/>
    <n v="0"/>
    <d v="2025-03-26T00:00:00"/>
    <x v="0"/>
    <s v="Wire"/>
    <n v="53"/>
    <n v="7"/>
    <s v="Yes"/>
    <s v="Yes"/>
    <n v="0.01"/>
    <s v="No"/>
    <n v="0"/>
  </r>
  <r>
    <s v="AP-0174"/>
    <s v="VND-010"/>
    <s v="DataBridge IT"/>
    <s v="IT"/>
    <s v="West"/>
    <s v="Marco Diaz"/>
    <d v="2026-04-10T00:00:00"/>
    <d v="2026-05-25T00:00:00"/>
    <n v="45"/>
    <n v="10472.98"/>
    <n v="10472.98"/>
    <n v="0"/>
    <d v="2026-05-28T00:00:00"/>
    <x v="0"/>
    <s v="Credit Card"/>
    <n v="48"/>
    <n v="-3"/>
    <s v="No"/>
    <s v="Yes"/>
    <n v="1.4999999999999999E-2"/>
    <s v="No"/>
    <n v="0"/>
  </r>
  <r>
    <s v="AP-0175"/>
    <s v="VND-011"/>
    <s v="QuickFreight Inc."/>
    <s v="Logistics"/>
    <s v="East"/>
    <s v="Laura Chen"/>
    <d v="2026-01-15T00:00:00"/>
    <d v="2026-02-14T00:00:00"/>
    <n v="30"/>
    <n v="10784.62"/>
    <n v="10784.62"/>
    <n v="0"/>
    <d v="2026-02-24T00:00:00"/>
    <x v="0"/>
    <s v="Credit Card"/>
    <n v="40"/>
    <n v="-10"/>
    <s v="No"/>
    <s v="Yes"/>
    <n v="0.01"/>
    <s v="No"/>
    <n v="0"/>
  </r>
  <r>
    <s v="AP-0176"/>
    <s v="VND-004"/>
    <s v="BuildRight Materials"/>
    <s v="Materials"/>
    <s v="East"/>
    <s v="Pedro Alvarez"/>
    <d v="2025-04-10T00:00:00"/>
    <d v="2025-05-10T00:00:00"/>
    <n v="30"/>
    <n v="4429.05"/>
    <n v="2254.6799999999998"/>
    <n v="2174.37"/>
    <d v="2025-05-10T00:00:00"/>
    <x v="3"/>
    <s v="Wire"/>
    <n v="30"/>
    <n v="0"/>
    <s v="Yes"/>
    <s v="No"/>
    <n v="0"/>
    <s v="No"/>
    <n v="0"/>
  </r>
  <r>
    <s v="AP-0177"/>
    <s v="VND-011"/>
    <s v="QuickFreight Inc."/>
    <s v="Logistics"/>
    <s v="Central"/>
    <s v="Laura Chen"/>
    <d v="2026-05-26T00:00:00"/>
    <d v="2026-06-25T00:00:00"/>
    <n v="30"/>
    <n v="19923.419999999998"/>
    <n v="6874.07"/>
    <n v="13049.35"/>
    <d v="2026-05-31T00:00:00"/>
    <x v="3"/>
    <s v="Wire"/>
    <n v="5"/>
    <n v="25"/>
    <s v="Yes"/>
    <s v="Yes"/>
    <n v="0.01"/>
    <s v="No"/>
    <n v="0"/>
  </r>
  <r>
    <s v="AP-0178"/>
    <s v="VND-017"/>
    <s v="OfficePro Services"/>
    <s v="Services"/>
    <s v="West"/>
    <s v="Marco Diaz"/>
    <d v="2025-02-19T00:00:00"/>
    <d v="2025-04-20T00:00:00"/>
    <n v="60"/>
    <n v="4869.99"/>
    <n v="3054.12"/>
    <n v="1815.87"/>
    <d v="2025-04-30T00:00:00"/>
    <x v="3"/>
    <s v="Wire"/>
    <n v="70"/>
    <n v="-10"/>
    <s v="No"/>
    <s v="Yes"/>
    <n v="0.01"/>
    <s v="No"/>
    <n v="0"/>
  </r>
  <r>
    <s v="AP-0179"/>
    <s v="VND-010"/>
    <s v="DataBridge IT"/>
    <s v="IT"/>
    <s v="Central"/>
    <s v="Sofia Reyes"/>
    <d v="2025-05-18T00:00:00"/>
    <d v="2025-07-17T00:00:00"/>
    <n v="60"/>
    <n v="71184.179999999993"/>
    <n v="71184.179999999993"/>
    <n v="0"/>
    <d v="2025-07-12T00:00:00"/>
    <x v="0"/>
    <s v="ACH"/>
    <n v="55"/>
    <n v="5"/>
    <s v="Yes"/>
    <s v="No"/>
    <n v="0"/>
    <s v="No"/>
    <n v="0"/>
  </r>
  <r>
    <s v="AP-0180"/>
    <s v="VND-019"/>
    <s v="SkyNet IT Solutions"/>
    <s v="IT"/>
    <s v="Central"/>
    <s v="Marco Diaz"/>
    <d v="2025-03-17T00:00:00"/>
    <d v="2025-05-01T00:00:00"/>
    <n v="45"/>
    <n v="33976.160000000003"/>
    <n v="33976.160000000003"/>
    <n v="0"/>
    <d v="2025-05-07T00:00:00"/>
    <x v="0"/>
    <s v="Check"/>
    <n v="51"/>
    <n v="-6"/>
    <s v="No"/>
    <s v="Yes"/>
    <n v="1.4999999999999999E-2"/>
    <s v="No"/>
    <n v="0"/>
  </r>
  <r>
    <s v="AP-0181"/>
    <s v="VND-020"/>
    <s v="TrustBuild Facilities"/>
    <s v="Facilities"/>
    <s v="Central"/>
    <s v="Sofia Reyes"/>
    <d v="2026-02-08T00:00:00"/>
    <d v="2026-03-10T00:00:00"/>
    <n v="30"/>
    <n v="14315.55"/>
    <n v="14315.55"/>
    <n v="0"/>
    <d v="2026-03-08T00:00:00"/>
    <x v="0"/>
    <s v="Wire"/>
    <n v="28"/>
    <n v="2"/>
    <s v="Yes"/>
    <s v="No"/>
    <n v="0"/>
    <s v="No"/>
    <n v="0"/>
  </r>
  <r>
    <s v="AP-0182"/>
    <s v="VND-020"/>
    <s v="TrustBuild Facilities"/>
    <s v="Facilities"/>
    <s v="Central"/>
    <s v="Pedro Alvarez"/>
    <d v="2025-02-09T00:00:00"/>
    <d v="2025-02-24T00:00:00"/>
    <n v="15"/>
    <n v="6522.2"/>
    <n v="6522.2"/>
    <n v="0"/>
    <d v="2025-02-27T00:00:00"/>
    <x v="0"/>
    <s v="ACH"/>
    <n v="18"/>
    <n v="-3"/>
    <s v="No"/>
    <s v="Yes"/>
    <n v="0.02"/>
    <s v="No"/>
    <n v="0"/>
  </r>
  <r>
    <s v="AP-0183"/>
    <s v="VND-015"/>
    <s v="ExpressRoute Logistics"/>
    <s v="Logistics"/>
    <s v="South"/>
    <s v="Ana Torres"/>
    <d v="2025-11-23T00:00:00"/>
    <d v="2026-01-22T00:00:00"/>
    <n v="60"/>
    <n v="4087.54"/>
    <n v="4087.54"/>
    <n v="0"/>
    <d v="2026-01-20T00:00:00"/>
    <x v="0"/>
    <s v="Wire"/>
    <n v="58"/>
    <n v="2"/>
    <s v="Yes"/>
    <s v="No"/>
    <n v="0"/>
    <s v="No"/>
    <n v="0"/>
  </r>
  <r>
    <s v="AP-0184"/>
    <s v="VND-017"/>
    <s v="OfficePro Services"/>
    <s v="Services"/>
    <s v="Central"/>
    <s v="Pedro Alvarez"/>
    <d v="2025-01-18T00:00:00"/>
    <d v="2025-04-18T00:00:00"/>
    <n v="90"/>
    <n v="16629.240000000002"/>
    <n v="0"/>
    <n v="16629.240000000002"/>
    <m/>
    <x v="1"/>
    <s v="Check"/>
    <m/>
    <n v="-408"/>
    <s v="No"/>
    <s v="Yes"/>
    <n v="5.0000000000000001E-3"/>
    <s v="No"/>
    <n v="0"/>
  </r>
  <r>
    <s v="AP-0185"/>
    <s v="VND-019"/>
    <s v="SkyNet IT Solutions"/>
    <s v="IT"/>
    <s v="East"/>
    <s v="Sofia Reyes"/>
    <d v="2025-08-22T00:00:00"/>
    <d v="2025-10-06T00:00:00"/>
    <n v="45"/>
    <n v="59105.01"/>
    <n v="59105.01"/>
    <n v="0"/>
    <d v="2025-10-12T00:00:00"/>
    <x v="0"/>
    <s v="Credit Card"/>
    <n v="51"/>
    <n v="-6"/>
    <s v="No"/>
    <s v="Yes"/>
    <n v="1.4999999999999999E-2"/>
    <s v="No"/>
    <n v="0"/>
  </r>
  <r>
    <s v="AP-0186"/>
    <s v="VND-021"/>
    <s v="PrimePack Logistics"/>
    <s v="Logistics"/>
    <s v="Central"/>
    <s v="Pedro Alvarez"/>
    <d v="2025-02-02T00:00:00"/>
    <d v="2025-03-04T00:00:00"/>
    <n v="30"/>
    <n v="11878.84"/>
    <n v="11878.84"/>
    <n v="0"/>
    <d v="2025-02-25T00:00:00"/>
    <x v="0"/>
    <s v="Wire"/>
    <n v="23"/>
    <n v="7"/>
    <s v="Yes"/>
    <s v="No"/>
    <n v="0"/>
    <s v="No"/>
    <n v="0"/>
  </r>
  <r>
    <s v="AP-0187"/>
    <s v="VND-014"/>
    <s v="NetConnect Systems"/>
    <s v="IT"/>
    <s v="South"/>
    <s v="Pedro Alvarez"/>
    <d v="2025-05-22T00:00:00"/>
    <d v="2025-06-06T00:00:00"/>
    <n v="15"/>
    <n v="43901.24"/>
    <n v="0"/>
    <n v="43901.24"/>
    <m/>
    <x v="1"/>
    <s v="Credit Card"/>
    <m/>
    <n v="-359"/>
    <s v="No"/>
    <s v="Yes"/>
    <n v="0.02"/>
    <s v="No"/>
    <n v="0"/>
  </r>
  <r>
    <s v="AP-0188"/>
    <s v="VND-016"/>
    <s v="CleanWater Utilities"/>
    <s v="Utilities"/>
    <s v="Central"/>
    <s v="Pedro Alvarez"/>
    <d v="2026-04-16T00:00:00"/>
    <d v="2026-05-16T00:00:00"/>
    <n v="30"/>
    <n v="13725.8"/>
    <n v="13725.8"/>
    <n v="0"/>
    <d v="2026-05-19T00:00:00"/>
    <x v="0"/>
    <s v="Check"/>
    <n v="33"/>
    <n v="-3"/>
    <s v="No"/>
    <s v="Yes"/>
    <n v="0.01"/>
    <s v="No"/>
    <n v="0"/>
  </r>
  <r>
    <s v="AP-0189"/>
    <s v="VND-024"/>
    <s v="EliteFacilities Corp."/>
    <s v="Facilities"/>
    <s v="East"/>
    <s v="Ana Torres"/>
    <d v="2025-09-10T00:00:00"/>
    <d v="2025-10-10T00:00:00"/>
    <n v="30"/>
    <n v="11207.21"/>
    <n v="0"/>
    <n v="11207.21"/>
    <m/>
    <x v="1"/>
    <s v="Credit Card"/>
    <m/>
    <n v="-233"/>
    <s v="No"/>
    <s v="Yes"/>
    <n v="0.01"/>
    <s v="No"/>
    <n v="0"/>
  </r>
  <r>
    <s v="AP-0190"/>
    <s v="VND-010"/>
    <s v="DataBridge IT"/>
    <s v="IT"/>
    <s v="East"/>
    <s v="Marco Diaz"/>
    <d v="2026-05-07T00:00:00"/>
    <d v="2026-07-06T00:00:00"/>
    <n v="60"/>
    <n v="31160.240000000002"/>
    <n v="0"/>
    <n v="31160.240000000002"/>
    <m/>
    <x v="2"/>
    <s v="Credit Card"/>
    <m/>
    <m/>
    <m/>
    <s v="No"/>
    <n v="0"/>
    <s v="No"/>
    <n v="0"/>
  </r>
  <r>
    <s v="AP-0191"/>
    <s v="VND-004"/>
    <s v="BuildRight Materials"/>
    <s v="Materials"/>
    <s v="Central"/>
    <s v="Ana Torres"/>
    <d v="2025-12-20T00:00:00"/>
    <d v="2026-02-18T00:00:00"/>
    <n v="60"/>
    <n v="47821.23"/>
    <n v="47821.23"/>
    <n v="0"/>
    <d v="2026-02-16T00:00:00"/>
    <x v="0"/>
    <s v="Credit Card"/>
    <n v="58"/>
    <n v="2"/>
    <s v="Yes"/>
    <s v="No"/>
    <n v="0"/>
    <s v="No"/>
    <n v="0"/>
  </r>
  <r>
    <s v="AP-0192"/>
    <s v="VND-012"/>
    <s v="FacilityPro Services"/>
    <s v="Facilities"/>
    <s v="West"/>
    <s v="Laura Chen"/>
    <d v="2025-07-26T00:00:00"/>
    <d v="2025-08-25T00:00:00"/>
    <n v="30"/>
    <n v="29322.41"/>
    <n v="29322.41"/>
    <n v="0"/>
    <d v="2025-09-06T00:00:00"/>
    <x v="0"/>
    <s v="Credit Card"/>
    <n v="42"/>
    <n v="-12"/>
    <s v="No"/>
    <s v="Yes"/>
    <n v="0.01"/>
    <s v="No"/>
    <n v="0"/>
  </r>
  <r>
    <s v="AP-0193"/>
    <s v="VND-009"/>
    <s v="MetalWorks Ltd."/>
    <s v="Materials"/>
    <s v="South"/>
    <s v="Sofia Reyes"/>
    <d v="2025-02-21T00:00:00"/>
    <d v="2025-03-23T00:00:00"/>
    <n v="30"/>
    <n v="34152.03"/>
    <n v="34152.03"/>
    <n v="0"/>
    <d v="2025-03-30T00:00:00"/>
    <x v="0"/>
    <s v="Wire"/>
    <n v="37"/>
    <n v="-7"/>
    <s v="No"/>
    <s v="Yes"/>
    <n v="0.01"/>
    <s v="No"/>
    <n v="0"/>
  </r>
  <r>
    <s v="AP-0194"/>
    <s v="VND-023"/>
    <s v="CoolTech Systems"/>
    <s v="IT"/>
    <s v="West"/>
    <s v="Sofia Reyes"/>
    <d v="2025-06-11T00:00:00"/>
    <d v="2025-06-26T00:00:00"/>
    <n v="15"/>
    <n v="35518.06"/>
    <n v="19134.439999999999"/>
    <n v="16383.62"/>
    <d v="2025-06-27T00:00:00"/>
    <x v="3"/>
    <s v="Wire"/>
    <n v="16"/>
    <n v="-1"/>
    <s v="No"/>
    <s v="No"/>
    <n v="0"/>
    <s v="No"/>
    <n v="0"/>
  </r>
  <r>
    <s v="AP-0195"/>
    <s v="VND-025"/>
    <s v="RapidShip Co."/>
    <s v="Logistics"/>
    <s v="East"/>
    <s v="Laura Chen"/>
    <d v="2025-04-02T00:00:00"/>
    <d v="2025-04-17T00:00:00"/>
    <n v="15"/>
    <n v="13393.68"/>
    <n v="13393.68"/>
    <n v="0"/>
    <d v="2025-04-19T00:00:00"/>
    <x v="0"/>
    <s v="Check"/>
    <n v="17"/>
    <n v="-2"/>
    <s v="No"/>
    <s v="Yes"/>
    <n v="0.02"/>
    <s v="No"/>
    <n v="0"/>
  </r>
  <r>
    <s v="AP-0196"/>
    <s v="VND-002"/>
    <s v="TechCore Solutions"/>
    <s v="IT"/>
    <s v="South"/>
    <s v="Pedro Alvarez"/>
    <d v="2026-02-11T00:00:00"/>
    <d v="2026-02-26T00:00:00"/>
    <n v="15"/>
    <n v="64097.05"/>
    <n v="64097.05"/>
    <n v="0"/>
    <d v="2026-03-02T00:00:00"/>
    <x v="0"/>
    <s v="Wire"/>
    <n v="19"/>
    <n v="-4"/>
    <s v="No"/>
    <s v="Yes"/>
    <n v="0.02"/>
    <s v="No"/>
    <n v="0"/>
  </r>
  <r>
    <s v="AP-0197"/>
    <s v="VND-002"/>
    <s v="TechCore Solutions"/>
    <s v="IT"/>
    <s v="North"/>
    <s v="Laura Chen"/>
    <d v="2025-10-19T00:00:00"/>
    <d v="2025-12-18T00:00:00"/>
    <n v="60"/>
    <n v="39076.18"/>
    <n v="39076.18"/>
    <n v="0"/>
    <d v="2025-12-14T00:00:00"/>
    <x v="0"/>
    <s v="ACH"/>
    <n v="56"/>
    <n v="4"/>
    <s v="Yes"/>
    <s v="Yes"/>
    <n v="0.01"/>
    <s v="No"/>
    <n v="0"/>
  </r>
  <r>
    <s v="AP-0198"/>
    <s v="VND-005"/>
    <s v="CloudSys Inc."/>
    <s v="IT"/>
    <s v="Central"/>
    <s v="Pedro Alvarez"/>
    <d v="2025-04-26T00:00:00"/>
    <d v="2025-05-26T00:00:00"/>
    <n v="30"/>
    <n v="29801.31"/>
    <n v="29801.31"/>
    <n v="0"/>
    <d v="2025-05-26T00:00:00"/>
    <x v="0"/>
    <s v="Check"/>
    <n v="30"/>
    <n v="0"/>
    <s v="Yes"/>
    <s v="No"/>
    <n v="0"/>
    <s v="No"/>
    <n v="0"/>
  </r>
  <r>
    <s v="AP-0199"/>
    <s v="VND-011"/>
    <s v="QuickFreight Inc."/>
    <s v="Logistics"/>
    <s v="East"/>
    <s v="Ana Torres"/>
    <d v="2026-02-20T00:00:00"/>
    <d v="2026-03-22T00:00:00"/>
    <n v="30"/>
    <n v="16712.810000000001"/>
    <n v="16712.810000000001"/>
    <n v="0"/>
    <d v="2026-03-21T00:00:00"/>
    <x v="0"/>
    <s v="Wire"/>
    <n v="29"/>
    <n v="1"/>
    <s v="Yes"/>
    <s v="Yes"/>
    <n v="0.01"/>
    <s v="No"/>
    <n v="0"/>
  </r>
  <r>
    <s v="AP-0200"/>
    <s v="VND-022"/>
    <s v="Apex Consulting"/>
    <s v="Services"/>
    <s v="North"/>
    <s v="Marco Diaz"/>
    <d v="2025-11-28T00:00:00"/>
    <d v="2026-02-26T00:00:00"/>
    <n v="90"/>
    <n v="37625.54"/>
    <n v="37625.54"/>
    <n v="0"/>
    <d v="2026-02-21T00:00:00"/>
    <x v="0"/>
    <s v="Wire"/>
    <n v="85"/>
    <n v="5"/>
    <s v="Yes"/>
    <s v="Yes"/>
    <n v="5.0000000000000001E-3"/>
    <s v="No"/>
    <n v="0"/>
  </r>
  <r>
    <s v="AP-0201"/>
    <s v="VND-011"/>
    <s v="QuickFreight Inc."/>
    <s v="Logistics"/>
    <s v="East"/>
    <s v="Ana Torres"/>
    <d v="2026-01-04T00:00:00"/>
    <d v="2026-02-18T00:00:00"/>
    <n v="45"/>
    <n v="14162.6"/>
    <n v="14162.6"/>
    <n v="0"/>
    <d v="2026-02-20T00:00:00"/>
    <x v="0"/>
    <s v="ACH"/>
    <n v="47"/>
    <n v="-2"/>
    <s v="No"/>
    <s v="Yes"/>
    <n v="1.4999999999999999E-2"/>
    <s v="No"/>
    <n v="0"/>
  </r>
  <r>
    <s v="AP-0202"/>
    <s v="VND-010"/>
    <s v="DataBridge IT"/>
    <s v="IT"/>
    <s v="South"/>
    <s v="Pedro Alvarez"/>
    <d v="2025-10-30T00:00:00"/>
    <d v="2025-11-29T00:00:00"/>
    <n v="30"/>
    <n v="32565.79"/>
    <n v="0"/>
    <n v="32565.79"/>
    <m/>
    <x v="1"/>
    <s v="Check"/>
    <m/>
    <n v="-183"/>
    <s v="No"/>
    <s v="Yes"/>
    <n v="0.01"/>
    <s v="No"/>
    <n v="0"/>
  </r>
  <r>
    <s v="AP-0203"/>
    <s v="VND-016"/>
    <s v="CleanWater Utilities"/>
    <s v="Utilities"/>
    <s v="South"/>
    <s v="Pedro Alvarez"/>
    <d v="2026-04-28T00:00:00"/>
    <d v="2026-06-27T00:00:00"/>
    <n v="60"/>
    <n v="11481.58"/>
    <n v="7350.17"/>
    <n v="4131.41"/>
    <d v="2026-05-31T00:00:00"/>
    <x v="3"/>
    <s v="Check"/>
    <n v="33"/>
    <n v="27"/>
    <s v="Yes"/>
    <s v="No"/>
    <n v="0"/>
    <s v="No"/>
    <n v="0"/>
  </r>
  <r>
    <s v="AP-0204"/>
    <s v="VND-003"/>
    <s v="FastShip Logistics"/>
    <s v="Logistics"/>
    <s v="Central"/>
    <s v="Pedro Alvarez"/>
    <d v="2025-04-25T00:00:00"/>
    <d v="2025-05-25T00:00:00"/>
    <n v="30"/>
    <n v="2173.4"/>
    <n v="2173.4"/>
    <n v="0"/>
    <d v="2025-05-21T00:00:00"/>
    <x v="0"/>
    <s v="Check"/>
    <n v="26"/>
    <n v="4"/>
    <s v="Yes"/>
    <s v="Yes"/>
    <n v="0.01"/>
    <s v="No"/>
    <n v="0"/>
  </r>
  <r>
    <s v="AP-0205"/>
    <s v="VND-011"/>
    <s v="QuickFreight Inc."/>
    <s v="Logistics"/>
    <s v="Central"/>
    <s v="Pedro Alvarez"/>
    <d v="2026-05-16T00:00:00"/>
    <d v="2026-06-15T00:00:00"/>
    <n v="30"/>
    <n v="2727.89"/>
    <n v="1518.41"/>
    <n v="1209.48"/>
    <d v="2026-05-31T00:00:00"/>
    <x v="3"/>
    <s v="ACH"/>
    <n v="15"/>
    <n v="15"/>
    <s v="Yes"/>
    <s v="Yes"/>
    <n v="0.01"/>
    <s v="No"/>
    <n v="0"/>
  </r>
  <r>
    <s v="AP-0206"/>
    <s v="VND-019"/>
    <s v="SkyNet IT Solutions"/>
    <s v="IT"/>
    <s v="North"/>
    <s v="Ana Torres"/>
    <d v="2025-01-23T00:00:00"/>
    <d v="2025-03-09T00:00:00"/>
    <n v="45"/>
    <n v="34696.15"/>
    <n v="34696.15"/>
    <n v="0"/>
    <d v="2025-03-07T00:00:00"/>
    <x v="0"/>
    <s v="Credit Card"/>
    <n v="43"/>
    <n v="2"/>
    <s v="Yes"/>
    <s v="No"/>
    <n v="0"/>
    <s v="No"/>
    <n v="0"/>
  </r>
  <r>
    <s v="AP-0207"/>
    <s v="VND-019"/>
    <s v="SkyNet IT Solutions"/>
    <s v="IT"/>
    <s v="North"/>
    <s v="Sofia Reyes"/>
    <d v="2025-03-07T00:00:00"/>
    <d v="2025-05-06T00:00:00"/>
    <n v="60"/>
    <n v="45587.26"/>
    <n v="36153.83"/>
    <n v="9433.43"/>
    <d v="2025-05-16T00:00:00"/>
    <x v="3"/>
    <s v="Credit Card"/>
    <n v="70"/>
    <n v="-10"/>
    <s v="No"/>
    <s v="Yes"/>
    <n v="0.01"/>
    <s v="No"/>
    <n v="0"/>
  </r>
  <r>
    <s v="AP-0208"/>
    <s v="VND-002"/>
    <s v="TechCore Solutions"/>
    <s v="IT"/>
    <s v="East"/>
    <s v="Pedro Alvarez"/>
    <d v="2026-03-07T00:00:00"/>
    <d v="2026-04-06T00:00:00"/>
    <n v="30"/>
    <n v="33084.57"/>
    <n v="33084.57"/>
    <n v="0"/>
    <d v="2026-04-04T00:00:00"/>
    <x v="0"/>
    <s v="Wire"/>
    <n v="28"/>
    <n v="2"/>
    <s v="Yes"/>
    <s v="No"/>
    <n v="0"/>
    <s v="No"/>
    <n v="0"/>
  </r>
  <r>
    <s v="AP-0209"/>
    <s v="VND-022"/>
    <s v="Apex Consulting"/>
    <s v="Services"/>
    <s v="Central"/>
    <s v="Marco Diaz"/>
    <d v="2025-07-02T00:00:00"/>
    <d v="2025-08-01T00:00:00"/>
    <n v="30"/>
    <n v="39735.33"/>
    <n v="39735.33"/>
    <n v="0"/>
    <d v="2025-08-03T00:00:00"/>
    <x v="0"/>
    <s v="Check"/>
    <n v="32"/>
    <n v="-2"/>
    <s v="No"/>
    <s v="Yes"/>
    <n v="0.01"/>
    <s v="No"/>
    <n v="0"/>
  </r>
  <r>
    <s v="AP-0210"/>
    <s v="VND-008"/>
    <s v="GreenEnergy Corp."/>
    <s v="Utilities"/>
    <s v="North"/>
    <s v="Sofia Reyes"/>
    <d v="2026-03-11T00:00:00"/>
    <d v="2026-06-09T00:00:00"/>
    <n v="90"/>
    <n v="8213.0400000000009"/>
    <n v="0"/>
    <n v="8213.0400000000009"/>
    <m/>
    <x v="2"/>
    <s v="Check"/>
    <m/>
    <m/>
    <m/>
    <s v="No"/>
    <n v="0"/>
    <s v="No"/>
    <n v="0"/>
  </r>
  <r>
    <s v="AP-0211"/>
    <s v="VND-009"/>
    <s v="MetalWorks Ltd."/>
    <s v="Materials"/>
    <s v="South"/>
    <s v="Sofia Reyes"/>
    <d v="2025-01-17T00:00:00"/>
    <d v="2025-03-18T00:00:00"/>
    <n v="60"/>
    <n v="13551.98"/>
    <n v="13551.98"/>
    <n v="0"/>
    <d v="2025-03-07T00:00:00"/>
    <x v="0"/>
    <s v="ACH"/>
    <n v="49"/>
    <n v="11"/>
    <s v="Yes"/>
    <s v="Yes"/>
    <n v="0.01"/>
    <s v="No"/>
    <n v="0"/>
  </r>
  <r>
    <s v="AP-0212"/>
    <s v="VND-002"/>
    <s v="TechCore Solutions"/>
    <s v="IT"/>
    <s v="South"/>
    <s v="Sofia Reyes"/>
    <d v="2025-08-28T00:00:00"/>
    <d v="2025-11-26T00:00:00"/>
    <n v="90"/>
    <n v="45481.99"/>
    <n v="45481.99"/>
    <n v="0"/>
    <d v="2025-11-29T00:00:00"/>
    <x v="0"/>
    <s v="Credit Card"/>
    <n v="93"/>
    <n v="-3"/>
    <s v="No"/>
    <s v="No"/>
    <n v="0"/>
    <s v="No"/>
    <n v="0"/>
  </r>
  <r>
    <s v="AP-0213"/>
    <s v="VND-005"/>
    <s v="CloudSys Inc."/>
    <s v="IT"/>
    <s v="Central"/>
    <s v="Laura Chen"/>
    <d v="2025-11-25T00:00:00"/>
    <d v="2026-01-24T00:00:00"/>
    <n v="60"/>
    <n v="22767.8"/>
    <n v="0"/>
    <n v="22767.8"/>
    <m/>
    <x v="1"/>
    <s v="Wire"/>
    <m/>
    <n v="-127"/>
    <s v="No"/>
    <s v="No"/>
    <n v="0"/>
    <s v="No"/>
    <n v="0"/>
  </r>
  <r>
    <s v="AP-0214"/>
    <s v="VND-017"/>
    <s v="OfficePro Services"/>
    <s v="Services"/>
    <s v="South"/>
    <s v="Pedro Alvarez"/>
    <d v="2025-03-04T00:00:00"/>
    <d v="2025-04-18T00:00:00"/>
    <n v="45"/>
    <n v="23598.57"/>
    <n v="23598.57"/>
    <n v="0"/>
    <d v="2025-04-23T00:00:00"/>
    <x v="0"/>
    <s v="Check"/>
    <n v="50"/>
    <n v="-5"/>
    <s v="No"/>
    <s v="Yes"/>
    <n v="1.4999999999999999E-2"/>
    <s v="No"/>
    <n v="0"/>
  </r>
  <r>
    <s v="AP-0215"/>
    <s v="VND-018"/>
    <s v="BuildFast Materials"/>
    <s v="Materials"/>
    <s v="West"/>
    <s v="Sofia Reyes"/>
    <d v="2025-11-23T00:00:00"/>
    <d v="2026-01-22T00:00:00"/>
    <n v="60"/>
    <n v="35422.800000000003"/>
    <n v="35422.800000000003"/>
    <n v="0"/>
    <d v="2026-02-01T00:00:00"/>
    <x v="0"/>
    <s v="Check"/>
    <n v="70"/>
    <n v="-10"/>
    <s v="No"/>
    <s v="Yes"/>
    <n v="0.01"/>
    <s v="No"/>
    <n v="0"/>
  </r>
  <r>
    <s v="AP-0216"/>
    <s v="VND-006"/>
    <s v="PowerGrid Utilities"/>
    <s v="Utilities"/>
    <s v="Central"/>
    <s v="Pedro Alvarez"/>
    <d v="2025-11-04T00:00:00"/>
    <d v="2025-12-04T00:00:00"/>
    <n v="30"/>
    <n v="12934.35"/>
    <n v="12934.35"/>
    <n v="0"/>
    <d v="2025-12-11T00:00:00"/>
    <x v="0"/>
    <s v="Wire"/>
    <n v="37"/>
    <n v="-7"/>
    <s v="No"/>
    <s v="Yes"/>
    <n v="0.01"/>
    <s v="No"/>
    <n v="0"/>
  </r>
  <r>
    <s v="AP-0217"/>
    <s v="VND-014"/>
    <s v="NetConnect Systems"/>
    <s v="IT"/>
    <s v="Central"/>
    <s v="Ana Torres"/>
    <d v="2025-09-06T00:00:00"/>
    <d v="2025-11-05T00:00:00"/>
    <n v="60"/>
    <n v="24124.67"/>
    <n v="24124.67"/>
    <n v="0"/>
    <d v="2025-11-07T00:00:00"/>
    <x v="0"/>
    <s v="Wire"/>
    <n v="62"/>
    <n v="-2"/>
    <s v="No"/>
    <s v="Yes"/>
    <n v="0.01"/>
    <s v="No"/>
    <n v="0"/>
  </r>
  <r>
    <s v="AP-0218"/>
    <s v="VND-015"/>
    <s v="ExpressRoute Logistics"/>
    <s v="Logistics"/>
    <s v="East"/>
    <s v="Sofia Reyes"/>
    <d v="2025-10-02T00:00:00"/>
    <d v="2025-10-17T00:00:00"/>
    <n v="15"/>
    <n v="8166.19"/>
    <n v="8166.19"/>
    <n v="0"/>
    <d v="2025-10-29T00:00:00"/>
    <x v="0"/>
    <s v="Wire"/>
    <n v="27"/>
    <n v="-12"/>
    <s v="No"/>
    <s v="Yes"/>
    <n v="0.02"/>
    <s v="No"/>
    <n v="0"/>
  </r>
  <r>
    <s v="AP-0219"/>
    <s v="VND-019"/>
    <s v="SkyNet IT Solutions"/>
    <s v="IT"/>
    <s v="Central"/>
    <s v="Marco Diaz"/>
    <d v="2025-12-07T00:00:00"/>
    <d v="2026-01-06T00:00:00"/>
    <n v="30"/>
    <n v="27739.1"/>
    <n v="27739.1"/>
    <n v="0"/>
    <d v="2026-01-12T00:00:00"/>
    <x v="0"/>
    <s v="Credit Card"/>
    <n v="36"/>
    <n v="-6"/>
    <s v="No"/>
    <s v="No"/>
    <n v="0"/>
    <s v="No"/>
    <n v="0"/>
  </r>
  <r>
    <s v="AP-0220"/>
    <s v="VND-007"/>
    <s v="ProStaff Services"/>
    <s v="Services"/>
    <s v="North"/>
    <s v="Pedro Alvarez"/>
    <d v="2026-02-11T00:00:00"/>
    <d v="2026-03-13T00:00:00"/>
    <n v="30"/>
    <n v="36859.68"/>
    <n v="36859.68"/>
    <n v="0"/>
    <d v="2026-03-06T00:00:00"/>
    <x v="0"/>
    <s v="Wire"/>
    <n v="23"/>
    <n v="7"/>
    <s v="Yes"/>
    <s v="Yes"/>
    <n v="0.01"/>
    <s v="No"/>
    <n v="0"/>
  </r>
  <r>
    <s v="AP-0221"/>
    <s v="VND-012"/>
    <s v="FacilityPro Services"/>
    <s v="Facilities"/>
    <s v="East"/>
    <s v="Laura Chen"/>
    <d v="2026-04-23T00:00:00"/>
    <d v="2026-07-22T00:00:00"/>
    <n v="90"/>
    <n v="5254.07"/>
    <n v="5254.07"/>
    <n v="0"/>
    <d v="2026-05-31T00:00:00"/>
    <x v="0"/>
    <s v="Check"/>
    <n v="38"/>
    <n v="52"/>
    <s v="Yes"/>
    <s v="No"/>
    <n v="0"/>
    <s v="No"/>
    <n v="0"/>
  </r>
  <r>
    <s v="AP-0222"/>
    <s v="VND-007"/>
    <s v="ProStaff Services"/>
    <s v="Services"/>
    <s v="East"/>
    <s v="Laura Chen"/>
    <d v="2025-08-15T00:00:00"/>
    <d v="2025-08-30T00:00:00"/>
    <n v="15"/>
    <n v="30426.34"/>
    <n v="30426.34"/>
    <n v="0"/>
    <d v="2025-08-19T00:00:00"/>
    <x v="0"/>
    <s v="Credit Card"/>
    <n v="4"/>
    <n v="11"/>
    <s v="Yes"/>
    <s v="Yes"/>
    <n v="0.02"/>
    <s v="Yes"/>
    <n v="608.53"/>
  </r>
  <r>
    <s v="AP-0223"/>
    <s v="VND-010"/>
    <s v="DataBridge IT"/>
    <s v="IT"/>
    <s v="South"/>
    <s v="Marco Diaz"/>
    <d v="2026-01-24T00:00:00"/>
    <d v="2026-02-23T00:00:00"/>
    <n v="30"/>
    <n v="47734.21"/>
    <n v="47734.21"/>
    <n v="0"/>
    <d v="2026-02-17T00:00:00"/>
    <x v="0"/>
    <s v="Check"/>
    <n v="24"/>
    <n v="6"/>
    <s v="Yes"/>
    <s v="Yes"/>
    <n v="0.01"/>
    <s v="No"/>
    <n v="0"/>
  </r>
  <r>
    <s v="AP-0224"/>
    <s v="VND-022"/>
    <s v="Apex Consulting"/>
    <s v="Services"/>
    <s v="East"/>
    <s v="Laura Chen"/>
    <d v="2026-04-17T00:00:00"/>
    <d v="2026-07-16T00:00:00"/>
    <n v="90"/>
    <n v="9224.64"/>
    <n v="9224.64"/>
    <n v="0"/>
    <d v="2026-05-31T00:00:00"/>
    <x v="0"/>
    <s v="Credit Card"/>
    <n v="44"/>
    <n v="46"/>
    <s v="Yes"/>
    <s v="No"/>
    <n v="0"/>
    <s v="No"/>
    <n v="0"/>
  </r>
  <r>
    <s v="AP-0225"/>
    <s v="VND-018"/>
    <s v="BuildFast Materials"/>
    <s v="Materials"/>
    <s v="North"/>
    <s v="Ana Torres"/>
    <d v="2025-02-19T00:00:00"/>
    <d v="2025-03-21T00:00:00"/>
    <n v="30"/>
    <n v="38688.26"/>
    <n v="16083.36"/>
    <n v="22604.9"/>
    <d v="2025-04-07T00:00:00"/>
    <x v="3"/>
    <s v="ACH"/>
    <n v="47"/>
    <n v="-17"/>
    <s v="No"/>
    <s v="Yes"/>
    <n v="0.01"/>
    <s v="No"/>
    <n v="0"/>
  </r>
  <r>
    <s v="AP-0226"/>
    <s v="VND-005"/>
    <s v="CloudSys Inc."/>
    <s v="IT"/>
    <s v="North"/>
    <s v="Marco Diaz"/>
    <d v="2025-03-03T00:00:00"/>
    <d v="2025-05-02T00:00:00"/>
    <n v="60"/>
    <n v="51337.64"/>
    <n v="51337.64"/>
    <n v="0"/>
    <d v="2025-05-03T00:00:00"/>
    <x v="0"/>
    <s v="Credit Card"/>
    <n v="61"/>
    <n v="-1"/>
    <s v="No"/>
    <s v="Yes"/>
    <n v="0.01"/>
    <s v="No"/>
    <n v="0"/>
  </r>
  <r>
    <s v="AP-0227"/>
    <s v="VND-016"/>
    <s v="CleanWater Utilities"/>
    <s v="Utilities"/>
    <s v="West"/>
    <s v="Sofia Reyes"/>
    <d v="2025-01-13T00:00:00"/>
    <d v="2025-03-14T00:00:00"/>
    <n v="60"/>
    <n v="742.53"/>
    <n v="742.53"/>
    <n v="0"/>
    <d v="2025-03-12T00:00:00"/>
    <x v="0"/>
    <s v="ACH"/>
    <n v="58"/>
    <n v="2"/>
    <s v="Yes"/>
    <s v="No"/>
    <n v="0"/>
    <s v="No"/>
    <n v="0"/>
  </r>
  <r>
    <s v="AP-0228"/>
    <s v="VND-023"/>
    <s v="CoolTech Systems"/>
    <s v="IT"/>
    <s v="West"/>
    <s v="Marco Diaz"/>
    <d v="2025-06-02T00:00:00"/>
    <d v="2025-07-02T00:00:00"/>
    <n v="30"/>
    <n v="23072.66"/>
    <n v="23072.66"/>
    <n v="0"/>
    <d v="2025-07-11T00:00:00"/>
    <x v="0"/>
    <s v="ACH"/>
    <n v="39"/>
    <n v="-9"/>
    <s v="No"/>
    <s v="Yes"/>
    <n v="0.01"/>
    <s v="No"/>
    <n v="0"/>
  </r>
  <r>
    <s v="AP-0229"/>
    <s v="VND-012"/>
    <s v="FacilityPro Services"/>
    <s v="Facilities"/>
    <s v="East"/>
    <s v="Pedro Alvarez"/>
    <d v="2026-02-20T00:00:00"/>
    <d v="2026-04-21T00:00:00"/>
    <n v="60"/>
    <n v="17146.93"/>
    <n v="0"/>
    <n v="17146.93"/>
    <m/>
    <x v="2"/>
    <s v="ACH"/>
    <m/>
    <m/>
    <m/>
    <s v="Yes"/>
    <n v="0.01"/>
    <s v="No"/>
    <n v="0"/>
  </r>
  <r>
    <s v="AP-0230"/>
    <s v="VND-003"/>
    <s v="FastShip Logistics"/>
    <s v="Logistics"/>
    <s v="North"/>
    <s v="Sofia Reyes"/>
    <d v="2026-01-22T00:00:00"/>
    <d v="2026-03-23T00:00:00"/>
    <n v="60"/>
    <n v="11501.33"/>
    <n v="11501.33"/>
    <n v="0"/>
    <d v="2026-03-27T00:00:00"/>
    <x v="0"/>
    <s v="Credit Card"/>
    <n v="64"/>
    <n v="-4"/>
    <s v="No"/>
    <s v="Yes"/>
    <n v="0.01"/>
    <s v="No"/>
    <n v="0"/>
  </r>
  <r>
    <s v="AP-0231"/>
    <s v="VND-014"/>
    <s v="NetConnect Systems"/>
    <s v="IT"/>
    <s v="East"/>
    <s v="Ana Torres"/>
    <d v="2025-08-24T00:00:00"/>
    <d v="2025-09-08T00:00:00"/>
    <n v="15"/>
    <n v="20856.28"/>
    <n v="11215.47"/>
    <n v="9640.81"/>
    <d v="2025-09-04T00:00:00"/>
    <x v="3"/>
    <s v="ACH"/>
    <n v="11"/>
    <n v="4"/>
    <s v="Yes"/>
    <s v="No"/>
    <n v="0"/>
    <s v="No"/>
    <n v="0"/>
  </r>
  <r>
    <s v="AP-0232"/>
    <s v="VND-003"/>
    <s v="FastShip Logistics"/>
    <s v="Logistics"/>
    <s v="East"/>
    <s v="Ana Torres"/>
    <d v="2025-11-19T00:00:00"/>
    <d v="2025-12-19T00:00:00"/>
    <n v="30"/>
    <n v="1297.5"/>
    <n v="1297.5"/>
    <n v="0"/>
    <d v="2025-12-27T00:00:00"/>
    <x v="0"/>
    <s v="ACH"/>
    <n v="38"/>
    <n v="-8"/>
    <s v="No"/>
    <s v="Yes"/>
    <n v="0.01"/>
    <s v="No"/>
    <n v="0"/>
  </r>
  <r>
    <s v="AP-0233"/>
    <s v="VND-023"/>
    <s v="CoolTech Systems"/>
    <s v="IT"/>
    <s v="West"/>
    <s v="Sofia Reyes"/>
    <d v="2025-09-04T00:00:00"/>
    <d v="2025-10-04T00:00:00"/>
    <n v="30"/>
    <n v="47502.19"/>
    <n v="47502.19"/>
    <n v="0"/>
    <d v="2025-09-27T00:00:00"/>
    <x v="0"/>
    <s v="Check"/>
    <n v="23"/>
    <n v="7"/>
    <s v="Yes"/>
    <s v="No"/>
    <n v="0"/>
    <s v="No"/>
    <n v="0"/>
  </r>
  <r>
    <s v="AP-0234"/>
    <s v="VND-024"/>
    <s v="EliteFacilities Corp."/>
    <s v="Facilities"/>
    <s v="South"/>
    <s v="Sofia Reyes"/>
    <d v="2025-04-11T00:00:00"/>
    <d v="2025-04-26T00:00:00"/>
    <n v="15"/>
    <n v="16423.91"/>
    <n v="16423.91"/>
    <n v="0"/>
    <d v="2025-04-25T00:00:00"/>
    <x v="0"/>
    <s v="Check"/>
    <n v="14"/>
    <n v="1"/>
    <s v="Yes"/>
    <s v="No"/>
    <n v="0"/>
    <s v="No"/>
    <n v="0"/>
  </r>
  <r>
    <s v="AP-0235"/>
    <s v="VND-025"/>
    <s v="RapidShip Co."/>
    <s v="Logistics"/>
    <s v="Central"/>
    <s v="Ana Torres"/>
    <d v="2025-01-31T00:00:00"/>
    <d v="2025-04-01T00:00:00"/>
    <n v="60"/>
    <n v="13048.34"/>
    <n v="13048.34"/>
    <n v="0"/>
    <d v="2025-04-02T00:00:00"/>
    <x v="0"/>
    <s v="Credit Card"/>
    <n v="61"/>
    <n v="-1"/>
    <s v="No"/>
    <s v="No"/>
    <n v="0"/>
    <s v="No"/>
    <n v="0"/>
  </r>
  <r>
    <s v="AP-0236"/>
    <s v="VND-013"/>
    <s v="SafetyFirst Supplies"/>
    <s v="Materials"/>
    <s v="West"/>
    <s v="Marco Diaz"/>
    <d v="2025-10-30T00:00:00"/>
    <d v="2025-11-29T00:00:00"/>
    <n v="30"/>
    <n v="40306.65"/>
    <n v="40306.65"/>
    <n v="0"/>
    <d v="2025-12-09T00:00:00"/>
    <x v="0"/>
    <s v="Credit Card"/>
    <n v="40"/>
    <n v="-10"/>
    <s v="No"/>
    <s v="No"/>
    <n v="0"/>
    <s v="No"/>
    <n v="0"/>
  </r>
  <r>
    <s v="AP-0237"/>
    <s v="VND-005"/>
    <s v="CloudSys Inc."/>
    <s v="IT"/>
    <s v="West"/>
    <s v="Marco Diaz"/>
    <d v="2026-01-05T00:00:00"/>
    <d v="2026-03-06T00:00:00"/>
    <n v="60"/>
    <n v="12991.32"/>
    <n v="12991.32"/>
    <n v="0"/>
    <d v="2026-03-02T00:00:00"/>
    <x v="0"/>
    <s v="Credit Card"/>
    <n v="56"/>
    <n v="4"/>
    <s v="Yes"/>
    <s v="Yes"/>
    <n v="0.01"/>
    <s v="No"/>
    <n v="0"/>
  </r>
  <r>
    <s v="AP-0238"/>
    <s v="VND-005"/>
    <s v="CloudSys Inc."/>
    <s v="IT"/>
    <s v="North"/>
    <s v="Marco Diaz"/>
    <d v="2026-02-22T00:00:00"/>
    <d v="2026-05-23T00:00:00"/>
    <n v="90"/>
    <n v="12746.97"/>
    <n v="12746.97"/>
    <n v="0"/>
    <d v="2026-05-27T00:00:00"/>
    <x v="0"/>
    <s v="Credit Card"/>
    <n v="94"/>
    <n v="-4"/>
    <s v="No"/>
    <s v="Yes"/>
    <n v="5.0000000000000001E-3"/>
    <s v="No"/>
    <n v="0"/>
  </r>
  <r>
    <s v="AP-0239"/>
    <s v="VND-011"/>
    <s v="QuickFreight Inc."/>
    <s v="Logistics"/>
    <s v="West"/>
    <s v="Sofia Reyes"/>
    <d v="2026-02-02T00:00:00"/>
    <d v="2026-04-03T00:00:00"/>
    <n v="60"/>
    <n v="15804.21"/>
    <n v="15804.21"/>
    <n v="0"/>
    <d v="2026-04-03T00:00:00"/>
    <x v="0"/>
    <s v="Check"/>
    <n v="60"/>
    <n v="0"/>
    <s v="Yes"/>
    <s v="No"/>
    <n v="0"/>
    <s v="No"/>
    <n v="0"/>
  </r>
  <r>
    <s v="AP-0240"/>
    <s v="VND-022"/>
    <s v="Apex Consulting"/>
    <s v="Services"/>
    <s v="West"/>
    <s v="Marco Diaz"/>
    <d v="2025-11-05T00:00:00"/>
    <d v="2025-12-20T00:00:00"/>
    <n v="45"/>
    <n v="12931.05"/>
    <n v="12931.05"/>
    <n v="0"/>
    <d v="2025-12-29T00:00:00"/>
    <x v="0"/>
    <s v="Wire"/>
    <n v="54"/>
    <n v="-9"/>
    <s v="No"/>
    <s v="Yes"/>
    <n v="1.4999999999999999E-2"/>
    <s v="No"/>
    <n v="0"/>
  </r>
  <r>
    <s v="AP-0241"/>
    <s v="VND-009"/>
    <s v="MetalWorks Ltd."/>
    <s v="Materials"/>
    <s v="West"/>
    <s v="Laura Chen"/>
    <d v="2026-01-05T00:00:00"/>
    <d v="2026-02-04T00:00:00"/>
    <n v="30"/>
    <n v="14081.59"/>
    <n v="14081.59"/>
    <n v="0"/>
    <d v="2026-01-31T00:00:00"/>
    <x v="0"/>
    <s v="Credit Card"/>
    <n v="26"/>
    <n v="4"/>
    <s v="Yes"/>
    <s v="Yes"/>
    <n v="0.01"/>
    <s v="No"/>
    <n v="0"/>
  </r>
  <r>
    <s v="AP-0242"/>
    <s v="VND-004"/>
    <s v="BuildRight Materials"/>
    <s v="Materials"/>
    <s v="South"/>
    <s v="Laura Chen"/>
    <d v="2025-12-07T00:00:00"/>
    <d v="2026-02-05T00:00:00"/>
    <n v="60"/>
    <n v="42397.440000000002"/>
    <n v="22051.39"/>
    <n v="20346.05"/>
    <d v="2026-02-13T00:00:00"/>
    <x v="3"/>
    <s v="ACH"/>
    <n v="68"/>
    <n v="-8"/>
    <s v="No"/>
    <s v="Yes"/>
    <n v="0.01"/>
    <s v="No"/>
    <n v="0"/>
  </r>
  <r>
    <s v="AP-0243"/>
    <s v="VND-021"/>
    <s v="PrimePack Logistics"/>
    <s v="Logistics"/>
    <s v="Central"/>
    <s v="Marco Diaz"/>
    <d v="2025-07-25T00:00:00"/>
    <d v="2025-09-23T00:00:00"/>
    <n v="60"/>
    <n v="10101.19"/>
    <n v="10101.19"/>
    <n v="0"/>
    <d v="2025-09-21T00:00:00"/>
    <x v="0"/>
    <s v="Check"/>
    <n v="58"/>
    <n v="2"/>
    <s v="Yes"/>
    <s v="Yes"/>
    <n v="0.01"/>
    <s v="No"/>
    <n v="0"/>
  </r>
  <r>
    <s v="AP-0244"/>
    <s v="VND-011"/>
    <s v="QuickFreight Inc."/>
    <s v="Logistics"/>
    <s v="East"/>
    <s v="Pedro Alvarez"/>
    <d v="2026-01-21T00:00:00"/>
    <d v="2026-03-22T00:00:00"/>
    <n v="60"/>
    <n v="6325.7"/>
    <n v="6325.7"/>
    <n v="0"/>
    <d v="2026-03-26T00:00:00"/>
    <x v="0"/>
    <s v="Wire"/>
    <n v="64"/>
    <n v="-4"/>
    <s v="No"/>
    <s v="No"/>
    <n v="0"/>
    <s v="No"/>
    <n v="0"/>
  </r>
  <r>
    <s v="AP-0245"/>
    <s v="VND-018"/>
    <s v="BuildFast Materials"/>
    <s v="Materials"/>
    <s v="South"/>
    <s v="Ana Torres"/>
    <d v="2025-08-03T00:00:00"/>
    <d v="2025-11-01T00:00:00"/>
    <n v="90"/>
    <n v="23045.84"/>
    <n v="23045.84"/>
    <n v="0"/>
    <d v="2025-10-30T00:00:00"/>
    <x v="0"/>
    <s v="ACH"/>
    <n v="88"/>
    <n v="2"/>
    <s v="Yes"/>
    <s v="Yes"/>
    <n v="5.0000000000000001E-3"/>
    <s v="No"/>
    <n v="0"/>
  </r>
  <r>
    <s v="AP-0246"/>
    <s v="VND-014"/>
    <s v="NetConnect Systems"/>
    <s v="IT"/>
    <s v="West"/>
    <s v="Marco Diaz"/>
    <d v="2025-09-16T00:00:00"/>
    <d v="2025-10-16T00:00:00"/>
    <n v="30"/>
    <n v="54399.72"/>
    <n v="18331.759999999998"/>
    <n v="36067.96"/>
    <d v="2025-10-30T00:00:00"/>
    <x v="3"/>
    <s v="Check"/>
    <n v="44"/>
    <n v="-14"/>
    <s v="No"/>
    <s v="No"/>
    <n v="0"/>
    <s v="No"/>
    <n v="0"/>
  </r>
  <r>
    <s v="AP-0247"/>
    <s v="VND-016"/>
    <s v="CleanWater Utilities"/>
    <s v="Utilities"/>
    <s v="Central"/>
    <s v="Pedro Alvarez"/>
    <d v="2026-01-04T00:00:00"/>
    <d v="2026-01-19T00:00:00"/>
    <n v="15"/>
    <n v="10673.7"/>
    <n v="10673.7"/>
    <n v="0"/>
    <d v="2026-01-22T00:00:00"/>
    <x v="0"/>
    <s v="Credit Card"/>
    <n v="18"/>
    <n v="-3"/>
    <s v="No"/>
    <s v="No"/>
    <n v="0"/>
    <s v="No"/>
    <n v="0"/>
  </r>
  <r>
    <s v="AP-0248"/>
    <s v="VND-008"/>
    <s v="GreenEnergy Corp."/>
    <s v="Utilities"/>
    <s v="East"/>
    <s v="Marco Diaz"/>
    <d v="2025-12-06T00:00:00"/>
    <d v="2026-02-04T00:00:00"/>
    <n v="60"/>
    <n v="14502.89"/>
    <n v="14502.89"/>
    <n v="0"/>
    <d v="2026-02-03T00:00:00"/>
    <x v="0"/>
    <s v="ACH"/>
    <n v="59"/>
    <n v="1"/>
    <s v="Yes"/>
    <s v="Yes"/>
    <n v="0.01"/>
    <s v="No"/>
    <n v="0"/>
  </r>
  <r>
    <s v="AP-0249"/>
    <s v="VND-009"/>
    <s v="MetalWorks Ltd."/>
    <s v="Materials"/>
    <s v="South"/>
    <s v="Ana Torres"/>
    <d v="2026-01-19T00:00:00"/>
    <d v="2026-04-19T00:00:00"/>
    <n v="90"/>
    <n v="20774.439999999999"/>
    <n v="20774.439999999999"/>
    <n v="0"/>
    <d v="2026-04-18T00:00:00"/>
    <x v="0"/>
    <s v="Wire"/>
    <n v="89"/>
    <n v="1"/>
    <s v="Yes"/>
    <s v="No"/>
    <n v="0"/>
    <s v="No"/>
    <n v="0"/>
  </r>
  <r>
    <s v="AP-0250"/>
    <s v="VND-004"/>
    <s v="BuildRight Materials"/>
    <s v="Materials"/>
    <s v="East"/>
    <s v="Pedro Alvarez"/>
    <d v="2025-05-26T00:00:00"/>
    <d v="2025-06-25T00:00:00"/>
    <n v="30"/>
    <n v="18719.78"/>
    <n v="10493.51"/>
    <n v="8226.27"/>
    <d v="2025-07-01T00:00:00"/>
    <x v="3"/>
    <s v="ACH"/>
    <n v="36"/>
    <n v="-6"/>
    <s v="No"/>
    <s v="Yes"/>
    <n v="0.01"/>
    <s v="No"/>
    <n v="0"/>
  </r>
  <r>
    <s v="AP-0251"/>
    <s v="VND-016"/>
    <s v="CleanWater Utilities"/>
    <s v="Utilities"/>
    <s v="North"/>
    <s v="Pedro Alvarez"/>
    <d v="2025-03-10T00:00:00"/>
    <d v="2025-05-09T00:00:00"/>
    <n v="60"/>
    <n v="4853.83"/>
    <n v="4853.83"/>
    <n v="0"/>
    <d v="2025-05-10T00:00:00"/>
    <x v="0"/>
    <s v="Credit Card"/>
    <n v="61"/>
    <n v="-1"/>
    <s v="No"/>
    <s v="No"/>
    <n v="0"/>
    <s v="No"/>
    <n v="0"/>
  </r>
  <r>
    <s v="AP-0252"/>
    <s v="VND-011"/>
    <s v="QuickFreight Inc."/>
    <s v="Logistics"/>
    <s v="North"/>
    <s v="Marco Diaz"/>
    <d v="2025-06-13T00:00:00"/>
    <d v="2025-07-13T00:00:00"/>
    <n v="30"/>
    <n v="7288.8"/>
    <n v="7288.8"/>
    <n v="0"/>
    <d v="2025-07-16T00:00:00"/>
    <x v="0"/>
    <s v="Wire"/>
    <n v="33"/>
    <n v="-3"/>
    <s v="No"/>
    <s v="Yes"/>
    <n v="0.01"/>
    <s v="No"/>
    <n v="0"/>
  </r>
  <r>
    <s v="AP-0253"/>
    <s v="VND-006"/>
    <s v="PowerGrid Utilities"/>
    <s v="Utilities"/>
    <s v="West"/>
    <s v="Pedro Alvarez"/>
    <d v="2026-04-06T00:00:00"/>
    <d v="2026-05-06T00:00:00"/>
    <n v="30"/>
    <n v="9086.9500000000007"/>
    <n v="0"/>
    <n v="9086.9500000000007"/>
    <m/>
    <x v="2"/>
    <s v="ACH"/>
    <m/>
    <m/>
    <m/>
    <s v="Yes"/>
    <n v="0.01"/>
    <s v="No"/>
    <n v="0"/>
  </r>
  <r>
    <s v="AP-0254"/>
    <s v="VND-025"/>
    <s v="RapidShip Co."/>
    <s v="Logistics"/>
    <s v="North"/>
    <s v="Ana Torres"/>
    <d v="2026-01-10T00:00:00"/>
    <d v="2026-02-09T00:00:00"/>
    <n v="30"/>
    <n v="7193.71"/>
    <n v="7193.71"/>
    <n v="0"/>
    <d v="2026-01-30T00:00:00"/>
    <x v="0"/>
    <s v="ACH"/>
    <n v="20"/>
    <n v="10"/>
    <s v="Yes"/>
    <s v="Yes"/>
    <n v="0.01"/>
    <s v="No"/>
    <n v="0"/>
  </r>
  <r>
    <s v="AP-0255"/>
    <s v="VND-016"/>
    <s v="CleanWater Utilities"/>
    <s v="Utilities"/>
    <s v="Central"/>
    <s v="Laura Chen"/>
    <d v="2025-04-27T00:00:00"/>
    <d v="2025-06-26T00:00:00"/>
    <n v="60"/>
    <n v="5544.91"/>
    <n v="5544.91"/>
    <n v="0"/>
    <d v="2025-06-30T00:00:00"/>
    <x v="0"/>
    <s v="Credit Card"/>
    <n v="64"/>
    <n v="-4"/>
    <s v="No"/>
    <s v="No"/>
    <n v="0"/>
    <s v="No"/>
    <n v="0"/>
  </r>
  <r>
    <s v="AP-0256"/>
    <s v="VND-010"/>
    <s v="DataBridge IT"/>
    <s v="IT"/>
    <s v="Central"/>
    <s v="Ana Torres"/>
    <d v="2025-11-17T00:00:00"/>
    <d v="2025-12-17T00:00:00"/>
    <n v="30"/>
    <n v="13839.62"/>
    <n v="13839.62"/>
    <n v="0"/>
    <d v="2025-12-06T00:00:00"/>
    <x v="0"/>
    <s v="ACH"/>
    <n v="19"/>
    <n v="11"/>
    <s v="Yes"/>
    <s v="Yes"/>
    <n v="0.01"/>
    <s v="No"/>
    <n v="0"/>
  </r>
  <r>
    <s v="AP-0257"/>
    <s v="VND-023"/>
    <s v="CoolTech Systems"/>
    <s v="IT"/>
    <s v="South"/>
    <s v="Ana Torres"/>
    <d v="2025-05-22T00:00:00"/>
    <d v="2025-07-21T00:00:00"/>
    <n v="60"/>
    <n v="48110.45"/>
    <n v="48110.45"/>
    <n v="0"/>
    <d v="2025-07-04T00:00:00"/>
    <x v="0"/>
    <s v="Credit Card"/>
    <n v="43"/>
    <n v="17"/>
    <s v="Yes"/>
    <s v="Yes"/>
    <n v="0.01"/>
    <s v="No"/>
    <n v="0"/>
  </r>
  <r>
    <s v="AP-0258"/>
    <s v="VND-006"/>
    <s v="PowerGrid Utilities"/>
    <s v="Utilities"/>
    <s v="Central"/>
    <s v="Marco Diaz"/>
    <d v="2025-05-24T00:00:00"/>
    <d v="2025-07-08T00:00:00"/>
    <n v="45"/>
    <n v="3212.93"/>
    <n v="3212.93"/>
    <n v="0"/>
    <d v="2025-07-04T00:00:00"/>
    <x v="0"/>
    <s v="Credit Card"/>
    <n v="41"/>
    <n v="4"/>
    <s v="Yes"/>
    <s v="No"/>
    <n v="0"/>
    <s v="No"/>
    <n v="0"/>
  </r>
  <r>
    <s v="AP-0259"/>
    <s v="VND-012"/>
    <s v="FacilityPro Services"/>
    <s v="Facilities"/>
    <s v="North"/>
    <s v="Pedro Alvarez"/>
    <d v="2026-01-29T00:00:00"/>
    <d v="2026-02-28T00:00:00"/>
    <n v="30"/>
    <n v="33806.36"/>
    <n v="33806.36"/>
    <n v="0"/>
    <d v="2026-02-25T00:00:00"/>
    <x v="0"/>
    <s v="Wire"/>
    <n v="27"/>
    <n v="3"/>
    <s v="Yes"/>
    <s v="Yes"/>
    <n v="0.01"/>
    <s v="No"/>
    <n v="0"/>
  </r>
  <r>
    <s v="AP-0260"/>
    <s v="VND-015"/>
    <s v="ExpressRoute Logistics"/>
    <s v="Logistics"/>
    <s v="West"/>
    <s v="Marco Diaz"/>
    <d v="2025-08-14T00:00:00"/>
    <d v="2025-08-29T00:00:00"/>
    <n v="15"/>
    <n v="6549.71"/>
    <n v="6549.71"/>
    <n v="0"/>
    <d v="2025-08-22T00:00:00"/>
    <x v="0"/>
    <s v="ACH"/>
    <n v="8"/>
    <n v="7"/>
    <s v="Yes"/>
    <s v="Yes"/>
    <n v="0.02"/>
    <s v="No"/>
    <n v="0"/>
  </r>
  <r>
    <s v="AP-0261"/>
    <s v="VND-006"/>
    <s v="PowerGrid Utilities"/>
    <s v="Utilities"/>
    <s v="West"/>
    <s v="Ana Torres"/>
    <d v="2025-04-27T00:00:00"/>
    <d v="2025-05-27T00:00:00"/>
    <n v="30"/>
    <n v="4384.3900000000003"/>
    <n v="0"/>
    <n v="4384.3900000000003"/>
    <m/>
    <x v="1"/>
    <s v="Credit Card"/>
    <m/>
    <n v="-369"/>
    <s v="No"/>
    <s v="Yes"/>
    <n v="0.01"/>
    <s v="No"/>
    <n v="0"/>
  </r>
  <r>
    <s v="AP-0262"/>
    <s v="VND-018"/>
    <s v="BuildFast Materials"/>
    <s v="Materials"/>
    <s v="North"/>
    <s v="Pedro Alvarez"/>
    <d v="2025-04-15T00:00:00"/>
    <d v="2025-06-14T00:00:00"/>
    <n v="60"/>
    <n v="37327.46"/>
    <n v="37327.46"/>
    <n v="0"/>
    <d v="2025-06-15T00:00:00"/>
    <x v="0"/>
    <s v="Wire"/>
    <n v="61"/>
    <n v="-1"/>
    <s v="No"/>
    <s v="Yes"/>
    <n v="0.01"/>
    <s v="No"/>
    <n v="0"/>
  </r>
  <r>
    <s v="AP-0263"/>
    <s v="VND-009"/>
    <s v="MetalWorks Ltd."/>
    <s v="Materials"/>
    <s v="East"/>
    <s v="Sofia Reyes"/>
    <d v="2025-08-31T00:00:00"/>
    <d v="2025-09-30T00:00:00"/>
    <n v="30"/>
    <n v="12074.15"/>
    <n v="12074.15"/>
    <n v="0"/>
    <d v="2025-09-29T00:00:00"/>
    <x v="0"/>
    <s v="Credit Card"/>
    <n v="29"/>
    <n v="1"/>
    <s v="Yes"/>
    <s v="No"/>
    <n v="0"/>
    <s v="No"/>
    <n v="0"/>
  </r>
  <r>
    <s v="AP-0264"/>
    <s v="VND-023"/>
    <s v="CoolTech Systems"/>
    <s v="IT"/>
    <s v="Central"/>
    <s v="Pedro Alvarez"/>
    <d v="2025-07-31T00:00:00"/>
    <d v="2025-08-30T00:00:00"/>
    <n v="30"/>
    <n v="66014.740000000005"/>
    <n v="66014.740000000005"/>
    <n v="0"/>
    <d v="2025-08-20T00:00:00"/>
    <x v="0"/>
    <s v="Wire"/>
    <n v="20"/>
    <n v="10"/>
    <s v="Yes"/>
    <s v="No"/>
    <n v="0"/>
    <s v="No"/>
    <n v="0"/>
  </r>
  <r>
    <s v="AP-0265"/>
    <s v="VND-006"/>
    <s v="PowerGrid Utilities"/>
    <s v="Utilities"/>
    <s v="East"/>
    <s v="Laura Chen"/>
    <d v="2025-04-08T00:00:00"/>
    <d v="2025-05-23T00:00:00"/>
    <n v="45"/>
    <n v="2466.04"/>
    <n v="2466.04"/>
    <n v="0"/>
    <d v="2025-05-21T00:00:00"/>
    <x v="0"/>
    <s v="Check"/>
    <n v="43"/>
    <n v="2"/>
    <s v="Yes"/>
    <s v="No"/>
    <n v="0"/>
    <s v="No"/>
    <n v="0"/>
  </r>
  <r>
    <s v="AP-0266"/>
    <s v="VND-002"/>
    <s v="TechCore Solutions"/>
    <s v="IT"/>
    <s v="East"/>
    <s v="Marco Diaz"/>
    <d v="2025-05-30T00:00:00"/>
    <d v="2025-06-29T00:00:00"/>
    <n v="30"/>
    <n v="58354.61"/>
    <n v="58354.61"/>
    <n v="0"/>
    <d v="2025-06-25T00:00:00"/>
    <x v="0"/>
    <s v="Wire"/>
    <n v="26"/>
    <n v="4"/>
    <s v="Yes"/>
    <s v="No"/>
    <n v="0"/>
    <s v="No"/>
    <n v="0"/>
  </r>
  <r>
    <s v="AP-0267"/>
    <s v="VND-019"/>
    <s v="SkyNet IT Solutions"/>
    <s v="IT"/>
    <s v="East"/>
    <s v="Pedro Alvarez"/>
    <d v="2025-03-19T00:00:00"/>
    <d v="2025-06-17T00:00:00"/>
    <n v="90"/>
    <n v="52522.080000000002"/>
    <n v="52522.080000000002"/>
    <n v="0"/>
    <d v="2025-06-09T00:00:00"/>
    <x v="0"/>
    <s v="Credit Card"/>
    <n v="82"/>
    <n v="8"/>
    <s v="Yes"/>
    <s v="No"/>
    <n v="0"/>
    <s v="No"/>
    <n v="0"/>
  </r>
  <r>
    <s v="AP-0268"/>
    <s v="VND-017"/>
    <s v="OfficePro Services"/>
    <s v="Services"/>
    <s v="East"/>
    <s v="Laura Chen"/>
    <d v="2025-12-02T00:00:00"/>
    <d v="2026-03-02T00:00:00"/>
    <n v="90"/>
    <n v="24532.36"/>
    <n v="8502.2000000000007"/>
    <n v="16030.16"/>
    <d v="2026-03-11T00:00:00"/>
    <x v="3"/>
    <s v="Credit Card"/>
    <n v="99"/>
    <n v="-9"/>
    <s v="No"/>
    <s v="No"/>
    <n v="0"/>
    <s v="No"/>
    <n v="0"/>
  </r>
  <r>
    <s v="AP-0269"/>
    <s v="VND-021"/>
    <s v="PrimePack Logistics"/>
    <s v="Logistics"/>
    <s v="East"/>
    <s v="Sofia Reyes"/>
    <d v="2026-03-16T00:00:00"/>
    <d v="2026-04-15T00:00:00"/>
    <n v="30"/>
    <n v="16672.11"/>
    <n v="0"/>
    <n v="16672.11"/>
    <m/>
    <x v="2"/>
    <s v="Credit Card"/>
    <m/>
    <m/>
    <m/>
    <s v="Yes"/>
    <n v="0.01"/>
    <s v="No"/>
    <n v="0"/>
  </r>
  <r>
    <s v="AP-0270"/>
    <s v="VND-018"/>
    <s v="BuildFast Materials"/>
    <s v="Materials"/>
    <s v="Central"/>
    <s v="Marco Diaz"/>
    <d v="2025-02-19T00:00:00"/>
    <d v="2025-04-20T00:00:00"/>
    <n v="60"/>
    <n v="4205.26"/>
    <n v="1295.81"/>
    <n v="2909.45"/>
    <d v="2025-04-20T00:00:00"/>
    <x v="3"/>
    <s v="Credit Card"/>
    <n v="60"/>
    <n v="0"/>
    <s v="Yes"/>
    <s v="Yes"/>
    <n v="0.01"/>
    <s v="No"/>
    <n v="0"/>
  </r>
  <r>
    <s v="AP-0271"/>
    <s v="VND-015"/>
    <s v="ExpressRoute Logistics"/>
    <s v="Logistics"/>
    <s v="West"/>
    <s v="Sofia Reyes"/>
    <d v="2025-05-16T00:00:00"/>
    <d v="2025-06-15T00:00:00"/>
    <n v="30"/>
    <n v="17760.810000000001"/>
    <n v="13112.76"/>
    <n v="4648.05"/>
    <d v="2025-06-12T00:00:00"/>
    <x v="3"/>
    <s v="Credit Card"/>
    <n v="27"/>
    <n v="3"/>
    <s v="Yes"/>
    <s v="Yes"/>
    <n v="0.01"/>
    <s v="No"/>
    <n v="0"/>
  </r>
  <r>
    <s v="AP-0272"/>
    <s v="VND-021"/>
    <s v="PrimePack Logistics"/>
    <s v="Logistics"/>
    <s v="East"/>
    <s v="Laura Chen"/>
    <d v="2025-06-19T00:00:00"/>
    <d v="2025-08-18T00:00:00"/>
    <n v="60"/>
    <n v="1983.96"/>
    <n v="1983.96"/>
    <n v="0"/>
    <d v="2025-08-18T00:00:00"/>
    <x v="0"/>
    <s v="ACH"/>
    <n v="60"/>
    <n v="0"/>
    <s v="Yes"/>
    <s v="Yes"/>
    <n v="0.01"/>
    <s v="No"/>
    <n v="0"/>
  </r>
  <r>
    <s v="AP-0273"/>
    <s v="VND-003"/>
    <s v="FastShip Logistics"/>
    <s v="Logistics"/>
    <s v="North"/>
    <s v="Sofia Reyes"/>
    <d v="2025-03-21T00:00:00"/>
    <d v="2025-06-19T00:00:00"/>
    <n v="90"/>
    <n v="3521.3"/>
    <n v="3521.3"/>
    <n v="0"/>
    <d v="2025-06-11T00:00:00"/>
    <x v="0"/>
    <s v="Wire"/>
    <n v="82"/>
    <n v="8"/>
    <s v="Yes"/>
    <s v="Yes"/>
    <n v="5.0000000000000001E-3"/>
    <s v="No"/>
    <n v="0"/>
  </r>
  <r>
    <s v="AP-0274"/>
    <s v="VND-001"/>
    <s v="Acme Supplies Co."/>
    <s v="Materials"/>
    <s v="North"/>
    <s v="Laura Chen"/>
    <d v="2025-05-16T00:00:00"/>
    <d v="2025-07-15T00:00:00"/>
    <n v="60"/>
    <n v="24929.61"/>
    <n v="24929.61"/>
    <n v="0"/>
    <d v="2025-07-16T00:00:00"/>
    <x v="0"/>
    <s v="ACH"/>
    <n v="61"/>
    <n v="-1"/>
    <s v="No"/>
    <s v="Yes"/>
    <n v="0.01"/>
    <s v="No"/>
    <n v="0"/>
  </r>
  <r>
    <s v="AP-0275"/>
    <s v="VND-012"/>
    <s v="FacilityPro Services"/>
    <s v="Facilities"/>
    <s v="East"/>
    <s v="Marco Diaz"/>
    <d v="2025-05-27T00:00:00"/>
    <d v="2025-06-26T00:00:00"/>
    <n v="30"/>
    <n v="4257.58"/>
    <n v="4257.58"/>
    <n v="0"/>
    <d v="2025-06-23T00:00:00"/>
    <x v="0"/>
    <s v="Credit Card"/>
    <n v="27"/>
    <n v="3"/>
    <s v="Yes"/>
    <s v="Yes"/>
    <n v="0.01"/>
    <s v="No"/>
    <n v="0"/>
  </r>
  <r>
    <s v="AP-0276"/>
    <s v="VND-006"/>
    <s v="PowerGrid Utilities"/>
    <s v="Utilities"/>
    <s v="West"/>
    <s v="Laura Chen"/>
    <d v="2026-02-26T00:00:00"/>
    <d v="2026-03-28T00:00:00"/>
    <n v="30"/>
    <n v="9433.1"/>
    <n v="9433.1"/>
    <n v="0"/>
    <d v="2026-03-31T00:00:00"/>
    <x v="0"/>
    <s v="Wire"/>
    <n v="33"/>
    <n v="-3"/>
    <s v="No"/>
    <s v="Yes"/>
    <n v="0.01"/>
    <s v="No"/>
    <n v="0"/>
  </r>
  <r>
    <s v="AP-0277"/>
    <s v="VND-004"/>
    <s v="BuildRight Materials"/>
    <s v="Materials"/>
    <s v="Central"/>
    <s v="Pedro Alvarez"/>
    <d v="2025-11-19T00:00:00"/>
    <d v="2026-01-18T00:00:00"/>
    <n v="60"/>
    <n v="39971.68"/>
    <n v="39971.68"/>
    <n v="0"/>
    <d v="2026-01-16T00:00:00"/>
    <x v="0"/>
    <s v="Check"/>
    <n v="58"/>
    <n v="2"/>
    <s v="Yes"/>
    <s v="Yes"/>
    <n v="0.01"/>
    <s v="No"/>
    <n v="0"/>
  </r>
  <r>
    <s v="AP-0278"/>
    <s v="VND-008"/>
    <s v="GreenEnergy Corp."/>
    <s v="Utilities"/>
    <s v="Central"/>
    <s v="Ana Torres"/>
    <d v="2025-11-05T00:00:00"/>
    <d v="2025-11-20T00:00:00"/>
    <n v="15"/>
    <n v="3478.96"/>
    <n v="3478.96"/>
    <n v="0"/>
    <d v="2025-11-12T00:00:00"/>
    <x v="0"/>
    <s v="Check"/>
    <n v="7"/>
    <n v="8"/>
    <s v="Yes"/>
    <s v="Yes"/>
    <n v="0.02"/>
    <s v="No"/>
    <n v="0"/>
  </r>
  <r>
    <s v="AP-0279"/>
    <s v="VND-008"/>
    <s v="GreenEnergy Corp."/>
    <s v="Utilities"/>
    <s v="West"/>
    <s v="Pedro Alvarez"/>
    <d v="2026-05-27T00:00:00"/>
    <d v="2026-06-26T00:00:00"/>
    <n v="30"/>
    <n v="9752.19"/>
    <n v="0"/>
    <n v="9752.19"/>
    <m/>
    <x v="2"/>
    <s v="ACH"/>
    <m/>
    <m/>
    <m/>
    <s v="Yes"/>
    <n v="0.01"/>
    <s v="No"/>
    <n v="0"/>
  </r>
  <r>
    <s v="AP-0280"/>
    <s v="VND-012"/>
    <s v="FacilityPro Services"/>
    <s v="Facilities"/>
    <s v="East"/>
    <s v="Marco Diaz"/>
    <d v="2026-01-10T00:00:00"/>
    <d v="2026-03-11T00:00:00"/>
    <n v="60"/>
    <n v="20029.759999999998"/>
    <n v="20029.759999999998"/>
    <n v="0"/>
    <d v="2026-03-18T00:00:00"/>
    <x v="0"/>
    <s v="Credit Card"/>
    <n v="67"/>
    <n v="-7"/>
    <s v="No"/>
    <s v="Yes"/>
    <n v="0.01"/>
    <s v="No"/>
    <n v="0"/>
  </r>
  <r>
    <s v="AP-0281"/>
    <s v="VND-025"/>
    <s v="RapidShip Co."/>
    <s v="Logistics"/>
    <s v="North"/>
    <s v="Sofia Reyes"/>
    <d v="2025-09-26T00:00:00"/>
    <d v="2025-10-11T00:00:00"/>
    <n v="15"/>
    <n v="5099.12"/>
    <n v="0"/>
    <n v="5099.12"/>
    <m/>
    <x v="1"/>
    <s v="ACH"/>
    <m/>
    <n v="-232"/>
    <s v="No"/>
    <s v="No"/>
    <n v="0"/>
    <s v="No"/>
    <n v="0"/>
  </r>
  <r>
    <s v="AP-0282"/>
    <s v="VND-013"/>
    <s v="SafetyFirst Supplies"/>
    <s v="Materials"/>
    <s v="Central"/>
    <s v="Laura Chen"/>
    <d v="2026-02-16T00:00:00"/>
    <d v="2026-04-17T00:00:00"/>
    <n v="60"/>
    <n v="5956.53"/>
    <n v="0"/>
    <n v="5956.53"/>
    <m/>
    <x v="2"/>
    <s v="Credit Card"/>
    <m/>
    <m/>
    <m/>
    <s v="Yes"/>
    <n v="0.01"/>
    <s v="No"/>
    <n v="0"/>
  </r>
  <r>
    <s v="AP-0283"/>
    <s v="VND-010"/>
    <s v="DataBridge IT"/>
    <s v="IT"/>
    <s v="North"/>
    <s v="Ana Torres"/>
    <d v="2025-12-01T00:00:00"/>
    <d v="2025-12-31T00:00:00"/>
    <n v="30"/>
    <n v="34304.86"/>
    <n v="21973.22"/>
    <n v="12331.64"/>
    <d v="2025-12-28T00:00:00"/>
    <x v="3"/>
    <s v="Wire"/>
    <n v="27"/>
    <n v="3"/>
    <s v="Yes"/>
    <s v="Yes"/>
    <n v="0.01"/>
    <s v="No"/>
    <n v="0"/>
  </r>
  <r>
    <s v="AP-0284"/>
    <s v="VND-010"/>
    <s v="DataBridge IT"/>
    <s v="IT"/>
    <s v="West"/>
    <s v="Marco Diaz"/>
    <d v="2025-03-30T00:00:00"/>
    <d v="2025-04-29T00:00:00"/>
    <n v="30"/>
    <n v="74347.08"/>
    <n v="74347.08"/>
    <n v="0"/>
    <d v="2025-05-10T00:00:00"/>
    <x v="0"/>
    <s v="ACH"/>
    <n v="41"/>
    <n v="-11"/>
    <s v="No"/>
    <s v="Yes"/>
    <n v="0.01"/>
    <s v="No"/>
    <n v="0"/>
  </r>
  <r>
    <s v="AP-0285"/>
    <s v="VND-022"/>
    <s v="Apex Consulting"/>
    <s v="Services"/>
    <s v="South"/>
    <s v="Sofia Reyes"/>
    <d v="2025-01-12T00:00:00"/>
    <d v="2025-02-11T00:00:00"/>
    <n v="30"/>
    <n v="9061.81"/>
    <n v="9061.81"/>
    <n v="0"/>
    <d v="2025-02-15T00:00:00"/>
    <x v="0"/>
    <s v="ACH"/>
    <n v="34"/>
    <n v="-4"/>
    <s v="No"/>
    <s v="No"/>
    <n v="0"/>
    <s v="No"/>
    <n v="0"/>
  </r>
  <r>
    <s v="AP-0286"/>
    <s v="VND-024"/>
    <s v="EliteFacilities Corp."/>
    <s v="Facilities"/>
    <s v="East"/>
    <s v="Marco Diaz"/>
    <d v="2025-10-03T00:00:00"/>
    <d v="2025-11-02T00:00:00"/>
    <n v="30"/>
    <n v="26186.880000000001"/>
    <n v="12242.51"/>
    <n v="13944.37"/>
    <d v="2025-11-10T00:00:00"/>
    <x v="3"/>
    <s v="Check"/>
    <n v="38"/>
    <n v="-8"/>
    <s v="No"/>
    <s v="Yes"/>
    <n v="0.01"/>
    <s v="No"/>
    <n v="0"/>
  </r>
  <r>
    <s v="AP-0287"/>
    <s v="VND-009"/>
    <s v="MetalWorks Ltd."/>
    <s v="Materials"/>
    <s v="Central"/>
    <s v="Sofia Reyes"/>
    <d v="2026-05-24T00:00:00"/>
    <d v="2026-06-23T00:00:00"/>
    <n v="30"/>
    <n v="23849.49"/>
    <n v="23849.49"/>
    <n v="0"/>
    <d v="2026-05-31T00:00:00"/>
    <x v="0"/>
    <s v="Check"/>
    <n v="7"/>
    <n v="23"/>
    <s v="Yes"/>
    <s v="Yes"/>
    <n v="0.01"/>
    <s v="Yes"/>
    <n v="238.49"/>
  </r>
  <r>
    <s v="AP-0288"/>
    <s v="VND-004"/>
    <s v="BuildRight Materials"/>
    <s v="Materials"/>
    <s v="Central"/>
    <s v="Sofia Reyes"/>
    <d v="2025-02-15T00:00:00"/>
    <d v="2025-03-02T00:00:00"/>
    <n v="15"/>
    <n v="43217.07"/>
    <n v="43217.07"/>
    <n v="0"/>
    <d v="2025-03-06T00:00:00"/>
    <x v="0"/>
    <s v="Wire"/>
    <n v="19"/>
    <n v="-4"/>
    <s v="No"/>
    <s v="Yes"/>
    <n v="0.02"/>
    <s v="No"/>
    <n v="0"/>
  </r>
  <r>
    <s v="AP-0289"/>
    <s v="VND-012"/>
    <s v="FacilityPro Services"/>
    <s v="Facilities"/>
    <s v="West"/>
    <s v="Marco Diaz"/>
    <d v="2026-03-06T00:00:00"/>
    <d v="2026-03-21T00:00:00"/>
    <n v="15"/>
    <n v="9409.01"/>
    <n v="0"/>
    <n v="9409.01"/>
    <m/>
    <x v="1"/>
    <s v="Wire"/>
    <m/>
    <n v="-71"/>
    <s v="No"/>
    <s v="Yes"/>
    <n v="0.02"/>
    <s v="No"/>
    <n v="0"/>
  </r>
  <r>
    <s v="AP-0290"/>
    <s v="VND-011"/>
    <s v="QuickFreight Inc."/>
    <s v="Logistics"/>
    <s v="East"/>
    <s v="Sofia Reyes"/>
    <d v="2026-05-30T00:00:00"/>
    <d v="2026-06-29T00:00:00"/>
    <n v="30"/>
    <n v="13793.19"/>
    <n v="13793.19"/>
    <n v="0"/>
    <d v="2026-05-31T00:00:00"/>
    <x v="0"/>
    <s v="Check"/>
    <n v="1"/>
    <n v="29"/>
    <s v="Yes"/>
    <s v="Yes"/>
    <n v="0.01"/>
    <s v="Yes"/>
    <n v="137.93"/>
  </r>
  <r>
    <s v="AP-0291"/>
    <s v="VND-015"/>
    <s v="ExpressRoute Logistics"/>
    <s v="Logistics"/>
    <s v="East"/>
    <s v="Laura Chen"/>
    <d v="2026-04-13T00:00:00"/>
    <d v="2026-05-13T00:00:00"/>
    <n v="30"/>
    <n v="1151.4100000000001"/>
    <n v="0"/>
    <n v="1151.4100000000001"/>
    <m/>
    <x v="2"/>
    <s v="Check"/>
    <m/>
    <m/>
    <m/>
    <s v="Yes"/>
    <n v="0.01"/>
    <s v="No"/>
    <n v="0"/>
  </r>
  <r>
    <s v="AP-0292"/>
    <s v="VND-020"/>
    <s v="TrustBuild Facilities"/>
    <s v="Facilities"/>
    <s v="South"/>
    <s v="Pedro Alvarez"/>
    <d v="2025-07-20T00:00:00"/>
    <d v="2025-10-18T00:00:00"/>
    <n v="90"/>
    <n v="26171.29"/>
    <n v="9821.65"/>
    <n v="16349.64"/>
    <d v="2025-10-26T00:00:00"/>
    <x v="3"/>
    <s v="Check"/>
    <n v="98"/>
    <n v="-8"/>
    <s v="No"/>
    <s v="Yes"/>
    <n v="5.0000000000000001E-3"/>
    <s v="No"/>
    <n v="0"/>
  </r>
  <r>
    <s v="AP-0293"/>
    <s v="VND-001"/>
    <s v="Acme Supplies Co."/>
    <s v="Materials"/>
    <s v="South"/>
    <s v="Ana Torres"/>
    <d v="2025-12-10T00:00:00"/>
    <d v="2025-12-25T00:00:00"/>
    <n v="15"/>
    <n v="2070.1799999999998"/>
    <n v="1373.79"/>
    <n v="696.39"/>
    <d v="2025-12-23T00:00:00"/>
    <x v="3"/>
    <s v="Check"/>
    <n v="13"/>
    <n v="2"/>
    <s v="Yes"/>
    <s v="Yes"/>
    <n v="0.02"/>
    <s v="No"/>
    <n v="0"/>
  </r>
  <r>
    <s v="AP-0294"/>
    <s v="VND-007"/>
    <s v="ProStaff Services"/>
    <s v="Services"/>
    <s v="Central"/>
    <s v="Marco Diaz"/>
    <d v="2025-03-03T00:00:00"/>
    <d v="2025-06-01T00:00:00"/>
    <n v="90"/>
    <n v="38984.69"/>
    <n v="38984.69"/>
    <n v="0"/>
    <d v="2025-06-03T00:00:00"/>
    <x v="0"/>
    <s v="Credit Card"/>
    <n v="92"/>
    <n v="-2"/>
    <s v="No"/>
    <s v="Yes"/>
    <n v="5.0000000000000001E-3"/>
    <s v="No"/>
    <n v="0"/>
  </r>
  <r>
    <s v="AP-0295"/>
    <s v="VND-002"/>
    <s v="TechCore Solutions"/>
    <s v="IT"/>
    <s v="South"/>
    <s v="Ana Torres"/>
    <d v="2026-04-15T00:00:00"/>
    <d v="2026-06-14T00:00:00"/>
    <n v="60"/>
    <n v="78091.61"/>
    <n v="0"/>
    <n v="78091.61"/>
    <m/>
    <x v="2"/>
    <s v="Credit Card"/>
    <m/>
    <m/>
    <m/>
    <s v="Yes"/>
    <n v="0.01"/>
    <s v="No"/>
    <n v="0"/>
  </r>
  <r>
    <s v="AP-0296"/>
    <s v="VND-013"/>
    <s v="SafetyFirst Supplies"/>
    <s v="Materials"/>
    <s v="North"/>
    <s v="Ana Torres"/>
    <d v="2025-05-14T00:00:00"/>
    <d v="2025-07-13T00:00:00"/>
    <n v="60"/>
    <n v="13365.04"/>
    <n v="13365.04"/>
    <n v="0"/>
    <d v="2025-07-16T00:00:00"/>
    <x v="0"/>
    <s v="ACH"/>
    <n v="63"/>
    <n v="-3"/>
    <s v="No"/>
    <s v="Yes"/>
    <n v="0.01"/>
    <s v="No"/>
    <n v="0"/>
  </r>
  <r>
    <s v="AP-0297"/>
    <s v="VND-024"/>
    <s v="EliteFacilities Corp."/>
    <s v="Facilities"/>
    <s v="East"/>
    <s v="Laura Chen"/>
    <d v="2025-08-28T00:00:00"/>
    <d v="2025-10-12T00:00:00"/>
    <n v="45"/>
    <n v="4464.6899999999996"/>
    <n v="4464.6899999999996"/>
    <n v="0"/>
    <d v="2025-10-01T00:00:00"/>
    <x v="0"/>
    <s v="Credit Card"/>
    <n v="34"/>
    <n v="11"/>
    <s v="Yes"/>
    <s v="Yes"/>
    <n v="1.4999999999999999E-2"/>
    <s v="No"/>
    <n v="0"/>
  </r>
  <r>
    <s v="AP-0298"/>
    <s v="VND-019"/>
    <s v="SkyNet IT Solutions"/>
    <s v="IT"/>
    <s v="North"/>
    <s v="Marco Diaz"/>
    <d v="2026-04-06T00:00:00"/>
    <d v="2026-05-06T00:00:00"/>
    <n v="30"/>
    <n v="39954.129999999997"/>
    <n v="39954.129999999997"/>
    <n v="0"/>
    <d v="2026-05-07T00:00:00"/>
    <x v="0"/>
    <s v="ACH"/>
    <n v="31"/>
    <n v="-1"/>
    <s v="No"/>
    <s v="Yes"/>
    <n v="0.01"/>
    <s v="No"/>
    <n v="0"/>
  </r>
  <r>
    <s v="AP-0299"/>
    <s v="VND-009"/>
    <s v="MetalWorks Ltd."/>
    <s v="Materials"/>
    <s v="North"/>
    <s v="Sofia Reyes"/>
    <d v="2025-02-11T00:00:00"/>
    <d v="2025-03-28T00:00:00"/>
    <n v="45"/>
    <n v="12321"/>
    <n v="12321"/>
    <n v="0"/>
    <d v="2025-04-03T00:00:00"/>
    <x v="0"/>
    <s v="Wire"/>
    <n v="51"/>
    <n v="-6"/>
    <s v="No"/>
    <s v="No"/>
    <n v="0"/>
    <s v="No"/>
    <n v="0"/>
  </r>
  <r>
    <s v="AP-0300"/>
    <s v="VND-023"/>
    <s v="CoolTech Systems"/>
    <s v="IT"/>
    <s v="South"/>
    <s v="Laura Chen"/>
    <d v="2025-11-03T00:00:00"/>
    <d v="2025-11-18T00:00:00"/>
    <n v="15"/>
    <n v="24512.51"/>
    <n v="24512.51"/>
    <n v="0"/>
    <d v="2025-11-11T00:00:00"/>
    <x v="0"/>
    <s v="Credit Card"/>
    <n v="8"/>
    <n v="7"/>
    <s v="Yes"/>
    <s v="No"/>
    <n v="0"/>
    <s v="No"/>
    <n v="0"/>
  </r>
  <r>
    <s v="AP-0301"/>
    <s v="VND-024"/>
    <s v="EliteFacilities Corp."/>
    <s v="Facilities"/>
    <s v="Central"/>
    <s v="Marco Diaz"/>
    <d v="2025-04-15T00:00:00"/>
    <d v="2025-07-14T00:00:00"/>
    <n v="90"/>
    <n v="28528.59"/>
    <n v="28528.59"/>
    <n v="0"/>
    <d v="2025-07-18T00:00:00"/>
    <x v="0"/>
    <s v="ACH"/>
    <n v="94"/>
    <n v="-4"/>
    <s v="No"/>
    <s v="Yes"/>
    <n v="5.0000000000000001E-3"/>
    <s v="No"/>
    <n v="0"/>
  </r>
  <r>
    <s v="AP-0302"/>
    <s v="VND-025"/>
    <s v="RapidShip Co."/>
    <s v="Logistics"/>
    <s v="South"/>
    <s v="Marco Diaz"/>
    <d v="2026-01-17T00:00:00"/>
    <d v="2026-03-18T00:00:00"/>
    <n v="60"/>
    <n v="14039.42"/>
    <n v="14039.42"/>
    <n v="0"/>
    <d v="2026-03-03T00:00:00"/>
    <x v="0"/>
    <s v="Wire"/>
    <n v="45"/>
    <n v="15"/>
    <s v="Yes"/>
    <s v="No"/>
    <n v="0"/>
    <s v="No"/>
    <n v="0"/>
  </r>
  <r>
    <s v="AP-0303"/>
    <s v="VND-003"/>
    <s v="FastShip Logistics"/>
    <s v="Logistics"/>
    <s v="North"/>
    <s v="Sofia Reyes"/>
    <d v="2025-05-12T00:00:00"/>
    <d v="2025-08-10T00:00:00"/>
    <n v="90"/>
    <n v="2747.59"/>
    <n v="992.6"/>
    <n v="1754.99"/>
    <d v="2025-08-19T00:00:00"/>
    <x v="3"/>
    <s v="Wire"/>
    <n v="99"/>
    <n v="-9"/>
    <s v="No"/>
    <s v="No"/>
    <n v="0"/>
    <s v="No"/>
    <n v="0"/>
  </r>
  <r>
    <s v="AP-0304"/>
    <s v="VND-002"/>
    <s v="TechCore Solutions"/>
    <s v="IT"/>
    <s v="South"/>
    <s v="Ana Torres"/>
    <d v="2026-05-24T00:00:00"/>
    <d v="2026-07-23T00:00:00"/>
    <n v="60"/>
    <n v="7211.17"/>
    <n v="0"/>
    <n v="7211.17"/>
    <m/>
    <x v="2"/>
    <s v="Credit Card"/>
    <m/>
    <m/>
    <m/>
    <s v="Yes"/>
    <n v="0.01"/>
    <s v="No"/>
    <n v="0"/>
  </r>
  <r>
    <s v="AP-0305"/>
    <s v="VND-006"/>
    <s v="PowerGrid Utilities"/>
    <s v="Utilities"/>
    <s v="East"/>
    <s v="Laura Chen"/>
    <d v="2025-02-05T00:00:00"/>
    <d v="2025-03-07T00:00:00"/>
    <n v="30"/>
    <n v="9404.5499999999993"/>
    <n v="9404.5499999999993"/>
    <n v="0"/>
    <d v="2025-02-26T00:00:00"/>
    <x v="0"/>
    <s v="Credit Card"/>
    <n v="21"/>
    <n v="9"/>
    <s v="Yes"/>
    <s v="Yes"/>
    <n v="0.01"/>
    <s v="No"/>
    <n v="0"/>
  </r>
  <r>
    <s v="AP-0306"/>
    <s v="VND-016"/>
    <s v="CleanWater Utilities"/>
    <s v="Utilities"/>
    <s v="West"/>
    <s v="Ana Torres"/>
    <d v="2025-03-31T00:00:00"/>
    <d v="2025-04-15T00:00:00"/>
    <n v="15"/>
    <n v="4556.75"/>
    <n v="4556.75"/>
    <n v="0"/>
    <d v="2025-04-22T00:00:00"/>
    <x v="0"/>
    <s v="Credit Card"/>
    <n v="22"/>
    <n v="-7"/>
    <s v="No"/>
    <s v="Yes"/>
    <n v="0.02"/>
    <s v="No"/>
    <n v="0"/>
  </r>
  <r>
    <s v="AP-0307"/>
    <s v="VND-021"/>
    <s v="PrimePack Logistics"/>
    <s v="Logistics"/>
    <s v="Central"/>
    <s v="Sofia Reyes"/>
    <d v="2026-05-07T00:00:00"/>
    <d v="2026-07-06T00:00:00"/>
    <n v="60"/>
    <n v="11345.84"/>
    <n v="0"/>
    <n v="11345.84"/>
    <m/>
    <x v="1"/>
    <s v="Credit Card"/>
    <m/>
    <n v="36"/>
    <s v="No"/>
    <s v="Yes"/>
    <n v="0.01"/>
    <s v="No"/>
    <n v="0"/>
  </r>
  <r>
    <s v="AP-0308"/>
    <s v="VND-013"/>
    <s v="SafetyFirst Supplies"/>
    <s v="Materials"/>
    <s v="East"/>
    <s v="Marco Diaz"/>
    <d v="2025-08-13T00:00:00"/>
    <d v="2025-10-12T00:00:00"/>
    <n v="60"/>
    <n v="3406.57"/>
    <n v="3406.57"/>
    <n v="0"/>
    <d v="2025-10-06T00:00:00"/>
    <x v="0"/>
    <s v="ACH"/>
    <n v="54"/>
    <n v="6"/>
    <s v="Yes"/>
    <s v="No"/>
    <n v="0"/>
    <s v="No"/>
    <n v="0"/>
  </r>
  <r>
    <s v="AP-0309"/>
    <s v="VND-016"/>
    <s v="CleanWater Utilities"/>
    <s v="Utilities"/>
    <s v="Central"/>
    <s v="Laura Chen"/>
    <d v="2025-04-13T00:00:00"/>
    <d v="2025-05-13T00:00:00"/>
    <n v="30"/>
    <n v="4093.93"/>
    <n v="4093.93"/>
    <n v="0"/>
    <d v="2025-05-16T00:00:00"/>
    <x v="0"/>
    <s v="Wire"/>
    <n v="33"/>
    <n v="-3"/>
    <s v="No"/>
    <s v="Yes"/>
    <n v="0.01"/>
    <s v="No"/>
    <n v="0"/>
  </r>
  <r>
    <s v="AP-0310"/>
    <s v="VND-025"/>
    <s v="RapidShip Co."/>
    <s v="Logistics"/>
    <s v="South"/>
    <s v="Ana Torres"/>
    <d v="2025-06-27T00:00:00"/>
    <d v="2025-08-26T00:00:00"/>
    <n v="60"/>
    <n v="4345.91"/>
    <n v="2819.68"/>
    <n v="1526.23"/>
    <d v="2025-09-08T00:00:00"/>
    <x v="3"/>
    <s v="Credit Card"/>
    <n v="73"/>
    <n v="-13"/>
    <s v="No"/>
    <s v="Yes"/>
    <n v="0.01"/>
    <s v="No"/>
    <n v="0"/>
  </r>
  <r>
    <s v="AP-0311"/>
    <s v="VND-001"/>
    <s v="Acme Supplies Co."/>
    <s v="Materials"/>
    <s v="East"/>
    <s v="Ana Torres"/>
    <d v="2026-05-20T00:00:00"/>
    <d v="2026-06-19T00:00:00"/>
    <n v="30"/>
    <n v="28021.98"/>
    <n v="0"/>
    <n v="28021.98"/>
    <m/>
    <x v="2"/>
    <s v="Wire"/>
    <m/>
    <m/>
    <m/>
    <s v="Yes"/>
    <n v="0.01"/>
    <s v="No"/>
    <n v="0"/>
  </r>
  <r>
    <s v="AP-0312"/>
    <s v="VND-020"/>
    <s v="TrustBuild Facilities"/>
    <s v="Facilities"/>
    <s v="South"/>
    <s v="Sofia Reyes"/>
    <d v="2025-12-06T00:00:00"/>
    <d v="2025-12-21T00:00:00"/>
    <n v="15"/>
    <n v="32290.57"/>
    <n v="32290.57"/>
    <n v="0"/>
    <d v="2025-12-09T00:00:00"/>
    <x v="0"/>
    <s v="Credit Card"/>
    <n v="3"/>
    <n v="12"/>
    <s v="Yes"/>
    <s v="Yes"/>
    <n v="0.02"/>
    <s v="Yes"/>
    <n v="645.80999999999995"/>
  </r>
  <r>
    <s v="AP-0313"/>
    <s v="VND-023"/>
    <s v="CoolTech Systems"/>
    <s v="IT"/>
    <s v="South"/>
    <s v="Laura Chen"/>
    <d v="2025-06-01T00:00:00"/>
    <d v="2025-06-16T00:00:00"/>
    <n v="15"/>
    <n v="48995.69"/>
    <n v="48995.69"/>
    <n v="0"/>
    <d v="2025-06-25T00:00:00"/>
    <x v="0"/>
    <s v="ACH"/>
    <n v="24"/>
    <n v="-9"/>
    <s v="No"/>
    <s v="No"/>
    <n v="0"/>
    <s v="No"/>
    <n v="0"/>
  </r>
  <r>
    <s v="AP-0314"/>
    <s v="VND-003"/>
    <s v="FastShip Logistics"/>
    <s v="Logistics"/>
    <s v="East"/>
    <s v="Pedro Alvarez"/>
    <d v="2025-11-06T00:00:00"/>
    <d v="2026-01-05T00:00:00"/>
    <n v="60"/>
    <n v="7129.46"/>
    <n v="7129.46"/>
    <n v="0"/>
    <d v="2025-12-23T00:00:00"/>
    <x v="0"/>
    <s v="ACH"/>
    <n v="47"/>
    <n v="13"/>
    <s v="Yes"/>
    <s v="No"/>
    <n v="0"/>
    <s v="No"/>
    <n v="0"/>
  </r>
  <r>
    <s v="AP-0315"/>
    <s v="VND-014"/>
    <s v="NetConnect Systems"/>
    <s v="IT"/>
    <s v="West"/>
    <s v="Laura Chen"/>
    <d v="2025-08-17T00:00:00"/>
    <d v="2025-10-16T00:00:00"/>
    <n v="60"/>
    <n v="54914.879999999997"/>
    <n v="54914.879999999997"/>
    <n v="0"/>
    <d v="2025-10-16T00:00:00"/>
    <x v="0"/>
    <s v="Wire"/>
    <n v="60"/>
    <n v="0"/>
    <s v="Yes"/>
    <s v="No"/>
    <n v="0"/>
    <s v="No"/>
    <n v="0"/>
  </r>
  <r>
    <s v="AP-0316"/>
    <s v="VND-006"/>
    <s v="PowerGrid Utilities"/>
    <s v="Utilities"/>
    <s v="North"/>
    <s v="Ana Torres"/>
    <d v="2025-07-06T00:00:00"/>
    <d v="2025-07-21T00:00:00"/>
    <n v="15"/>
    <n v="9234.64"/>
    <n v="0"/>
    <n v="9234.64"/>
    <m/>
    <x v="1"/>
    <s v="Credit Card"/>
    <m/>
    <n v="-314"/>
    <s v="No"/>
    <s v="No"/>
    <n v="0"/>
    <s v="No"/>
    <n v="0"/>
  </r>
  <r>
    <s v="AP-0317"/>
    <s v="VND-008"/>
    <s v="GreenEnergy Corp."/>
    <s v="Utilities"/>
    <s v="Central"/>
    <s v="Sofia Reyes"/>
    <d v="2025-12-06T00:00:00"/>
    <d v="2026-01-05T00:00:00"/>
    <n v="30"/>
    <n v="11307.48"/>
    <n v="0"/>
    <n v="11307.48"/>
    <m/>
    <x v="1"/>
    <s v="Credit Card"/>
    <m/>
    <n v="-146"/>
    <s v="No"/>
    <s v="Yes"/>
    <n v="0.01"/>
    <s v="No"/>
    <n v="0"/>
  </r>
  <r>
    <s v="AP-0318"/>
    <s v="VND-006"/>
    <s v="PowerGrid Utilities"/>
    <s v="Utilities"/>
    <s v="North"/>
    <s v="Laura Chen"/>
    <d v="2025-09-29T00:00:00"/>
    <d v="2025-10-14T00:00:00"/>
    <n v="15"/>
    <n v="3540.42"/>
    <n v="3540.42"/>
    <n v="0"/>
    <d v="2025-10-08T00:00:00"/>
    <x v="0"/>
    <s v="Credit Card"/>
    <n v="9"/>
    <n v="6"/>
    <s v="Yes"/>
    <s v="Yes"/>
    <n v="0.02"/>
    <s v="No"/>
    <n v="0"/>
  </r>
  <r>
    <s v="AP-0319"/>
    <s v="VND-004"/>
    <s v="BuildRight Materials"/>
    <s v="Materials"/>
    <s v="North"/>
    <s v="Sofia Reyes"/>
    <d v="2026-03-06T00:00:00"/>
    <d v="2026-06-04T00:00:00"/>
    <n v="90"/>
    <n v="48516.89"/>
    <n v="0"/>
    <n v="48516.89"/>
    <m/>
    <x v="2"/>
    <s v="Credit Card"/>
    <m/>
    <m/>
    <m/>
    <s v="No"/>
    <n v="0"/>
    <s v="No"/>
    <n v="0"/>
  </r>
  <r>
    <s v="AP-0320"/>
    <s v="VND-018"/>
    <s v="BuildFast Materials"/>
    <s v="Materials"/>
    <s v="West"/>
    <s v="Sofia Reyes"/>
    <d v="2025-06-16T00:00:00"/>
    <d v="2025-07-16T00:00:00"/>
    <n v="30"/>
    <n v="23661.8"/>
    <n v="23661.8"/>
    <n v="0"/>
    <d v="2025-07-22T00:00:00"/>
    <x v="0"/>
    <s v="Credit Card"/>
    <n v="36"/>
    <n v="-6"/>
    <s v="No"/>
    <s v="No"/>
    <n v="0"/>
    <s v="No"/>
    <n v="0"/>
  </r>
  <r>
    <s v="AP-0321"/>
    <s v="VND-004"/>
    <s v="BuildRight Materials"/>
    <s v="Materials"/>
    <s v="North"/>
    <s v="Laura Chen"/>
    <d v="2025-06-14T00:00:00"/>
    <d v="2025-08-13T00:00:00"/>
    <n v="60"/>
    <n v="37135.279999999999"/>
    <n v="12869.32"/>
    <n v="24265.96"/>
    <d v="2025-08-27T00:00:00"/>
    <x v="3"/>
    <s v="Wire"/>
    <n v="74"/>
    <n v="-14"/>
    <s v="No"/>
    <s v="Yes"/>
    <n v="0.01"/>
    <s v="No"/>
    <n v="0"/>
  </r>
  <r>
    <s v="AP-0322"/>
    <s v="VND-020"/>
    <s v="TrustBuild Facilities"/>
    <s v="Facilities"/>
    <s v="West"/>
    <s v="Sofia Reyes"/>
    <d v="2026-03-21T00:00:00"/>
    <d v="2026-04-20T00:00:00"/>
    <n v="30"/>
    <n v="7184.42"/>
    <n v="0"/>
    <n v="7184.42"/>
    <m/>
    <x v="2"/>
    <s v="Credit Card"/>
    <m/>
    <m/>
    <m/>
    <s v="Yes"/>
    <n v="0.01"/>
    <s v="No"/>
    <n v="0"/>
  </r>
  <r>
    <s v="AP-0323"/>
    <s v="VND-023"/>
    <s v="CoolTech Systems"/>
    <s v="IT"/>
    <s v="Central"/>
    <s v="Ana Torres"/>
    <d v="2025-11-01T00:00:00"/>
    <d v="2025-12-16T00:00:00"/>
    <n v="45"/>
    <n v="22816.12"/>
    <n v="22816.12"/>
    <n v="0"/>
    <d v="2025-12-16T00:00:00"/>
    <x v="0"/>
    <s v="Check"/>
    <n v="45"/>
    <n v="0"/>
    <s v="Yes"/>
    <s v="Yes"/>
    <n v="1.4999999999999999E-2"/>
    <s v="No"/>
    <n v="0"/>
  </r>
  <r>
    <s v="AP-0324"/>
    <s v="VND-016"/>
    <s v="CleanWater Utilities"/>
    <s v="Utilities"/>
    <s v="South"/>
    <s v="Sofia Reyes"/>
    <d v="2026-03-14T00:00:00"/>
    <d v="2026-03-29T00:00:00"/>
    <n v="15"/>
    <n v="1770.61"/>
    <n v="1770.61"/>
    <n v="0"/>
    <d v="2026-03-26T00:00:00"/>
    <x v="0"/>
    <s v="Check"/>
    <n v="12"/>
    <n v="3"/>
    <s v="Yes"/>
    <s v="No"/>
    <n v="0"/>
    <s v="No"/>
    <n v="0"/>
  </r>
  <r>
    <s v="AP-0325"/>
    <s v="VND-007"/>
    <s v="ProStaff Services"/>
    <s v="Services"/>
    <s v="South"/>
    <s v="Laura Chen"/>
    <d v="2025-04-29T00:00:00"/>
    <d v="2025-07-28T00:00:00"/>
    <n v="90"/>
    <n v="14409.08"/>
    <n v="14409.08"/>
    <n v="0"/>
    <d v="2025-07-28T00:00:00"/>
    <x v="0"/>
    <s v="ACH"/>
    <n v="90"/>
    <n v="0"/>
    <s v="Yes"/>
    <s v="Yes"/>
    <n v="5.0000000000000001E-3"/>
    <s v="No"/>
    <n v="0"/>
  </r>
  <r>
    <s v="AP-0326"/>
    <s v="VND-022"/>
    <s v="Apex Consulting"/>
    <s v="Services"/>
    <s v="East"/>
    <s v="Sofia Reyes"/>
    <d v="2026-01-15T00:00:00"/>
    <d v="2026-02-14T00:00:00"/>
    <n v="30"/>
    <n v="35763.230000000003"/>
    <n v="35763.230000000003"/>
    <n v="0"/>
    <d v="2026-02-14T00:00:00"/>
    <x v="0"/>
    <s v="Credit Card"/>
    <n v="30"/>
    <n v="0"/>
    <s v="Yes"/>
    <s v="Yes"/>
    <n v="0.01"/>
    <s v="No"/>
    <n v="0"/>
  </r>
  <r>
    <s v="AP-0327"/>
    <s v="VND-008"/>
    <s v="GreenEnergy Corp."/>
    <s v="Utilities"/>
    <s v="East"/>
    <s v="Ana Torres"/>
    <d v="2025-04-10T00:00:00"/>
    <d v="2025-05-10T00:00:00"/>
    <n v="30"/>
    <n v="1742.76"/>
    <n v="1742.76"/>
    <n v="0"/>
    <d v="2025-05-18T00:00:00"/>
    <x v="0"/>
    <s v="ACH"/>
    <n v="38"/>
    <n v="-8"/>
    <s v="No"/>
    <s v="Yes"/>
    <n v="0.01"/>
    <s v="No"/>
    <n v="0"/>
  </r>
  <r>
    <s v="AP-0328"/>
    <s v="VND-025"/>
    <s v="RapidShip Co."/>
    <s v="Logistics"/>
    <s v="Central"/>
    <s v="Marco Diaz"/>
    <d v="2026-03-05T00:00:00"/>
    <d v="2026-05-04T00:00:00"/>
    <n v="60"/>
    <n v="19346.93"/>
    <n v="0"/>
    <n v="19346.93"/>
    <m/>
    <x v="1"/>
    <s v="ACH"/>
    <m/>
    <n v="-27"/>
    <s v="No"/>
    <s v="Yes"/>
    <n v="0.01"/>
    <s v="No"/>
    <n v="0"/>
  </r>
  <r>
    <s v="AP-0329"/>
    <s v="VND-008"/>
    <s v="GreenEnergy Corp."/>
    <s v="Utilities"/>
    <s v="West"/>
    <s v="Laura Chen"/>
    <d v="2025-02-05T00:00:00"/>
    <d v="2025-04-06T00:00:00"/>
    <n v="60"/>
    <n v="7780.47"/>
    <n v="4969.91"/>
    <n v="2810.56"/>
    <d v="2025-04-20T00:00:00"/>
    <x v="3"/>
    <s v="ACH"/>
    <n v="74"/>
    <n v="-14"/>
    <s v="No"/>
    <s v="No"/>
    <n v="0"/>
    <s v="No"/>
    <n v="0"/>
  </r>
  <r>
    <s v="AP-0330"/>
    <s v="VND-005"/>
    <s v="CloudSys Inc."/>
    <s v="IT"/>
    <s v="North"/>
    <s v="Pedro Alvarez"/>
    <d v="2025-08-05T00:00:00"/>
    <d v="2025-09-04T00:00:00"/>
    <n v="30"/>
    <n v="65634.55"/>
    <n v="65634.55"/>
    <n v="0"/>
    <d v="2025-09-12T00:00:00"/>
    <x v="0"/>
    <s v="Wire"/>
    <n v="38"/>
    <n v="-8"/>
    <s v="No"/>
    <s v="Yes"/>
    <n v="0.01"/>
    <s v="No"/>
    <n v="0"/>
  </r>
  <r>
    <s v="AP-0331"/>
    <s v="VND-021"/>
    <s v="PrimePack Logistics"/>
    <s v="Logistics"/>
    <s v="South"/>
    <s v="Ana Torres"/>
    <d v="2025-03-10T00:00:00"/>
    <d v="2025-05-09T00:00:00"/>
    <n v="60"/>
    <n v="2653.52"/>
    <n v="2653.52"/>
    <n v="0"/>
    <d v="2025-05-09T00:00:00"/>
    <x v="0"/>
    <s v="Check"/>
    <n v="60"/>
    <n v="0"/>
    <s v="Yes"/>
    <s v="Yes"/>
    <n v="0.01"/>
    <s v="No"/>
    <n v="0"/>
  </r>
  <r>
    <s v="AP-0332"/>
    <s v="VND-009"/>
    <s v="MetalWorks Ltd."/>
    <s v="Materials"/>
    <s v="Central"/>
    <s v="Pedro Alvarez"/>
    <d v="2025-04-26T00:00:00"/>
    <d v="2025-06-25T00:00:00"/>
    <n v="60"/>
    <n v="21893.24"/>
    <n v="21893.24"/>
    <n v="0"/>
    <d v="2025-06-25T00:00:00"/>
    <x v="0"/>
    <s v="ACH"/>
    <n v="60"/>
    <n v="0"/>
    <s v="Yes"/>
    <s v="Yes"/>
    <n v="0.01"/>
    <s v="No"/>
    <n v="0"/>
  </r>
  <r>
    <s v="AP-0333"/>
    <s v="VND-004"/>
    <s v="BuildRight Materials"/>
    <s v="Materials"/>
    <s v="Central"/>
    <s v="Sofia Reyes"/>
    <d v="2026-02-25T00:00:00"/>
    <d v="2026-04-26T00:00:00"/>
    <n v="60"/>
    <n v="14678.56"/>
    <n v="14678.56"/>
    <n v="0"/>
    <d v="2026-04-08T00:00:00"/>
    <x v="0"/>
    <s v="Check"/>
    <n v="42"/>
    <n v="18"/>
    <s v="Yes"/>
    <s v="Yes"/>
    <n v="0.01"/>
    <s v="No"/>
    <n v="0"/>
  </r>
  <r>
    <s v="AP-0334"/>
    <s v="VND-006"/>
    <s v="PowerGrid Utilities"/>
    <s v="Utilities"/>
    <s v="East"/>
    <s v="Pedro Alvarez"/>
    <d v="2025-02-09T00:00:00"/>
    <d v="2025-04-10T00:00:00"/>
    <n v="60"/>
    <n v="6238.99"/>
    <n v="6238.99"/>
    <n v="0"/>
    <d v="2025-04-18T00:00:00"/>
    <x v="0"/>
    <s v="Wire"/>
    <n v="68"/>
    <n v="-8"/>
    <s v="No"/>
    <s v="No"/>
    <n v="0"/>
    <s v="No"/>
    <n v="0"/>
  </r>
  <r>
    <s v="AP-0335"/>
    <s v="VND-009"/>
    <s v="MetalWorks Ltd."/>
    <s v="Materials"/>
    <s v="East"/>
    <s v="Sofia Reyes"/>
    <d v="2025-11-15T00:00:00"/>
    <d v="2025-12-30T00:00:00"/>
    <n v="45"/>
    <n v="15456.64"/>
    <n v="15456.64"/>
    <n v="0"/>
    <d v="2026-01-01T00:00:00"/>
    <x v="0"/>
    <s v="Check"/>
    <n v="47"/>
    <n v="-2"/>
    <s v="No"/>
    <s v="Yes"/>
    <n v="1.4999999999999999E-2"/>
    <s v="No"/>
    <n v="0"/>
  </r>
  <r>
    <s v="AP-0336"/>
    <s v="VND-004"/>
    <s v="BuildRight Materials"/>
    <s v="Materials"/>
    <s v="South"/>
    <s v="Marco Diaz"/>
    <d v="2025-11-25T00:00:00"/>
    <d v="2026-02-23T00:00:00"/>
    <n v="90"/>
    <n v="14932.16"/>
    <n v="14932.16"/>
    <n v="0"/>
    <d v="2026-02-25T00:00:00"/>
    <x v="0"/>
    <s v="Check"/>
    <n v="92"/>
    <n v="-2"/>
    <s v="No"/>
    <s v="Yes"/>
    <n v="5.0000000000000001E-3"/>
    <s v="No"/>
    <n v="0"/>
  </r>
  <r>
    <s v="AP-0337"/>
    <s v="VND-014"/>
    <s v="NetConnect Systems"/>
    <s v="IT"/>
    <s v="West"/>
    <s v="Ana Torres"/>
    <d v="2025-06-12T00:00:00"/>
    <d v="2025-06-27T00:00:00"/>
    <n v="15"/>
    <n v="9921.27"/>
    <n v="9921.27"/>
    <n v="0"/>
    <d v="2025-07-02T00:00:00"/>
    <x v="0"/>
    <s v="Check"/>
    <n v="20"/>
    <n v="-5"/>
    <s v="No"/>
    <s v="No"/>
    <n v="0"/>
    <s v="No"/>
    <n v="0"/>
  </r>
  <r>
    <s v="AP-0338"/>
    <s v="VND-025"/>
    <s v="RapidShip Co."/>
    <s v="Logistics"/>
    <s v="Central"/>
    <s v="Ana Torres"/>
    <d v="2025-07-17T00:00:00"/>
    <d v="2025-08-16T00:00:00"/>
    <n v="30"/>
    <n v="17628.43"/>
    <n v="17628.43"/>
    <n v="0"/>
    <d v="2025-08-18T00:00:00"/>
    <x v="0"/>
    <s v="ACH"/>
    <n v="32"/>
    <n v="-2"/>
    <s v="No"/>
    <s v="Yes"/>
    <n v="0.01"/>
    <s v="No"/>
    <n v="0"/>
  </r>
  <r>
    <s v="AP-0339"/>
    <s v="VND-012"/>
    <s v="FacilityPro Services"/>
    <s v="Facilities"/>
    <s v="South"/>
    <s v="Laura Chen"/>
    <d v="2026-02-11T00:00:00"/>
    <d v="2026-05-12T00:00:00"/>
    <n v="90"/>
    <n v="22968.52"/>
    <n v="0"/>
    <n v="22968.52"/>
    <m/>
    <x v="2"/>
    <s v="Check"/>
    <m/>
    <m/>
    <m/>
    <s v="Yes"/>
    <n v="5.0000000000000001E-3"/>
    <s v="No"/>
    <n v="0"/>
  </r>
  <r>
    <s v="AP-0340"/>
    <s v="VND-020"/>
    <s v="TrustBuild Facilities"/>
    <s v="Facilities"/>
    <s v="West"/>
    <s v="Marco Diaz"/>
    <d v="2025-12-19T00:00:00"/>
    <d v="2026-02-17T00:00:00"/>
    <n v="60"/>
    <n v="7395.95"/>
    <n v="7395.95"/>
    <n v="0"/>
    <d v="2026-02-17T00:00:00"/>
    <x v="0"/>
    <s v="Credit Card"/>
    <n v="60"/>
    <n v="0"/>
    <s v="Yes"/>
    <s v="No"/>
    <n v="0"/>
    <s v="No"/>
    <n v="0"/>
  </r>
  <r>
    <s v="AP-0341"/>
    <s v="VND-023"/>
    <s v="CoolTech Systems"/>
    <s v="IT"/>
    <s v="North"/>
    <s v="Laura Chen"/>
    <d v="2025-02-20T00:00:00"/>
    <d v="2025-04-21T00:00:00"/>
    <n v="60"/>
    <n v="17218.060000000001"/>
    <n v="0"/>
    <n v="17218.060000000001"/>
    <m/>
    <x v="1"/>
    <s v="ACH"/>
    <m/>
    <n v="-405"/>
    <s v="No"/>
    <s v="Yes"/>
    <n v="0.01"/>
    <s v="No"/>
    <n v="0"/>
  </r>
  <r>
    <s v="AP-0342"/>
    <s v="VND-008"/>
    <s v="GreenEnergy Corp."/>
    <s v="Utilities"/>
    <s v="South"/>
    <s v="Marco Diaz"/>
    <d v="2025-01-21T00:00:00"/>
    <d v="2025-03-22T00:00:00"/>
    <n v="60"/>
    <n v="13037.13"/>
    <n v="13037.13"/>
    <n v="0"/>
    <d v="2025-03-18T00:00:00"/>
    <x v="0"/>
    <s v="Check"/>
    <n v="56"/>
    <n v="4"/>
    <s v="Yes"/>
    <s v="No"/>
    <n v="0"/>
    <s v="No"/>
    <n v="0"/>
  </r>
  <r>
    <s v="AP-0343"/>
    <s v="VND-006"/>
    <s v="PowerGrid Utilities"/>
    <s v="Utilities"/>
    <s v="Central"/>
    <s v="Sofia Reyes"/>
    <d v="2025-11-09T00:00:00"/>
    <d v="2025-12-24T00:00:00"/>
    <n v="45"/>
    <n v="10834.74"/>
    <n v="10834.74"/>
    <n v="0"/>
    <d v="2025-12-24T00:00:00"/>
    <x v="0"/>
    <s v="Wire"/>
    <n v="45"/>
    <n v="0"/>
    <s v="Yes"/>
    <s v="No"/>
    <n v="0"/>
    <s v="No"/>
    <n v="0"/>
  </r>
  <r>
    <s v="AP-0344"/>
    <s v="VND-013"/>
    <s v="SafetyFirst Supplies"/>
    <s v="Materials"/>
    <s v="East"/>
    <s v="Pedro Alvarez"/>
    <d v="2026-04-23T00:00:00"/>
    <d v="2026-05-23T00:00:00"/>
    <n v="30"/>
    <n v="16502.96"/>
    <n v="16502.96"/>
    <n v="0"/>
    <d v="2026-05-31T00:00:00"/>
    <x v="0"/>
    <s v="Check"/>
    <n v="38"/>
    <n v="-8"/>
    <s v="No"/>
    <s v="Yes"/>
    <n v="0.01"/>
    <s v="No"/>
    <n v="0"/>
  </r>
  <r>
    <s v="AP-0345"/>
    <s v="VND-012"/>
    <s v="FacilityPro Services"/>
    <s v="Facilities"/>
    <s v="Central"/>
    <s v="Ana Torres"/>
    <d v="2025-04-21T00:00:00"/>
    <d v="2025-06-05T00:00:00"/>
    <n v="45"/>
    <n v="17897.37"/>
    <n v="17897.37"/>
    <n v="0"/>
    <d v="2025-06-06T00:00:00"/>
    <x v="0"/>
    <s v="Check"/>
    <n v="46"/>
    <n v="-1"/>
    <s v="No"/>
    <s v="Yes"/>
    <n v="1.4999999999999999E-2"/>
    <s v="No"/>
    <n v="0"/>
  </r>
  <r>
    <s v="AP-0346"/>
    <s v="VND-011"/>
    <s v="QuickFreight Inc."/>
    <s v="Logistics"/>
    <s v="East"/>
    <s v="Laura Chen"/>
    <d v="2025-06-03T00:00:00"/>
    <d v="2025-07-03T00:00:00"/>
    <n v="30"/>
    <n v="10828.58"/>
    <n v="10828.58"/>
    <n v="0"/>
    <d v="2025-07-12T00:00:00"/>
    <x v="0"/>
    <s v="Check"/>
    <n v="39"/>
    <n v="-9"/>
    <s v="No"/>
    <s v="Yes"/>
    <n v="0.01"/>
    <s v="No"/>
    <n v="0"/>
  </r>
  <r>
    <s v="AP-0347"/>
    <s v="VND-013"/>
    <s v="SafetyFirst Supplies"/>
    <s v="Materials"/>
    <s v="East"/>
    <s v="Marco Diaz"/>
    <d v="2025-10-30T00:00:00"/>
    <d v="2026-01-28T00:00:00"/>
    <n v="90"/>
    <n v="14452.46"/>
    <n v="14452.46"/>
    <n v="0"/>
    <d v="2026-01-17T00:00:00"/>
    <x v="0"/>
    <s v="ACH"/>
    <n v="79"/>
    <n v="11"/>
    <s v="Yes"/>
    <s v="Yes"/>
    <n v="5.0000000000000001E-3"/>
    <s v="No"/>
    <n v="0"/>
  </r>
  <r>
    <s v="AP-0348"/>
    <s v="VND-002"/>
    <s v="TechCore Solutions"/>
    <s v="IT"/>
    <s v="Central"/>
    <s v="Ana Torres"/>
    <d v="2025-08-16T00:00:00"/>
    <d v="2025-10-15T00:00:00"/>
    <n v="60"/>
    <n v="56473.86"/>
    <n v="56473.86"/>
    <n v="0"/>
    <d v="2025-10-22T00:00:00"/>
    <x v="0"/>
    <s v="Wire"/>
    <n v="67"/>
    <n v="-7"/>
    <s v="No"/>
    <s v="Yes"/>
    <n v="0.01"/>
    <s v="No"/>
    <n v="0"/>
  </r>
  <r>
    <s v="AP-0349"/>
    <s v="VND-010"/>
    <s v="DataBridge IT"/>
    <s v="IT"/>
    <s v="South"/>
    <s v="Ana Torres"/>
    <d v="2025-04-10T00:00:00"/>
    <d v="2025-05-25T00:00:00"/>
    <n v="45"/>
    <n v="40308.57"/>
    <n v="40308.57"/>
    <n v="0"/>
    <d v="2025-05-23T00:00:00"/>
    <x v="0"/>
    <s v="Wire"/>
    <n v="43"/>
    <n v="2"/>
    <s v="Yes"/>
    <s v="No"/>
    <n v="0"/>
    <s v="No"/>
    <n v="0"/>
  </r>
  <r>
    <s v="AP-0350"/>
    <s v="VND-018"/>
    <s v="BuildFast Materials"/>
    <s v="Materials"/>
    <s v="South"/>
    <s v="Laura Chen"/>
    <d v="2025-12-30T00:00:00"/>
    <d v="2026-01-29T00:00:00"/>
    <n v="30"/>
    <n v="12719.74"/>
    <n v="12719.74"/>
    <n v="0"/>
    <d v="2026-02-03T00:00:00"/>
    <x v="0"/>
    <s v="ACH"/>
    <n v="35"/>
    <n v="-5"/>
    <s v="No"/>
    <s v="No"/>
    <n v="0"/>
    <s v="No"/>
    <n v="0"/>
  </r>
  <r>
    <s v="AP-0351"/>
    <s v="VND-019"/>
    <s v="SkyNet IT Solutions"/>
    <s v="IT"/>
    <s v="East"/>
    <s v="Pedro Alvarez"/>
    <d v="2025-02-24T00:00:00"/>
    <d v="2025-05-25T00:00:00"/>
    <n v="90"/>
    <n v="69979.5"/>
    <n v="0"/>
    <n v="69979.5"/>
    <m/>
    <x v="1"/>
    <s v="ACH"/>
    <m/>
    <n v="-371"/>
    <s v="No"/>
    <s v="Yes"/>
    <n v="5.0000000000000001E-3"/>
    <s v="No"/>
    <n v="0"/>
  </r>
  <r>
    <s v="AP-0352"/>
    <s v="VND-003"/>
    <s v="FastShip Logistics"/>
    <s v="Logistics"/>
    <s v="West"/>
    <s v="Marco Diaz"/>
    <d v="2025-11-02T00:00:00"/>
    <d v="2026-01-01T00:00:00"/>
    <n v="60"/>
    <n v="8849.0400000000009"/>
    <n v="8849.0400000000009"/>
    <n v="0"/>
    <d v="2025-12-27T00:00:00"/>
    <x v="0"/>
    <s v="ACH"/>
    <n v="55"/>
    <n v="5"/>
    <s v="Yes"/>
    <s v="No"/>
    <n v="0"/>
    <s v="No"/>
    <n v="0"/>
  </r>
  <r>
    <s v="AP-0353"/>
    <s v="VND-007"/>
    <s v="ProStaff Services"/>
    <s v="Services"/>
    <s v="East"/>
    <s v="Pedro Alvarez"/>
    <d v="2025-11-20T00:00:00"/>
    <d v="2025-12-20T00:00:00"/>
    <n v="30"/>
    <n v="34908.58"/>
    <n v="34908.58"/>
    <n v="0"/>
    <d v="2025-12-09T00:00:00"/>
    <x v="0"/>
    <s v="Credit Card"/>
    <n v="19"/>
    <n v="11"/>
    <s v="Yes"/>
    <s v="Yes"/>
    <n v="0.01"/>
    <s v="No"/>
    <n v="0"/>
  </r>
  <r>
    <s v="AP-0354"/>
    <s v="VND-011"/>
    <s v="QuickFreight Inc."/>
    <s v="Logistics"/>
    <s v="North"/>
    <s v="Sofia Reyes"/>
    <d v="2025-08-03T00:00:00"/>
    <d v="2025-09-17T00:00:00"/>
    <n v="45"/>
    <n v="15462.67"/>
    <n v="15462.67"/>
    <n v="0"/>
    <d v="2025-10-07T00:00:00"/>
    <x v="0"/>
    <s v="Credit Card"/>
    <n v="65"/>
    <n v="-20"/>
    <s v="No"/>
    <s v="Yes"/>
    <n v="1.4999999999999999E-2"/>
    <s v="No"/>
    <n v="0"/>
  </r>
  <r>
    <s v="AP-0355"/>
    <s v="VND-016"/>
    <s v="CleanWater Utilities"/>
    <s v="Utilities"/>
    <s v="North"/>
    <s v="Marco Diaz"/>
    <d v="2026-02-18T00:00:00"/>
    <d v="2026-04-19T00:00:00"/>
    <n v="60"/>
    <n v="6720.87"/>
    <n v="6720.87"/>
    <n v="0"/>
    <d v="2026-04-17T00:00:00"/>
    <x v="0"/>
    <s v="Credit Card"/>
    <n v="58"/>
    <n v="2"/>
    <s v="Yes"/>
    <s v="Yes"/>
    <n v="0.01"/>
    <s v="No"/>
    <n v="0"/>
  </r>
  <r>
    <s v="AP-0356"/>
    <s v="VND-011"/>
    <s v="QuickFreight Inc."/>
    <s v="Logistics"/>
    <s v="Central"/>
    <s v="Marco Diaz"/>
    <d v="2025-09-12T00:00:00"/>
    <d v="2025-09-27T00:00:00"/>
    <n v="15"/>
    <n v="5299.05"/>
    <n v="5299.05"/>
    <n v="0"/>
    <d v="2025-09-13T00:00:00"/>
    <x v="0"/>
    <s v="ACH"/>
    <n v="1"/>
    <n v="14"/>
    <s v="Yes"/>
    <s v="No"/>
    <n v="0"/>
    <s v="No"/>
    <n v="0"/>
  </r>
  <r>
    <s v="AP-0357"/>
    <s v="VND-004"/>
    <s v="BuildRight Materials"/>
    <s v="Materials"/>
    <s v="West"/>
    <s v="Ana Torres"/>
    <d v="2025-03-08T00:00:00"/>
    <d v="2025-04-07T00:00:00"/>
    <n v="30"/>
    <n v="41544.5"/>
    <n v="41544.5"/>
    <n v="0"/>
    <d v="2025-04-06T00:00:00"/>
    <x v="0"/>
    <s v="Check"/>
    <n v="29"/>
    <n v="1"/>
    <s v="Yes"/>
    <s v="Yes"/>
    <n v="0.01"/>
    <s v="No"/>
    <n v="0"/>
  </r>
  <r>
    <s v="AP-0358"/>
    <s v="VND-011"/>
    <s v="QuickFreight Inc."/>
    <s v="Logistics"/>
    <s v="West"/>
    <s v="Marco Diaz"/>
    <d v="2026-01-03T00:00:00"/>
    <d v="2026-04-03T00:00:00"/>
    <n v="90"/>
    <n v="15252.2"/>
    <n v="0"/>
    <n v="15252.2"/>
    <m/>
    <x v="1"/>
    <s v="Check"/>
    <m/>
    <n v="-58"/>
    <s v="No"/>
    <s v="Yes"/>
    <n v="5.0000000000000001E-3"/>
    <s v="No"/>
    <n v="0"/>
  </r>
  <r>
    <s v="AP-0359"/>
    <s v="VND-001"/>
    <s v="Acme Supplies Co."/>
    <s v="Materials"/>
    <s v="South"/>
    <s v="Marco Diaz"/>
    <d v="2025-01-23T00:00:00"/>
    <d v="2025-02-22T00:00:00"/>
    <n v="30"/>
    <n v="30305.26"/>
    <n v="30305.26"/>
    <n v="0"/>
    <d v="2025-02-12T00:00:00"/>
    <x v="0"/>
    <s v="Wire"/>
    <n v="20"/>
    <n v="10"/>
    <s v="Yes"/>
    <s v="Yes"/>
    <n v="0.01"/>
    <s v="No"/>
    <n v="0"/>
  </r>
  <r>
    <s v="AP-0360"/>
    <s v="VND-021"/>
    <s v="PrimePack Logistics"/>
    <s v="Logistics"/>
    <s v="North"/>
    <s v="Pedro Alvarez"/>
    <d v="2025-02-19T00:00:00"/>
    <d v="2025-03-06T00:00:00"/>
    <n v="15"/>
    <n v="13577.43"/>
    <n v="13577.43"/>
    <n v="0"/>
    <d v="2025-03-03T00:00:00"/>
    <x v="0"/>
    <s v="Check"/>
    <n v="12"/>
    <n v="3"/>
    <s v="Yes"/>
    <s v="Yes"/>
    <n v="0.02"/>
    <s v="No"/>
    <n v="0"/>
  </r>
  <r>
    <s v="AP-0361"/>
    <s v="VND-013"/>
    <s v="SafetyFirst Supplies"/>
    <s v="Materials"/>
    <s v="North"/>
    <s v="Ana Torres"/>
    <d v="2025-06-06T00:00:00"/>
    <d v="2025-09-04T00:00:00"/>
    <n v="90"/>
    <n v="11863.76"/>
    <n v="11863.76"/>
    <n v="0"/>
    <d v="2025-08-28T00:00:00"/>
    <x v="0"/>
    <s v="Check"/>
    <n v="83"/>
    <n v="7"/>
    <s v="Yes"/>
    <s v="Yes"/>
    <n v="5.0000000000000001E-3"/>
    <s v="No"/>
    <n v="0"/>
  </r>
  <r>
    <s v="AP-0362"/>
    <s v="VND-014"/>
    <s v="NetConnect Systems"/>
    <s v="IT"/>
    <s v="North"/>
    <s v="Ana Torres"/>
    <d v="2026-03-05T00:00:00"/>
    <d v="2026-04-04T00:00:00"/>
    <n v="30"/>
    <n v="67298.95"/>
    <n v="0"/>
    <n v="67298.95"/>
    <m/>
    <x v="2"/>
    <s v="Check"/>
    <m/>
    <m/>
    <m/>
    <s v="Yes"/>
    <n v="0.01"/>
    <s v="No"/>
    <n v="0"/>
  </r>
  <r>
    <s v="AP-0363"/>
    <s v="VND-004"/>
    <s v="BuildRight Materials"/>
    <s v="Materials"/>
    <s v="North"/>
    <s v="Pedro Alvarez"/>
    <d v="2025-09-27T00:00:00"/>
    <d v="2025-10-27T00:00:00"/>
    <n v="30"/>
    <n v="41911.94"/>
    <n v="41911.94"/>
    <n v="0"/>
    <d v="2025-10-24T00:00:00"/>
    <x v="0"/>
    <s v="Wire"/>
    <n v="27"/>
    <n v="3"/>
    <s v="Yes"/>
    <s v="No"/>
    <n v="0"/>
    <s v="No"/>
    <n v="0"/>
  </r>
  <r>
    <s v="AP-0364"/>
    <s v="VND-018"/>
    <s v="BuildFast Materials"/>
    <s v="Materials"/>
    <s v="West"/>
    <s v="Marco Diaz"/>
    <d v="2025-08-29T00:00:00"/>
    <d v="2025-10-28T00:00:00"/>
    <n v="60"/>
    <n v="2131.42"/>
    <n v="0"/>
    <n v="2131.42"/>
    <m/>
    <x v="1"/>
    <s v="Credit Card"/>
    <m/>
    <n v="-215"/>
    <s v="No"/>
    <s v="Yes"/>
    <n v="0.01"/>
    <s v="No"/>
    <n v="0"/>
  </r>
  <r>
    <s v="AP-0365"/>
    <s v="VND-019"/>
    <s v="SkyNet IT Solutions"/>
    <s v="IT"/>
    <s v="West"/>
    <s v="Marco Diaz"/>
    <d v="2025-04-14T00:00:00"/>
    <d v="2025-05-14T00:00:00"/>
    <n v="30"/>
    <n v="72858.45"/>
    <n v="72858.45"/>
    <n v="0"/>
    <d v="2025-05-16T00:00:00"/>
    <x v="0"/>
    <s v="ACH"/>
    <n v="32"/>
    <n v="-2"/>
    <s v="No"/>
    <s v="Yes"/>
    <n v="0.01"/>
    <s v="No"/>
    <n v="0"/>
  </r>
  <r>
    <s v="AP-0366"/>
    <s v="VND-010"/>
    <s v="DataBridge IT"/>
    <s v="IT"/>
    <s v="East"/>
    <s v="Pedro Alvarez"/>
    <d v="2025-06-28T00:00:00"/>
    <d v="2025-07-28T00:00:00"/>
    <n v="30"/>
    <n v="70560.53"/>
    <n v="70560.53"/>
    <n v="0"/>
    <d v="2025-07-25T00:00:00"/>
    <x v="0"/>
    <s v="ACH"/>
    <n v="27"/>
    <n v="3"/>
    <s v="Yes"/>
    <s v="No"/>
    <n v="0"/>
    <s v="No"/>
    <n v="0"/>
  </r>
  <r>
    <s v="AP-0367"/>
    <s v="VND-004"/>
    <s v="BuildRight Materials"/>
    <s v="Materials"/>
    <s v="North"/>
    <s v="Sofia Reyes"/>
    <d v="2025-06-24T00:00:00"/>
    <d v="2025-07-24T00:00:00"/>
    <n v="30"/>
    <n v="17775.72"/>
    <n v="0"/>
    <n v="17775.72"/>
    <m/>
    <x v="1"/>
    <s v="ACH"/>
    <m/>
    <n v="-311"/>
    <s v="No"/>
    <s v="No"/>
    <n v="0"/>
    <s v="No"/>
    <n v="0"/>
  </r>
  <r>
    <s v="AP-0368"/>
    <s v="VND-009"/>
    <s v="MetalWorks Ltd."/>
    <s v="Materials"/>
    <s v="North"/>
    <s v="Laura Chen"/>
    <d v="2025-04-27T00:00:00"/>
    <d v="2025-05-27T00:00:00"/>
    <n v="30"/>
    <n v="21237.32"/>
    <n v="21237.32"/>
    <n v="0"/>
    <d v="2025-05-20T00:00:00"/>
    <x v="0"/>
    <s v="Check"/>
    <n v="23"/>
    <n v="7"/>
    <s v="Yes"/>
    <s v="No"/>
    <n v="0"/>
    <s v="No"/>
    <n v="0"/>
  </r>
  <r>
    <s v="AP-0369"/>
    <s v="VND-013"/>
    <s v="SafetyFirst Supplies"/>
    <s v="Materials"/>
    <s v="West"/>
    <s v="Pedro Alvarez"/>
    <d v="2025-05-16T00:00:00"/>
    <d v="2025-06-15T00:00:00"/>
    <n v="30"/>
    <n v="35416.15"/>
    <n v="0"/>
    <n v="35416.15"/>
    <m/>
    <x v="1"/>
    <s v="Wire"/>
    <m/>
    <n v="-350"/>
    <s v="No"/>
    <s v="Yes"/>
    <n v="0.01"/>
    <s v="No"/>
    <n v="0"/>
  </r>
  <r>
    <s v="AP-0370"/>
    <s v="VND-006"/>
    <s v="PowerGrid Utilities"/>
    <s v="Utilities"/>
    <s v="North"/>
    <s v="Pedro Alvarez"/>
    <d v="2025-07-05T00:00:00"/>
    <d v="2025-10-03T00:00:00"/>
    <n v="90"/>
    <n v="9364.19"/>
    <n v="9364.19"/>
    <n v="0"/>
    <d v="2025-10-13T00:00:00"/>
    <x v="0"/>
    <s v="Credit Card"/>
    <n v="100"/>
    <n v="-10"/>
    <s v="No"/>
    <s v="No"/>
    <n v="0"/>
    <s v="No"/>
    <n v="0"/>
  </r>
  <r>
    <s v="AP-0371"/>
    <s v="VND-024"/>
    <s v="EliteFacilities Corp."/>
    <s v="Facilities"/>
    <s v="South"/>
    <s v="Pedro Alvarez"/>
    <d v="2026-02-26T00:00:00"/>
    <d v="2026-03-28T00:00:00"/>
    <n v="30"/>
    <n v="16542.7"/>
    <n v="16542.7"/>
    <n v="0"/>
    <d v="2026-03-16T00:00:00"/>
    <x v="0"/>
    <s v="Credit Card"/>
    <n v="18"/>
    <n v="12"/>
    <s v="Yes"/>
    <s v="Yes"/>
    <n v="0.01"/>
    <s v="No"/>
    <n v="0"/>
  </r>
  <r>
    <s v="AP-0372"/>
    <s v="VND-001"/>
    <s v="Acme Supplies Co."/>
    <s v="Materials"/>
    <s v="Central"/>
    <s v="Ana Torres"/>
    <d v="2025-04-08T00:00:00"/>
    <d v="2025-06-07T00:00:00"/>
    <n v="60"/>
    <n v="22776.7"/>
    <n v="22776.7"/>
    <n v="0"/>
    <d v="2025-06-02T00:00:00"/>
    <x v="0"/>
    <s v="Wire"/>
    <n v="55"/>
    <n v="5"/>
    <s v="Yes"/>
    <s v="No"/>
    <n v="0"/>
    <s v="No"/>
    <n v="0"/>
  </r>
  <r>
    <s v="AP-0373"/>
    <s v="VND-005"/>
    <s v="CloudSys Inc."/>
    <s v="IT"/>
    <s v="Central"/>
    <s v="Ana Torres"/>
    <d v="2025-06-10T00:00:00"/>
    <d v="2025-06-25T00:00:00"/>
    <n v="15"/>
    <n v="42917.57"/>
    <n v="42917.57"/>
    <n v="0"/>
    <d v="2025-06-16T00:00:00"/>
    <x v="0"/>
    <s v="ACH"/>
    <n v="6"/>
    <n v="9"/>
    <s v="Yes"/>
    <s v="Yes"/>
    <n v="0.02"/>
    <s v="No"/>
    <n v="0"/>
  </r>
  <r>
    <s v="AP-0374"/>
    <s v="VND-006"/>
    <s v="PowerGrid Utilities"/>
    <s v="Utilities"/>
    <s v="North"/>
    <s v="Pedro Alvarez"/>
    <d v="2025-12-05T00:00:00"/>
    <d v="2026-01-04T00:00:00"/>
    <n v="30"/>
    <n v="14567.1"/>
    <n v="14567.1"/>
    <n v="0"/>
    <d v="2025-12-30T00:00:00"/>
    <x v="0"/>
    <s v="Check"/>
    <n v="25"/>
    <n v="5"/>
    <s v="Yes"/>
    <s v="Yes"/>
    <n v="0.01"/>
    <s v="No"/>
    <n v="0"/>
  </r>
  <r>
    <s v="AP-0375"/>
    <s v="VND-008"/>
    <s v="GreenEnergy Corp."/>
    <s v="Utilities"/>
    <s v="North"/>
    <s v="Pedro Alvarez"/>
    <d v="2025-04-01T00:00:00"/>
    <d v="2025-06-30T00:00:00"/>
    <n v="90"/>
    <n v="12920.54"/>
    <n v="12920.54"/>
    <n v="0"/>
    <d v="2025-06-24T00:00:00"/>
    <x v="0"/>
    <s v="Credit Card"/>
    <n v="84"/>
    <n v="6"/>
    <s v="Yes"/>
    <s v="Yes"/>
    <n v="5.0000000000000001E-3"/>
    <s v="No"/>
    <n v="0"/>
  </r>
  <r>
    <s v="AP-0376"/>
    <s v="VND-016"/>
    <s v="CleanWater Utilities"/>
    <s v="Utilities"/>
    <s v="North"/>
    <s v="Sofia Reyes"/>
    <d v="2025-02-06T00:00:00"/>
    <d v="2025-04-07T00:00:00"/>
    <n v="60"/>
    <n v="8578.4"/>
    <n v="8578.4"/>
    <n v="0"/>
    <d v="2025-03-30T00:00:00"/>
    <x v="0"/>
    <s v="Credit Card"/>
    <n v="52"/>
    <n v="8"/>
    <s v="Yes"/>
    <s v="Yes"/>
    <n v="0.01"/>
    <s v="No"/>
    <n v="0"/>
  </r>
  <r>
    <s v="AP-0377"/>
    <s v="VND-010"/>
    <s v="DataBridge IT"/>
    <s v="IT"/>
    <s v="Central"/>
    <s v="Ana Torres"/>
    <d v="2025-12-16T00:00:00"/>
    <d v="2026-03-16T00:00:00"/>
    <n v="90"/>
    <n v="32250.69"/>
    <n v="32250.69"/>
    <n v="0"/>
    <d v="2026-03-10T00:00:00"/>
    <x v="0"/>
    <s v="Wire"/>
    <n v="84"/>
    <n v="6"/>
    <s v="Yes"/>
    <s v="Yes"/>
    <n v="5.0000000000000001E-3"/>
    <s v="No"/>
    <n v="0"/>
  </r>
  <r>
    <s v="AP-0378"/>
    <s v="VND-015"/>
    <s v="ExpressRoute Logistics"/>
    <s v="Logistics"/>
    <s v="East"/>
    <s v="Ana Torres"/>
    <d v="2026-04-09T00:00:00"/>
    <d v="2026-06-08T00:00:00"/>
    <n v="60"/>
    <n v="3166.44"/>
    <n v="0"/>
    <n v="3166.44"/>
    <m/>
    <x v="2"/>
    <s v="Credit Card"/>
    <m/>
    <m/>
    <m/>
    <s v="No"/>
    <n v="0"/>
    <s v="No"/>
    <n v="0"/>
  </r>
  <r>
    <s v="AP-0379"/>
    <s v="VND-021"/>
    <s v="PrimePack Logistics"/>
    <s v="Logistics"/>
    <s v="East"/>
    <s v="Ana Torres"/>
    <d v="2025-02-16T00:00:00"/>
    <d v="2025-03-18T00:00:00"/>
    <n v="30"/>
    <n v="18040.669999999998"/>
    <n v="12109.9"/>
    <n v="5930.77"/>
    <d v="2025-03-26T00:00:00"/>
    <x v="3"/>
    <s v="Check"/>
    <n v="38"/>
    <n v="-8"/>
    <s v="No"/>
    <s v="Yes"/>
    <n v="0.01"/>
    <s v="No"/>
    <n v="0"/>
  </r>
  <r>
    <s v="AP-0380"/>
    <s v="VND-004"/>
    <s v="BuildRight Materials"/>
    <s v="Materials"/>
    <s v="East"/>
    <s v="Ana Torres"/>
    <d v="2025-05-04T00:00:00"/>
    <d v="2025-06-03T00:00:00"/>
    <n v="30"/>
    <n v="46650.38"/>
    <n v="46650.38"/>
    <n v="0"/>
    <d v="2025-06-05T00:00:00"/>
    <x v="0"/>
    <s v="Wire"/>
    <n v="32"/>
    <n v="-2"/>
    <s v="No"/>
    <s v="Yes"/>
    <n v="0.01"/>
    <s v="No"/>
    <n v="0"/>
  </r>
  <r>
    <s v="AP-0381"/>
    <s v="VND-004"/>
    <s v="BuildRight Materials"/>
    <s v="Materials"/>
    <s v="West"/>
    <s v="Sofia Reyes"/>
    <d v="2026-04-14T00:00:00"/>
    <d v="2026-07-13T00:00:00"/>
    <n v="90"/>
    <n v="33605.919999999998"/>
    <n v="33605.919999999998"/>
    <n v="0"/>
    <d v="2026-05-31T00:00:00"/>
    <x v="0"/>
    <s v="ACH"/>
    <n v="47"/>
    <n v="43"/>
    <s v="Yes"/>
    <s v="No"/>
    <n v="0"/>
    <s v="No"/>
    <n v="0"/>
  </r>
  <r>
    <s v="AP-0382"/>
    <s v="VND-017"/>
    <s v="OfficePro Services"/>
    <s v="Services"/>
    <s v="North"/>
    <s v="Ana Torres"/>
    <d v="2025-07-01T00:00:00"/>
    <d v="2025-09-29T00:00:00"/>
    <n v="90"/>
    <n v="28597.26"/>
    <n v="10059.86"/>
    <n v="18537.400000000001"/>
    <d v="2025-10-15T00:00:00"/>
    <x v="3"/>
    <s v="Credit Card"/>
    <n v="106"/>
    <n v="-16"/>
    <s v="No"/>
    <s v="Yes"/>
    <n v="5.0000000000000001E-3"/>
    <s v="No"/>
    <n v="0"/>
  </r>
  <r>
    <s v="AP-0383"/>
    <s v="VND-020"/>
    <s v="TrustBuild Facilities"/>
    <s v="Facilities"/>
    <s v="Central"/>
    <s v="Laura Chen"/>
    <d v="2025-09-12T00:00:00"/>
    <d v="2025-11-11T00:00:00"/>
    <n v="60"/>
    <n v="11028.66"/>
    <n v="0"/>
    <n v="11028.66"/>
    <m/>
    <x v="1"/>
    <s v="Credit Card"/>
    <m/>
    <n v="-201"/>
    <s v="No"/>
    <s v="No"/>
    <n v="0"/>
    <s v="No"/>
    <n v="0"/>
  </r>
  <r>
    <s v="AP-0384"/>
    <s v="VND-015"/>
    <s v="ExpressRoute Logistics"/>
    <s v="Logistics"/>
    <s v="South"/>
    <s v="Marco Diaz"/>
    <d v="2025-11-18T00:00:00"/>
    <d v="2026-01-02T00:00:00"/>
    <n v="45"/>
    <n v="14525.61"/>
    <n v="14525.61"/>
    <n v="0"/>
    <d v="2026-01-05T00:00:00"/>
    <x v="0"/>
    <s v="Credit Card"/>
    <n v="48"/>
    <n v="-3"/>
    <s v="No"/>
    <s v="No"/>
    <n v="0"/>
    <s v="No"/>
    <n v="0"/>
  </r>
  <r>
    <s v="AP-0385"/>
    <s v="VND-010"/>
    <s v="DataBridge IT"/>
    <s v="IT"/>
    <s v="East"/>
    <s v="Marco Diaz"/>
    <d v="2025-04-29T00:00:00"/>
    <d v="2025-06-28T00:00:00"/>
    <n v="60"/>
    <n v="62058.13"/>
    <n v="62058.13"/>
    <n v="0"/>
    <d v="2025-07-08T00:00:00"/>
    <x v="0"/>
    <s v="Wire"/>
    <n v="70"/>
    <n v="-10"/>
    <s v="No"/>
    <s v="Yes"/>
    <n v="0.01"/>
    <s v="No"/>
    <n v="0"/>
  </r>
  <r>
    <s v="AP-0386"/>
    <s v="VND-022"/>
    <s v="Apex Consulting"/>
    <s v="Services"/>
    <s v="West"/>
    <s v="Ana Torres"/>
    <d v="2025-01-14T00:00:00"/>
    <d v="2025-03-15T00:00:00"/>
    <n v="60"/>
    <n v="22341.01"/>
    <n v="22341.01"/>
    <n v="0"/>
    <d v="2025-03-13T00:00:00"/>
    <x v="0"/>
    <s v="Check"/>
    <n v="58"/>
    <n v="2"/>
    <s v="Yes"/>
    <s v="Yes"/>
    <n v="0.01"/>
    <s v="No"/>
    <n v="0"/>
  </r>
  <r>
    <s v="AP-0387"/>
    <s v="VND-025"/>
    <s v="RapidShip Co."/>
    <s v="Logistics"/>
    <s v="South"/>
    <s v="Laura Chen"/>
    <d v="2025-03-05T00:00:00"/>
    <d v="2025-04-04T00:00:00"/>
    <n v="30"/>
    <n v="14121.3"/>
    <n v="14121.3"/>
    <n v="0"/>
    <d v="2025-03-31T00:00:00"/>
    <x v="0"/>
    <s v="Check"/>
    <n v="26"/>
    <n v="4"/>
    <s v="Yes"/>
    <s v="Yes"/>
    <n v="0.01"/>
    <s v="No"/>
    <n v="0"/>
  </r>
  <r>
    <s v="AP-0388"/>
    <s v="VND-002"/>
    <s v="TechCore Solutions"/>
    <s v="IT"/>
    <s v="East"/>
    <s v="Pedro Alvarez"/>
    <d v="2026-02-03T00:00:00"/>
    <d v="2026-03-05T00:00:00"/>
    <n v="30"/>
    <n v="22819.66"/>
    <n v="10127.81"/>
    <n v="12691.85"/>
    <d v="2026-03-21T00:00:00"/>
    <x v="3"/>
    <s v="ACH"/>
    <n v="46"/>
    <n v="-16"/>
    <s v="No"/>
    <s v="No"/>
    <n v="0"/>
    <s v="No"/>
    <n v="0"/>
  </r>
  <r>
    <s v="AP-0389"/>
    <s v="VND-002"/>
    <s v="TechCore Solutions"/>
    <s v="IT"/>
    <s v="West"/>
    <s v="Pedro Alvarez"/>
    <d v="2025-02-25T00:00:00"/>
    <d v="2025-04-26T00:00:00"/>
    <n v="60"/>
    <n v="5972.39"/>
    <n v="5972.39"/>
    <n v="0"/>
    <d v="2025-04-29T00:00:00"/>
    <x v="0"/>
    <s v="Credit Card"/>
    <n v="63"/>
    <n v="-3"/>
    <s v="No"/>
    <s v="Yes"/>
    <n v="0.01"/>
    <s v="No"/>
    <n v="0"/>
  </r>
  <r>
    <s v="AP-0390"/>
    <s v="VND-008"/>
    <s v="GreenEnergy Corp."/>
    <s v="Utilities"/>
    <s v="East"/>
    <s v="Ana Torres"/>
    <d v="2025-10-29T00:00:00"/>
    <d v="2025-11-28T00:00:00"/>
    <n v="30"/>
    <n v="7007.82"/>
    <n v="7007.82"/>
    <n v="0"/>
    <d v="2025-11-13T00:00:00"/>
    <x v="0"/>
    <s v="Wire"/>
    <n v="15"/>
    <n v="15"/>
    <s v="Yes"/>
    <s v="No"/>
    <n v="0"/>
    <s v="No"/>
    <n v="0"/>
  </r>
  <r>
    <s v="AP-0391"/>
    <s v="VND-006"/>
    <s v="PowerGrid Utilities"/>
    <s v="Utilities"/>
    <s v="Central"/>
    <s v="Sofia Reyes"/>
    <d v="2026-03-15T00:00:00"/>
    <d v="2026-03-30T00:00:00"/>
    <n v="15"/>
    <n v="4547.13"/>
    <n v="4547.13"/>
    <n v="0"/>
    <d v="2026-03-30T00:00:00"/>
    <x v="0"/>
    <s v="Credit Card"/>
    <n v="15"/>
    <n v="0"/>
    <s v="Yes"/>
    <s v="Yes"/>
    <n v="0.02"/>
    <s v="No"/>
    <n v="0"/>
  </r>
  <r>
    <s v="AP-0392"/>
    <s v="VND-015"/>
    <s v="ExpressRoute Logistics"/>
    <s v="Logistics"/>
    <s v="South"/>
    <s v="Sofia Reyes"/>
    <d v="2025-02-22T00:00:00"/>
    <d v="2025-04-23T00:00:00"/>
    <n v="60"/>
    <n v="15699.56"/>
    <n v="7073.87"/>
    <n v="8625.69"/>
    <d v="2025-05-13T00:00:00"/>
    <x v="3"/>
    <s v="Wire"/>
    <n v="80"/>
    <n v="-20"/>
    <s v="No"/>
    <s v="Yes"/>
    <n v="0.01"/>
    <s v="No"/>
    <n v="0"/>
  </r>
  <r>
    <s v="AP-0393"/>
    <s v="VND-019"/>
    <s v="SkyNet IT Solutions"/>
    <s v="IT"/>
    <s v="Central"/>
    <s v="Laura Chen"/>
    <d v="2025-08-14T00:00:00"/>
    <d v="2025-10-13T00:00:00"/>
    <n v="60"/>
    <n v="76774.080000000002"/>
    <n v="29149.99"/>
    <n v="47624.09"/>
    <d v="2025-10-25T00:00:00"/>
    <x v="3"/>
    <s v="ACH"/>
    <n v="72"/>
    <n v="-12"/>
    <s v="No"/>
    <s v="Yes"/>
    <n v="0.01"/>
    <s v="No"/>
    <n v="0"/>
  </r>
  <r>
    <s v="AP-0394"/>
    <s v="VND-018"/>
    <s v="BuildFast Materials"/>
    <s v="Materials"/>
    <s v="West"/>
    <s v="Sofia Reyes"/>
    <d v="2025-08-07T00:00:00"/>
    <d v="2025-09-06T00:00:00"/>
    <n v="30"/>
    <n v="33840.050000000003"/>
    <n v="33840.050000000003"/>
    <n v="0"/>
    <d v="2025-09-06T00:00:00"/>
    <x v="0"/>
    <s v="Check"/>
    <n v="30"/>
    <n v="0"/>
    <s v="Yes"/>
    <s v="Yes"/>
    <n v="0.01"/>
    <s v="No"/>
    <n v="0"/>
  </r>
  <r>
    <s v="AP-0395"/>
    <s v="VND-025"/>
    <s v="RapidShip Co."/>
    <s v="Logistics"/>
    <s v="Central"/>
    <s v="Ana Torres"/>
    <d v="2025-04-28T00:00:00"/>
    <d v="2025-05-13T00:00:00"/>
    <n v="15"/>
    <n v="13709.83"/>
    <n v="0"/>
    <n v="13709.83"/>
    <m/>
    <x v="1"/>
    <s v="Credit Card"/>
    <m/>
    <n v="-383"/>
    <s v="No"/>
    <s v="Yes"/>
    <n v="0.02"/>
    <s v="No"/>
    <n v="0"/>
  </r>
  <r>
    <s v="AP-0396"/>
    <s v="VND-020"/>
    <s v="TrustBuild Facilities"/>
    <s v="Facilities"/>
    <s v="Central"/>
    <s v="Marco Diaz"/>
    <d v="2026-01-26T00:00:00"/>
    <d v="2026-03-27T00:00:00"/>
    <n v="60"/>
    <n v="32225.77"/>
    <n v="32225.77"/>
    <n v="0"/>
    <d v="2026-03-21T00:00:00"/>
    <x v="0"/>
    <s v="ACH"/>
    <n v="54"/>
    <n v="6"/>
    <s v="Yes"/>
    <s v="No"/>
    <n v="0"/>
    <s v="No"/>
    <n v="0"/>
  </r>
  <r>
    <s v="AP-0397"/>
    <s v="VND-017"/>
    <s v="OfficePro Services"/>
    <s v="Services"/>
    <s v="East"/>
    <s v="Ana Torres"/>
    <d v="2025-02-14T00:00:00"/>
    <d v="2025-05-15T00:00:00"/>
    <n v="90"/>
    <n v="13968.06"/>
    <n v="13968.06"/>
    <n v="0"/>
    <d v="2025-05-14T00:00:00"/>
    <x v="0"/>
    <s v="Credit Card"/>
    <n v="89"/>
    <n v="1"/>
    <s v="Yes"/>
    <s v="Yes"/>
    <n v="5.0000000000000001E-3"/>
    <s v="No"/>
    <n v="0"/>
  </r>
  <r>
    <s v="AP-0398"/>
    <s v="VND-003"/>
    <s v="FastShip Logistics"/>
    <s v="Logistics"/>
    <s v="North"/>
    <s v="Marco Diaz"/>
    <d v="2025-08-04T00:00:00"/>
    <d v="2025-09-03T00:00:00"/>
    <n v="30"/>
    <n v="13736.37"/>
    <n v="7034.46"/>
    <n v="6701.91"/>
    <d v="2025-09-01T00:00:00"/>
    <x v="3"/>
    <s v="ACH"/>
    <n v="28"/>
    <n v="2"/>
    <s v="Yes"/>
    <s v="No"/>
    <n v="0"/>
    <s v="No"/>
    <n v="0"/>
  </r>
  <r>
    <s v="AP-0399"/>
    <s v="VND-007"/>
    <s v="ProStaff Services"/>
    <s v="Services"/>
    <s v="Central"/>
    <s v="Pedro Alvarez"/>
    <d v="2025-01-25T00:00:00"/>
    <d v="2025-02-24T00:00:00"/>
    <n v="30"/>
    <n v="19991.330000000002"/>
    <n v="19991.330000000002"/>
    <n v="0"/>
    <d v="2025-03-09T00:00:00"/>
    <x v="0"/>
    <s v="ACH"/>
    <n v="43"/>
    <n v="-13"/>
    <s v="No"/>
    <s v="Yes"/>
    <n v="0.01"/>
    <s v="No"/>
    <n v="0"/>
  </r>
  <r>
    <s v="AP-0400"/>
    <s v="VND-018"/>
    <s v="BuildFast Materials"/>
    <s v="Materials"/>
    <s v="North"/>
    <s v="Ana Torres"/>
    <d v="2026-02-22T00:00:00"/>
    <d v="2026-04-08T00:00:00"/>
    <n v="45"/>
    <n v="20625.560000000001"/>
    <n v="0"/>
    <n v="20625.560000000001"/>
    <m/>
    <x v="2"/>
    <s v="Wire"/>
    <m/>
    <m/>
    <m/>
    <s v="Yes"/>
    <n v="1.4999999999999999E-2"/>
    <s v="No"/>
    <n v="0"/>
  </r>
  <r>
    <s v="AP-0401"/>
    <s v="VND-022"/>
    <s v="Apex Consulting"/>
    <s v="Services"/>
    <s v="North"/>
    <s v="Ana Torres"/>
    <d v="2025-02-16T00:00:00"/>
    <d v="2025-03-18T00:00:00"/>
    <n v="30"/>
    <n v="28932.639999999999"/>
    <n v="0"/>
    <n v="28932.639999999999"/>
    <m/>
    <x v="1"/>
    <s v="ACH"/>
    <m/>
    <n v="-439"/>
    <s v="No"/>
    <s v="Yes"/>
    <n v="0.01"/>
    <s v="No"/>
    <n v="0"/>
  </r>
  <r>
    <s v="AP-0402"/>
    <s v="VND-004"/>
    <s v="BuildRight Materials"/>
    <s v="Materials"/>
    <s v="East"/>
    <s v="Laura Chen"/>
    <d v="2026-03-25T00:00:00"/>
    <d v="2026-05-09T00:00:00"/>
    <n v="45"/>
    <n v="20307.849999999999"/>
    <n v="0"/>
    <n v="20307.849999999999"/>
    <m/>
    <x v="2"/>
    <s v="ACH"/>
    <m/>
    <m/>
    <m/>
    <s v="No"/>
    <n v="0"/>
    <s v="No"/>
    <n v="0"/>
  </r>
  <r>
    <s v="AP-0403"/>
    <s v="VND-008"/>
    <s v="GreenEnergy Corp."/>
    <s v="Utilities"/>
    <s v="South"/>
    <s v="Pedro Alvarez"/>
    <d v="2025-11-02T00:00:00"/>
    <d v="2025-12-02T00:00:00"/>
    <n v="30"/>
    <n v="10320.69"/>
    <n v="6859.77"/>
    <n v="3460.92"/>
    <d v="2025-12-08T00:00:00"/>
    <x v="3"/>
    <s v="Check"/>
    <n v="36"/>
    <n v="-6"/>
    <s v="No"/>
    <s v="No"/>
    <n v="0"/>
    <s v="No"/>
    <n v="0"/>
  </r>
  <r>
    <s v="AP-0404"/>
    <s v="VND-001"/>
    <s v="Acme Supplies Co."/>
    <s v="Materials"/>
    <s v="Central"/>
    <s v="Ana Torres"/>
    <d v="2025-02-12T00:00:00"/>
    <d v="2025-03-14T00:00:00"/>
    <n v="30"/>
    <n v="2241.4299999999998"/>
    <n v="2241.4299999999998"/>
    <n v="0"/>
    <d v="2025-03-18T00:00:00"/>
    <x v="0"/>
    <s v="Wire"/>
    <n v="34"/>
    <n v="-4"/>
    <s v="No"/>
    <s v="Yes"/>
    <n v="0.01"/>
    <s v="No"/>
    <n v="0"/>
  </r>
  <r>
    <s v="AP-0405"/>
    <s v="VND-003"/>
    <s v="FastShip Logistics"/>
    <s v="Logistics"/>
    <s v="East"/>
    <s v="Marco Diaz"/>
    <d v="2026-02-27T00:00:00"/>
    <d v="2026-03-29T00:00:00"/>
    <n v="30"/>
    <n v="18206.93"/>
    <n v="18206.93"/>
    <n v="0"/>
    <d v="2026-04-02T00:00:00"/>
    <x v="0"/>
    <s v="Check"/>
    <n v="34"/>
    <n v="-4"/>
    <s v="No"/>
    <s v="No"/>
    <n v="0"/>
    <s v="No"/>
    <n v="0"/>
  </r>
  <r>
    <s v="AP-0406"/>
    <s v="VND-009"/>
    <s v="MetalWorks Ltd."/>
    <s v="Materials"/>
    <s v="South"/>
    <s v="Sofia Reyes"/>
    <d v="2026-04-18T00:00:00"/>
    <d v="2026-05-03T00:00:00"/>
    <n v="15"/>
    <n v="32944.379999999997"/>
    <n v="0"/>
    <n v="32944.379999999997"/>
    <m/>
    <x v="2"/>
    <s v="Wire"/>
    <m/>
    <m/>
    <m/>
    <s v="Yes"/>
    <n v="0.02"/>
    <s v="No"/>
    <n v="0"/>
  </r>
  <r>
    <s v="AP-0407"/>
    <s v="VND-007"/>
    <s v="ProStaff Services"/>
    <s v="Services"/>
    <s v="Central"/>
    <s v="Pedro Alvarez"/>
    <d v="2025-05-12T00:00:00"/>
    <d v="2025-07-11T00:00:00"/>
    <n v="60"/>
    <n v="27837.94"/>
    <n v="27837.94"/>
    <n v="0"/>
    <d v="2025-07-21T00:00:00"/>
    <x v="0"/>
    <s v="Check"/>
    <n v="70"/>
    <n v="-10"/>
    <s v="No"/>
    <s v="Yes"/>
    <n v="0.01"/>
    <s v="No"/>
    <n v="0"/>
  </r>
  <r>
    <s v="AP-0408"/>
    <s v="VND-003"/>
    <s v="FastShip Logistics"/>
    <s v="Logistics"/>
    <s v="South"/>
    <s v="Laura Chen"/>
    <d v="2025-12-03T00:00:00"/>
    <d v="2026-03-03T00:00:00"/>
    <n v="90"/>
    <n v="12710.51"/>
    <n v="12710.51"/>
    <n v="0"/>
    <d v="2026-02-25T00:00:00"/>
    <x v="0"/>
    <s v="Credit Card"/>
    <n v="84"/>
    <n v="6"/>
    <s v="Yes"/>
    <s v="Yes"/>
    <n v="5.0000000000000001E-3"/>
    <s v="No"/>
    <n v="0"/>
  </r>
  <r>
    <s v="AP-0409"/>
    <s v="VND-011"/>
    <s v="QuickFreight Inc."/>
    <s v="Logistics"/>
    <s v="West"/>
    <s v="Marco Diaz"/>
    <d v="2025-09-10T00:00:00"/>
    <d v="2025-11-09T00:00:00"/>
    <n v="60"/>
    <n v="15927.54"/>
    <n v="15927.54"/>
    <n v="0"/>
    <d v="2025-11-06T00:00:00"/>
    <x v="0"/>
    <s v="ACH"/>
    <n v="57"/>
    <n v="3"/>
    <s v="Yes"/>
    <s v="No"/>
    <n v="0"/>
    <s v="No"/>
    <n v="0"/>
  </r>
  <r>
    <s v="AP-0410"/>
    <s v="VND-009"/>
    <s v="MetalWorks Ltd."/>
    <s v="Materials"/>
    <s v="East"/>
    <s v="Marco Diaz"/>
    <d v="2026-04-19T00:00:00"/>
    <d v="2026-07-18T00:00:00"/>
    <n v="90"/>
    <n v="23377.18"/>
    <n v="0"/>
    <n v="23377.18"/>
    <m/>
    <x v="2"/>
    <s v="Check"/>
    <m/>
    <m/>
    <m/>
    <s v="No"/>
    <n v="0"/>
    <s v="No"/>
    <n v="0"/>
  </r>
  <r>
    <s v="AP-0411"/>
    <s v="VND-021"/>
    <s v="PrimePack Logistics"/>
    <s v="Logistics"/>
    <s v="Central"/>
    <s v="Sofia Reyes"/>
    <d v="2025-07-21T00:00:00"/>
    <d v="2025-08-20T00:00:00"/>
    <n v="30"/>
    <n v="6001.46"/>
    <n v="6001.46"/>
    <n v="0"/>
    <d v="2025-08-21T00:00:00"/>
    <x v="0"/>
    <s v="Check"/>
    <n v="31"/>
    <n v="-1"/>
    <s v="No"/>
    <s v="No"/>
    <n v="0"/>
    <s v="No"/>
    <n v="0"/>
  </r>
  <r>
    <s v="AP-0412"/>
    <s v="VND-017"/>
    <s v="OfficePro Services"/>
    <s v="Services"/>
    <s v="North"/>
    <s v="Ana Torres"/>
    <d v="2025-02-07T00:00:00"/>
    <d v="2025-03-09T00:00:00"/>
    <n v="30"/>
    <n v="23408.98"/>
    <n v="0"/>
    <n v="23408.98"/>
    <m/>
    <x v="1"/>
    <s v="Credit Card"/>
    <m/>
    <n v="-448"/>
    <s v="No"/>
    <s v="Yes"/>
    <n v="0.01"/>
    <s v="No"/>
    <n v="0"/>
  </r>
  <r>
    <s v="AP-0413"/>
    <s v="VND-016"/>
    <s v="CleanWater Utilities"/>
    <s v="Utilities"/>
    <s v="South"/>
    <s v="Laura Chen"/>
    <d v="2025-10-25T00:00:00"/>
    <d v="2025-11-24T00:00:00"/>
    <n v="30"/>
    <n v="2441.2800000000002"/>
    <n v="2441.2800000000002"/>
    <n v="0"/>
    <d v="2025-11-24T00:00:00"/>
    <x v="0"/>
    <s v="Credit Card"/>
    <n v="30"/>
    <n v="0"/>
    <s v="Yes"/>
    <s v="Yes"/>
    <n v="0.01"/>
    <s v="No"/>
    <n v="0"/>
  </r>
  <r>
    <s v="AP-0414"/>
    <s v="VND-012"/>
    <s v="FacilityPro Services"/>
    <s v="Facilities"/>
    <s v="Central"/>
    <s v="Sofia Reyes"/>
    <d v="2025-05-24T00:00:00"/>
    <d v="2025-06-23T00:00:00"/>
    <n v="30"/>
    <n v="16725.27"/>
    <n v="0"/>
    <n v="16725.27"/>
    <m/>
    <x v="1"/>
    <s v="Wire"/>
    <m/>
    <n v="-342"/>
    <s v="No"/>
    <s v="Yes"/>
    <n v="0.01"/>
    <s v="No"/>
    <n v="0"/>
  </r>
  <r>
    <s v="AP-0415"/>
    <s v="VND-022"/>
    <s v="Apex Consulting"/>
    <s v="Services"/>
    <s v="South"/>
    <s v="Pedro Alvarez"/>
    <d v="2025-08-13T00:00:00"/>
    <d v="2025-08-28T00:00:00"/>
    <n v="15"/>
    <n v="31174.48"/>
    <n v="31174.48"/>
    <n v="0"/>
    <d v="2025-08-29T00:00:00"/>
    <x v="0"/>
    <s v="Check"/>
    <n v="16"/>
    <n v="-1"/>
    <s v="No"/>
    <s v="Yes"/>
    <n v="0.02"/>
    <s v="No"/>
    <n v="0"/>
  </r>
  <r>
    <s v="AP-0416"/>
    <s v="VND-017"/>
    <s v="OfficePro Services"/>
    <s v="Services"/>
    <s v="East"/>
    <s v="Pedro Alvarez"/>
    <d v="2025-02-17T00:00:00"/>
    <d v="2025-05-18T00:00:00"/>
    <n v="90"/>
    <n v="4476.47"/>
    <n v="4476.47"/>
    <n v="0"/>
    <d v="2025-05-29T00:00:00"/>
    <x v="0"/>
    <s v="Credit Card"/>
    <n v="101"/>
    <n v="-11"/>
    <s v="No"/>
    <s v="Yes"/>
    <n v="5.0000000000000001E-3"/>
    <s v="No"/>
    <n v="0"/>
  </r>
  <r>
    <s v="AP-0417"/>
    <s v="VND-017"/>
    <s v="OfficePro Services"/>
    <s v="Services"/>
    <s v="East"/>
    <s v="Laura Chen"/>
    <d v="2026-01-23T00:00:00"/>
    <d v="2026-03-24T00:00:00"/>
    <n v="60"/>
    <n v="16515.98"/>
    <n v="9221.39"/>
    <n v="7294.59"/>
    <d v="2026-03-31T00:00:00"/>
    <x v="3"/>
    <s v="Wire"/>
    <n v="67"/>
    <n v="-7"/>
    <s v="No"/>
    <s v="Yes"/>
    <n v="0.01"/>
    <s v="No"/>
    <n v="0"/>
  </r>
  <r>
    <s v="AP-0418"/>
    <s v="VND-008"/>
    <s v="GreenEnergy Corp."/>
    <s v="Utilities"/>
    <s v="Central"/>
    <s v="Pedro Alvarez"/>
    <d v="2026-05-14T00:00:00"/>
    <d v="2026-07-13T00:00:00"/>
    <n v="60"/>
    <n v="11993.53"/>
    <n v="11993.53"/>
    <n v="0"/>
    <d v="2026-05-31T00:00:00"/>
    <x v="0"/>
    <s v="Check"/>
    <n v="17"/>
    <n v="43"/>
    <s v="Yes"/>
    <s v="No"/>
    <n v="0"/>
    <s v="No"/>
    <n v="0"/>
  </r>
  <r>
    <s v="AP-0419"/>
    <s v="VND-017"/>
    <s v="OfficePro Services"/>
    <s v="Services"/>
    <s v="East"/>
    <s v="Marco Diaz"/>
    <d v="2025-06-11T00:00:00"/>
    <d v="2025-07-11T00:00:00"/>
    <n v="30"/>
    <n v="16402.25"/>
    <n v="16402.25"/>
    <n v="0"/>
    <d v="2025-07-13T00:00:00"/>
    <x v="0"/>
    <s v="Wire"/>
    <n v="32"/>
    <n v="-2"/>
    <s v="No"/>
    <s v="No"/>
    <n v="0"/>
    <s v="No"/>
    <n v="0"/>
  </r>
  <r>
    <s v="AP-0420"/>
    <s v="VND-008"/>
    <s v="GreenEnergy Corp."/>
    <s v="Utilities"/>
    <s v="West"/>
    <s v="Laura Chen"/>
    <d v="2026-05-06T00:00:00"/>
    <d v="2026-08-04T00:00:00"/>
    <n v="90"/>
    <n v="7445.81"/>
    <n v="7445.81"/>
    <n v="0"/>
    <d v="2026-05-31T00:00:00"/>
    <x v="0"/>
    <s v="ACH"/>
    <n v="25"/>
    <n v="65"/>
    <s v="Yes"/>
    <s v="Yes"/>
    <n v="5.0000000000000001E-3"/>
    <s v="Yes"/>
    <n v="37.229999999999997"/>
  </r>
  <r>
    <s v="AP-0421"/>
    <s v="VND-019"/>
    <s v="SkyNet IT Solutions"/>
    <s v="IT"/>
    <s v="South"/>
    <s v="Marco Diaz"/>
    <d v="2025-02-27T00:00:00"/>
    <d v="2025-03-29T00:00:00"/>
    <n v="30"/>
    <n v="17475.599999999999"/>
    <n v="17475.599999999999"/>
    <n v="0"/>
    <d v="2025-04-02T00:00:00"/>
    <x v="0"/>
    <s v="ACH"/>
    <n v="34"/>
    <n v="-4"/>
    <s v="No"/>
    <s v="No"/>
    <n v="0"/>
    <s v="No"/>
    <n v="0"/>
  </r>
  <r>
    <s v="AP-0422"/>
    <s v="VND-013"/>
    <s v="SafetyFirst Supplies"/>
    <s v="Materials"/>
    <s v="Central"/>
    <s v="Ana Torres"/>
    <d v="2025-03-29T00:00:00"/>
    <d v="2025-05-13T00:00:00"/>
    <n v="45"/>
    <n v="12396.48"/>
    <n v="12396.48"/>
    <n v="0"/>
    <d v="2025-05-08T00:00:00"/>
    <x v="0"/>
    <s v="ACH"/>
    <n v="40"/>
    <n v="5"/>
    <s v="Yes"/>
    <s v="Yes"/>
    <n v="1.4999999999999999E-2"/>
    <s v="No"/>
    <n v="0"/>
  </r>
  <r>
    <s v="AP-0423"/>
    <s v="VND-014"/>
    <s v="NetConnect Systems"/>
    <s v="IT"/>
    <s v="Central"/>
    <s v="Marco Diaz"/>
    <d v="2025-06-21T00:00:00"/>
    <d v="2025-08-05T00:00:00"/>
    <n v="45"/>
    <n v="59314.01"/>
    <n v="59314.01"/>
    <n v="0"/>
    <d v="2025-08-05T00:00:00"/>
    <x v="0"/>
    <s v="Wire"/>
    <n v="45"/>
    <n v="0"/>
    <s v="Yes"/>
    <s v="Yes"/>
    <n v="1.4999999999999999E-2"/>
    <s v="No"/>
    <n v="0"/>
  </r>
  <r>
    <s v="AP-0424"/>
    <s v="VND-019"/>
    <s v="SkyNet IT Solutions"/>
    <s v="IT"/>
    <s v="North"/>
    <s v="Marco Diaz"/>
    <d v="2025-05-16T00:00:00"/>
    <d v="2025-07-15T00:00:00"/>
    <n v="60"/>
    <n v="13142.76"/>
    <n v="7257.17"/>
    <n v="5885.59"/>
    <d v="2025-07-23T00:00:00"/>
    <x v="3"/>
    <s v="Credit Card"/>
    <n v="68"/>
    <n v="-8"/>
    <s v="No"/>
    <s v="Yes"/>
    <n v="0.01"/>
    <s v="No"/>
    <n v="0"/>
  </r>
  <r>
    <s v="AP-0425"/>
    <s v="VND-005"/>
    <s v="CloudSys Inc."/>
    <s v="IT"/>
    <s v="Central"/>
    <s v="Sofia Reyes"/>
    <d v="2025-02-09T00:00:00"/>
    <d v="2025-05-10T00:00:00"/>
    <n v="90"/>
    <n v="70831.45"/>
    <n v="70831.45"/>
    <n v="0"/>
    <d v="2025-05-19T00:00:00"/>
    <x v="0"/>
    <s v="Wire"/>
    <n v="99"/>
    <n v="-9"/>
    <s v="No"/>
    <s v="Yes"/>
    <n v="5.0000000000000001E-3"/>
    <s v="No"/>
    <n v="0"/>
  </r>
  <r>
    <s v="AP-0426"/>
    <s v="VND-020"/>
    <s v="TrustBuild Facilities"/>
    <s v="Facilities"/>
    <s v="Central"/>
    <s v="Sofia Reyes"/>
    <d v="2026-01-15T00:00:00"/>
    <d v="2026-03-16T00:00:00"/>
    <n v="60"/>
    <n v="30869.200000000001"/>
    <n v="30869.200000000001"/>
    <n v="0"/>
    <d v="2026-03-22T00:00:00"/>
    <x v="0"/>
    <s v="Credit Card"/>
    <n v="66"/>
    <n v="-6"/>
    <s v="No"/>
    <s v="Yes"/>
    <n v="0.01"/>
    <s v="No"/>
    <n v="0"/>
  </r>
  <r>
    <s v="AP-0427"/>
    <s v="VND-016"/>
    <s v="CleanWater Utilities"/>
    <s v="Utilities"/>
    <s v="West"/>
    <s v="Laura Chen"/>
    <d v="2025-05-18T00:00:00"/>
    <d v="2025-07-17T00:00:00"/>
    <n v="60"/>
    <n v="4190.51"/>
    <n v="0"/>
    <n v="4190.51"/>
    <m/>
    <x v="1"/>
    <s v="ACH"/>
    <m/>
    <n v="-318"/>
    <s v="No"/>
    <s v="No"/>
    <n v="0"/>
    <s v="No"/>
    <n v="0"/>
  </r>
  <r>
    <s v="AP-0428"/>
    <s v="VND-003"/>
    <s v="FastShip Logistics"/>
    <s v="Logistics"/>
    <s v="East"/>
    <s v="Ana Torres"/>
    <d v="2025-07-13T00:00:00"/>
    <d v="2025-08-27T00:00:00"/>
    <n v="45"/>
    <n v="1103.92"/>
    <n v="1103.92"/>
    <n v="0"/>
    <d v="2025-08-18T00:00:00"/>
    <x v="0"/>
    <s v="Credit Card"/>
    <n v="36"/>
    <n v="9"/>
    <s v="Yes"/>
    <s v="No"/>
    <n v="0"/>
    <s v="No"/>
    <n v="0"/>
  </r>
  <r>
    <s v="AP-0429"/>
    <s v="VND-013"/>
    <s v="SafetyFirst Supplies"/>
    <s v="Materials"/>
    <s v="South"/>
    <s v="Laura Chen"/>
    <d v="2025-04-20T00:00:00"/>
    <d v="2025-06-19T00:00:00"/>
    <n v="60"/>
    <n v="9429.3700000000008"/>
    <n v="9429.3700000000008"/>
    <n v="0"/>
    <d v="2025-06-18T00:00:00"/>
    <x v="0"/>
    <s v="Credit Card"/>
    <n v="59"/>
    <n v="1"/>
    <s v="Yes"/>
    <s v="Yes"/>
    <n v="0.01"/>
    <s v="No"/>
    <n v="0"/>
  </r>
  <r>
    <s v="AP-0430"/>
    <s v="VND-018"/>
    <s v="BuildFast Materials"/>
    <s v="Materials"/>
    <s v="West"/>
    <s v="Ana Torres"/>
    <d v="2026-02-11T00:00:00"/>
    <d v="2026-03-28T00:00:00"/>
    <n v="45"/>
    <n v="38238.65"/>
    <n v="20696.05"/>
    <n v="17542.599999999999"/>
    <d v="2026-04-03T00:00:00"/>
    <x v="3"/>
    <s v="Check"/>
    <n v="51"/>
    <n v="-6"/>
    <s v="No"/>
    <s v="Yes"/>
    <n v="1.4999999999999999E-2"/>
    <s v="No"/>
    <n v="0"/>
  </r>
  <r>
    <s v="AP-0431"/>
    <s v="VND-018"/>
    <s v="BuildFast Materials"/>
    <s v="Materials"/>
    <s v="Central"/>
    <s v="Pedro Alvarez"/>
    <d v="2025-12-19T00:00:00"/>
    <d v="2026-02-02T00:00:00"/>
    <n v="45"/>
    <n v="39161.339999999997"/>
    <n v="39161.339999999997"/>
    <n v="0"/>
    <d v="2026-02-04T00:00:00"/>
    <x v="0"/>
    <s v="Check"/>
    <n v="47"/>
    <n v="-2"/>
    <s v="No"/>
    <s v="Yes"/>
    <n v="1.4999999999999999E-2"/>
    <s v="No"/>
    <n v="0"/>
  </r>
  <r>
    <s v="AP-0432"/>
    <s v="VND-008"/>
    <s v="GreenEnergy Corp."/>
    <s v="Utilities"/>
    <s v="West"/>
    <s v="Marco Diaz"/>
    <d v="2026-02-15T00:00:00"/>
    <d v="2026-03-17T00:00:00"/>
    <n v="30"/>
    <n v="11898.18"/>
    <n v="11898.18"/>
    <n v="0"/>
    <d v="2026-03-14T00:00:00"/>
    <x v="0"/>
    <s v="ACH"/>
    <n v="27"/>
    <n v="3"/>
    <s v="Yes"/>
    <s v="No"/>
    <n v="0"/>
    <s v="No"/>
    <n v="0"/>
  </r>
  <r>
    <s v="AP-0433"/>
    <s v="VND-022"/>
    <s v="Apex Consulting"/>
    <s v="Services"/>
    <s v="North"/>
    <s v="Marco Diaz"/>
    <d v="2025-04-04T00:00:00"/>
    <d v="2025-04-19T00:00:00"/>
    <n v="15"/>
    <n v="33460.449999999997"/>
    <n v="33460.449999999997"/>
    <n v="0"/>
    <d v="2025-04-24T00:00:00"/>
    <x v="0"/>
    <s v="Credit Card"/>
    <n v="20"/>
    <n v="-5"/>
    <s v="No"/>
    <s v="Yes"/>
    <n v="0.02"/>
    <s v="No"/>
    <n v="0"/>
  </r>
  <r>
    <s v="AP-0434"/>
    <s v="VND-012"/>
    <s v="FacilityPro Services"/>
    <s v="Facilities"/>
    <s v="North"/>
    <s v="Ana Torres"/>
    <d v="2026-02-15T00:00:00"/>
    <d v="2026-04-16T00:00:00"/>
    <n v="60"/>
    <n v="22260.86"/>
    <n v="22260.86"/>
    <n v="0"/>
    <d v="2026-04-19T00:00:00"/>
    <x v="0"/>
    <s v="ACH"/>
    <n v="63"/>
    <n v="-3"/>
    <s v="No"/>
    <s v="Yes"/>
    <n v="0.01"/>
    <s v="No"/>
    <n v="0"/>
  </r>
  <r>
    <s v="AP-0435"/>
    <s v="VND-025"/>
    <s v="RapidShip Co."/>
    <s v="Logistics"/>
    <s v="South"/>
    <s v="Pedro Alvarez"/>
    <d v="2025-07-26T00:00:00"/>
    <d v="2025-08-10T00:00:00"/>
    <n v="15"/>
    <n v="17160.79"/>
    <n v="17160.79"/>
    <n v="0"/>
    <d v="2025-08-14T00:00:00"/>
    <x v="0"/>
    <s v="Credit Card"/>
    <n v="19"/>
    <n v="-4"/>
    <s v="No"/>
    <s v="No"/>
    <n v="0"/>
    <s v="No"/>
    <n v="0"/>
  </r>
  <r>
    <s v="AP-0436"/>
    <s v="VND-017"/>
    <s v="OfficePro Services"/>
    <s v="Services"/>
    <s v="Central"/>
    <s v="Marco Diaz"/>
    <d v="2026-01-04T00:00:00"/>
    <d v="2026-01-19T00:00:00"/>
    <n v="15"/>
    <n v="11852.5"/>
    <n v="11852.5"/>
    <n v="0"/>
    <d v="2026-02-01T00:00:00"/>
    <x v="0"/>
    <s v="Wire"/>
    <n v="28"/>
    <n v="-13"/>
    <s v="No"/>
    <s v="Yes"/>
    <n v="0.02"/>
    <s v="No"/>
    <n v="0"/>
  </r>
  <r>
    <s v="AP-0437"/>
    <s v="VND-009"/>
    <s v="MetalWorks Ltd."/>
    <s v="Materials"/>
    <s v="West"/>
    <s v="Laura Chen"/>
    <d v="2025-07-25T00:00:00"/>
    <d v="2025-09-23T00:00:00"/>
    <n v="60"/>
    <n v="26851.65"/>
    <n v="26851.65"/>
    <n v="0"/>
    <d v="2025-09-28T00:00:00"/>
    <x v="0"/>
    <s v="Credit Card"/>
    <n v="65"/>
    <n v="-5"/>
    <s v="No"/>
    <s v="No"/>
    <n v="0"/>
    <s v="No"/>
    <n v="0"/>
  </r>
  <r>
    <s v="AP-0438"/>
    <s v="VND-018"/>
    <s v="BuildFast Materials"/>
    <s v="Materials"/>
    <s v="Central"/>
    <s v="Laura Chen"/>
    <d v="2025-08-20T00:00:00"/>
    <d v="2025-10-04T00:00:00"/>
    <n v="45"/>
    <n v="31105.439999999999"/>
    <n v="0"/>
    <n v="31105.439999999999"/>
    <m/>
    <x v="1"/>
    <s v="Check"/>
    <m/>
    <n v="-239"/>
    <s v="No"/>
    <s v="Yes"/>
    <n v="1.4999999999999999E-2"/>
    <s v="No"/>
    <n v="0"/>
  </r>
  <r>
    <s v="AP-0439"/>
    <s v="VND-019"/>
    <s v="SkyNet IT Solutions"/>
    <s v="IT"/>
    <s v="North"/>
    <s v="Laura Chen"/>
    <d v="2025-04-20T00:00:00"/>
    <d v="2025-06-19T00:00:00"/>
    <n v="60"/>
    <n v="46897.3"/>
    <n v="46897.3"/>
    <n v="0"/>
    <d v="2025-06-22T00:00:00"/>
    <x v="0"/>
    <s v="Wire"/>
    <n v="63"/>
    <n v="-3"/>
    <s v="No"/>
    <s v="Yes"/>
    <n v="0.01"/>
    <s v="No"/>
    <n v="0"/>
  </r>
  <r>
    <s v="AP-0440"/>
    <s v="VND-004"/>
    <s v="BuildRight Materials"/>
    <s v="Materials"/>
    <s v="Central"/>
    <s v="Laura Chen"/>
    <d v="2026-01-22T00:00:00"/>
    <d v="2026-04-22T00:00:00"/>
    <n v="90"/>
    <n v="29032.09"/>
    <n v="29032.09"/>
    <n v="0"/>
    <d v="2026-04-14T00:00:00"/>
    <x v="0"/>
    <s v="Check"/>
    <n v="82"/>
    <n v="8"/>
    <s v="Yes"/>
    <s v="No"/>
    <n v="0"/>
    <s v="No"/>
    <n v="0"/>
  </r>
  <r>
    <s v="AP-0441"/>
    <s v="VND-019"/>
    <s v="SkyNet IT Solutions"/>
    <s v="IT"/>
    <s v="North"/>
    <s v="Pedro Alvarez"/>
    <d v="2025-03-11T00:00:00"/>
    <d v="2025-04-25T00:00:00"/>
    <n v="45"/>
    <n v="33700.49"/>
    <n v="33700.49"/>
    <n v="0"/>
    <d v="2025-04-27T00:00:00"/>
    <x v="0"/>
    <s v="ACH"/>
    <n v="47"/>
    <n v="-2"/>
    <s v="No"/>
    <s v="No"/>
    <n v="0"/>
    <s v="No"/>
    <n v="0"/>
  </r>
  <r>
    <s v="AP-0442"/>
    <s v="VND-023"/>
    <s v="CoolTech Systems"/>
    <s v="IT"/>
    <s v="South"/>
    <s v="Laura Chen"/>
    <d v="2025-01-10T00:00:00"/>
    <d v="2025-03-11T00:00:00"/>
    <n v="60"/>
    <n v="57561.39"/>
    <n v="57561.39"/>
    <n v="0"/>
    <d v="2025-03-01T00:00:00"/>
    <x v="0"/>
    <s v="Credit Card"/>
    <n v="50"/>
    <n v="10"/>
    <s v="Yes"/>
    <s v="Yes"/>
    <n v="0.01"/>
    <s v="No"/>
    <n v="0"/>
  </r>
  <r>
    <s v="AP-0443"/>
    <s v="VND-011"/>
    <s v="QuickFreight Inc."/>
    <s v="Logistics"/>
    <s v="North"/>
    <s v="Ana Torres"/>
    <d v="2025-11-18T00:00:00"/>
    <d v="2026-02-16T00:00:00"/>
    <n v="90"/>
    <n v="7717.22"/>
    <n v="7717.22"/>
    <n v="0"/>
    <d v="2026-02-23T00:00:00"/>
    <x v="0"/>
    <s v="Wire"/>
    <n v="97"/>
    <n v="-7"/>
    <s v="No"/>
    <s v="No"/>
    <n v="0"/>
    <s v="No"/>
    <n v="0"/>
  </r>
  <r>
    <s v="AP-0444"/>
    <s v="VND-024"/>
    <s v="EliteFacilities Corp."/>
    <s v="Facilities"/>
    <s v="South"/>
    <s v="Pedro Alvarez"/>
    <d v="2025-09-05T00:00:00"/>
    <d v="2025-10-05T00:00:00"/>
    <n v="30"/>
    <n v="30800.5"/>
    <n v="30800.5"/>
    <n v="0"/>
    <d v="2025-10-05T00:00:00"/>
    <x v="0"/>
    <s v="Wire"/>
    <n v="30"/>
    <n v="0"/>
    <s v="Yes"/>
    <s v="Yes"/>
    <n v="0.01"/>
    <s v="No"/>
    <n v="0"/>
  </r>
  <r>
    <s v="AP-0445"/>
    <s v="VND-005"/>
    <s v="CloudSys Inc."/>
    <s v="IT"/>
    <s v="North"/>
    <s v="Sofia Reyes"/>
    <d v="2025-01-07T00:00:00"/>
    <d v="2025-04-07T00:00:00"/>
    <n v="90"/>
    <n v="62318.32"/>
    <n v="62318.32"/>
    <n v="0"/>
    <d v="2025-04-18T00:00:00"/>
    <x v="0"/>
    <s v="ACH"/>
    <n v="101"/>
    <n v="-11"/>
    <s v="No"/>
    <s v="Yes"/>
    <n v="5.0000000000000001E-3"/>
    <s v="No"/>
    <n v="0"/>
  </r>
  <r>
    <s v="AP-0446"/>
    <s v="VND-016"/>
    <s v="CleanWater Utilities"/>
    <s v="Utilities"/>
    <s v="East"/>
    <s v="Ana Torres"/>
    <d v="2025-10-09T00:00:00"/>
    <d v="2026-01-07T00:00:00"/>
    <n v="90"/>
    <n v="7616.68"/>
    <n v="0"/>
    <n v="7616.68"/>
    <m/>
    <x v="1"/>
    <s v="Check"/>
    <m/>
    <n v="-144"/>
    <s v="No"/>
    <s v="No"/>
    <n v="0"/>
    <s v="No"/>
    <n v="0"/>
  </r>
  <r>
    <s v="AP-0447"/>
    <s v="VND-009"/>
    <s v="MetalWorks Ltd."/>
    <s v="Materials"/>
    <s v="West"/>
    <s v="Marco Diaz"/>
    <d v="2026-03-10T00:00:00"/>
    <d v="2026-03-25T00:00:00"/>
    <n v="15"/>
    <n v="24959.360000000001"/>
    <n v="24959.360000000001"/>
    <n v="0"/>
    <d v="2026-03-16T00:00:00"/>
    <x v="0"/>
    <s v="Wire"/>
    <n v="6"/>
    <n v="9"/>
    <s v="Yes"/>
    <s v="Yes"/>
    <n v="0.02"/>
    <s v="No"/>
    <n v="0"/>
  </r>
  <r>
    <s v="AP-0448"/>
    <s v="VND-006"/>
    <s v="PowerGrid Utilities"/>
    <s v="Utilities"/>
    <s v="West"/>
    <s v="Sofia Reyes"/>
    <d v="2025-01-09T00:00:00"/>
    <d v="2025-03-10T00:00:00"/>
    <n v="60"/>
    <n v="671.39"/>
    <n v="671.39"/>
    <n v="0"/>
    <d v="2025-03-17T00:00:00"/>
    <x v="0"/>
    <s v="Credit Card"/>
    <n v="67"/>
    <n v="-7"/>
    <s v="No"/>
    <s v="Yes"/>
    <n v="0.01"/>
    <s v="No"/>
    <n v="0"/>
  </r>
  <r>
    <s v="AP-0449"/>
    <s v="VND-011"/>
    <s v="QuickFreight Inc."/>
    <s v="Logistics"/>
    <s v="East"/>
    <s v="Ana Torres"/>
    <d v="2025-09-27T00:00:00"/>
    <d v="2025-10-27T00:00:00"/>
    <n v="30"/>
    <n v="5505.64"/>
    <n v="5505.64"/>
    <n v="0"/>
    <d v="2025-10-21T00:00:00"/>
    <x v="0"/>
    <s v="Check"/>
    <n v="24"/>
    <n v="6"/>
    <s v="Yes"/>
    <s v="Yes"/>
    <n v="0.01"/>
    <s v="No"/>
    <n v="0"/>
  </r>
  <r>
    <s v="AP-0450"/>
    <s v="VND-007"/>
    <s v="ProStaff Services"/>
    <s v="Services"/>
    <s v="West"/>
    <s v="Laura Chen"/>
    <d v="2025-10-14T00:00:00"/>
    <d v="2025-12-13T00:00:00"/>
    <n v="60"/>
    <n v="19676.97"/>
    <n v="0"/>
    <n v="19676.97"/>
    <m/>
    <x v="1"/>
    <s v="Check"/>
    <m/>
    <n v="-169"/>
    <s v="No"/>
    <s v="Yes"/>
    <n v="0.01"/>
    <s v="No"/>
    <n v="0"/>
  </r>
  <r>
    <s v="AP-0451"/>
    <s v="VND-022"/>
    <s v="Apex Consulting"/>
    <s v="Services"/>
    <s v="South"/>
    <s v="Sofia Reyes"/>
    <d v="2026-03-19T00:00:00"/>
    <d v="2026-04-18T00:00:00"/>
    <n v="30"/>
    <n v="34683.42"/>
    <n v="18607.43"/>
    <n v="16075.99"/>
    <d v="2026-04-13T00:00:00"/>
    <x v="3"/>
    <s v="Check"/>
    <n v="25"/>
    <n v="5"/>
    <s v="Yes"/>
    <s v="Yes"/>
    <n v="0.01"/>
    <s v="No"/>
    <n v="0"/>
  </r>
  <r>
    <s v="AP-0452"/>
    <s v="VND-006"/>
    <s v="PowerGrid Utilities"/>
    <s v="Utilities"/>
    <s v="West"/>
    <s v="Pedro Alvarez"/>
    <d v="2026-05-14T00:00:00"/>
    <d v="2026-07-13T00:00:00"/>
    <n v="60"/>
    <n v="4850.5"/>
    <n v="0"/>
    <n v="4850.5"/>
    <m/>
    <x v="2"/>
    <s v="Wire"/>
    <m/>
    <m/>
    <m/>
    <s v="Yes"/>
    <n v="0.01"/>
    <s v="No"/>
    <n v="0"/>
  </r>
  <r>
    <s v="AP-0453"/>
    <s v="VND-023"/>
    <s v="CoolTech Systems"/>
    <s v="IT"/>
    <s v="South"/>
    <s v="Sofia Reyes"/>
    <d v="2026-05-03T00:00:00"/>
    <d v="2026-06-17T00:00:00"/>
    <n v="45"/>
    <n v="67922.880000000005"/>
    <n v="0"/>
    <n v="67922.880000000005"/>
    <m/>
    <x v="2"/>
    <s v="Wire"/>
    <m/>
    <m/>
    <m/>
    <s v="Yes"/>
    <n v="1.4999999999999999E-2"/>
    <s v="No"/>
    <n v="0"/>
  </r>
  <r>
    <s v="AP-0454"/>
    <s v="VND-012"/>
    <s v="FacilityPro Services"/>
    <s v="Facilities"/>
    <s v="Central"/>
    <s v="Ana Torres"/>
    <d v="2025-01-21T00:00:00"/>
    <d v="2025-03-22T00:00:00"/>
    <n v="60"/>
    <n v="15588.11"/>
    <n v="15588.11"/>
    <n v="0"/>
    <d v="2025-03-29T00:00:00"/>
    <x v="0"/>
    <s v="Check"/>
    <n v="67"/>
    <n v="-7"/>
    <s v="No"/>
    <s v="Yes"/>
    <n v="0.01"/>
    <s v="No"/>
    <n v="0"/>
  </r>
  <r>
    <s v="AP-0455"/>
    <s v="VND-020"/>
    <s v="TrustBuild Facilities"/>
    <s v="Facilities"/>
    <s v="South"/>
    <s v="Ana Torres"/>
    <d v="2025-12-30T00:00:00"/>
    <d v="2026-02-13T00:00:00"/>
    <n v="45"/>
    <n v="12727.98"/>
    <n v="12727.98"/>
    <n v="0"/>
    <d v="2026-02-10T00:00:00"/>
    <x v="0"/>
    <s v="Wire"/>
    <n v="42"/>
    <n v="3"/>
    <s v="Yes"/>
    <s v="Yes"/>
    <n v="1.4999999999999999E-2"/>
    <s v="No"/>
    <n v="0"/>
  </r>
  <r>
    <s v="AP-0456"/>
    <s v="VND-020"/>
    <s v="TrustBuild Facilities"/>
    <s v="Facilities"/>
    <s v="East"/>
    <s v="Pedro Alvarez"/>
    <d v="2025-12-12T00:00:00"/>
    <d v="2026-01-11T00:00:00"/>
    <n v="30"/>
    <n v="15919.94"/>
    <n v="15919.94"/>
    <n v="0"/>
    <d v="2026-01-12T00:00:00"/>
    <x v="0"/>
    <s v="Wire"/>
    <n v="31"/>
    <n v="-1"/>
    <s v="No"/>
    <s v="Yes"/>
    <n v="0.01"/>
    <s v="No"/>
    <n v="0"/>
  </r>
  <r>
    <s v="AP-0457"/>
    <s v="VND-003"/>
    <s v="FastShip Logistics"/>
    <s v="Logistics"/>
    <s v="North"/>
    <s v="Marco Diaz"/>
    <d v="2025-11-18T00:00:00"/>
    <d v="2025-12-18T00:00:00"/>
    <n v="30"/>
    <n v="7020.69"/>
    <n v="7020.69"/>
    <n v="0"/>
    <d v="2025-12-15T00:00:00"/>
    <x v="0"/>
    <s v="Check"/>
    <n v="27"/>
    <n v="3"/>
    <s v="Yes"/>
    <s v="Yes"/>
    <n v="0.01"/>
    <s v="No"/>
    <n v="0"/>
  </r>
  <r>
    <s v="AP-0458"/>
    <s v="VND-015"/>
    <s v="ExpressRoute Logistics"/>
    <s v="Logistics"/>
    <s v="East"/>
    <s v="Ana Torres"/>
    <d v="2025-06-21T00:00:00"/>
    <d v="2025-08-20T00:00:00"/>
    <n v="60"/>
    <n v="4493.84"/>
    <n v="4493.84"/>
    <n v="0"/>
    <d v="2025-08-15T00:00:00"/>
    <x v="0"/>
    <s v="Credit Card"/>
    <n v="55"/>
    <n v="5"/>
    <s v="Yes"/>
    <s v="Yes"/>
    <n v="0.01"/>
    <s v="No"/>
    <n v="0"/>
  </r>
  <r>
    <s v="AP-0459"/>
    <s v="VND-022"/>
    <s v="Apex Consulting"/>
    <s v="Services"/>
    <s v="East"/>
    <s v="Sofia Reyes"/>
    <d v="2026-02-11T00:00:00"/>
    <d v="2026-03-13T00:00:00"/>
    <n v="30"/>
    <n v="6811.34"/>
    <n v="3911.19"/>
    <n v="2900.15"/>
    <d v="2026-03-08T00:00:00"/>
    <x v="3"/>
    <s v="Wire"/>
    <n v="25"/>
    <n v="5"/>
    <s v="Yes"/>
    <s v="Yes"/>
    <n v="0.01"/>
    <s v="No"/>
    <n v="0"/>
  </r>
  <r>
    <s v="AP-0460"/>
    <s v="VND-025"/>
    <s v="RapidShip Co."/>
    <s v="Logistics"/>
    <s v="West"/>
    <s v="Ana Torres"/>
    <d v="2025-09-26T00:00:00"/>
    <d v="2025-10-26T00:00:00"/>
    <n v="30"/>
    <n v="12743.94"/>
    <n v="0"/>
    <n v="12743.94"/>
    <m/>
    <x v="1"/>
    <s v="ACH"/>
    <m/>
    <n v="-217"/>
    <s v="No"/>
    <s v="Yes"/>
    <n v="0.01"/>
    <s v="No"/>
    <n v="0"/>
  </r>
  <r>
    <s v="AP-0461"/>
    <s v="VND-013"/>
    <s v="SafetyFirst Supplies"/>
    <s v="Materials"/>
    <s v="East"/>
    <s v="Marco Diaz"/>
    <d v="2026-03-30T00:00:00"/>
    <d v="2026-05-14T00:00:00"/>
    <n v="45"/>
    <n v="32071.07"/>
    <n v="0"/>
    <n v="32071.07"/>
    <m/>
    <x v="2"/>
    <s v="Wire"/>
    <m/>
    <m/>
    <m/>
    <s v="Yes"/>
    <n v="1.4999999999999999E-2"/>
    <s v="No"/>
    <n v="0"/>
  </r>
  <r>
    <s v="AP-0462"/>
    <s v="VND-022"/>
    <s v="Apex Consulting"/>
    <s v="Services"/>
    <s v="East"/>
    <s v="Laura Chen"/>
    <d v="2025-10-06T00:00:00"/>
    <d v="2026-01-04T00:00:00"/>
    <n v="90"/>
    <n v="23296.18"/>
    <n v="0"/>
    <n v="23296.18"/>
    <m/>
    <x v="1"/>
    <s v="Credit Card"/>
    <m/>
    <n v="-147"/>
    <s v="No"/>
    <s v="Yes"/>
    <n v="5.0000000000000001E-3"/>
    <s v="No"/>
    <n v="0"/>
  </r>
  <r>
    <s v="AP-0463"/>
    <s v="VND-018"/>
    <s v="BuildFast Materials"/>
    <s v="Materials"/>
    <s v="South"/>
    <s v="Ana Torres"/>
    <d v="2025-11-14T00:00:00"/>
    <d v="2026-01-13T00:00:00"/>
    <n v="60"/>
    <n v="45628.31"/>
    <n v="45628.31"/>
    <n v="0"/>
    <d v="2026-01-18T00:00:00"/>
    <x v="0"/>
    <s v="Credit Card"/>
    <n v="65"/>
    <n v="-5"/>
    <s v="No"/>
    <s v="Yes"/>
    <n v="0.01"/>
    <s v="No"/>
    <n v="0"/>
  </r>
  <r>
    <s v="AP-0464"/>
    <s v="VND-014"/>
    <s v="NetConnect Systems"/>
    <s v="IT"/>
    <s v="East"/>
    <s v="Marco Diaz"/>
    <d v="2025-01-01T00:00:00"/>
    <d v="2025-01-16T00:00:00"/>
    <n v="15"/>
    <n v="44248.72"/>
    <n v="44248.72"/>
    <n v="0"/>
    <d v="2025-01-19T00:00:00"/>
    <x v="0"/>
    <s v="Check"/>
    <n v="18"/>
    <n v="-3"/>
    <s v="No"/>
    <s v="No"/>
    <n v="0"/>
    <s v="No"/>
    <n v="0"/>
  </r>
  <r>
    <s v="AP-0465"/>
    <s v="VND-010"/>
    <s v="DataBridge IT"/>
    <s v="IT"/>
    <s v="West"/>
    <s v="Ana Torres"/>
    <d v="2026-05-04T00:00:00"/>
    <d v="2026-08-02T00:00:00"/>
    <n v="90"/>
    <n v="27470.79"/>
    <n v="19185.150000000001"/>
    <n v="8285.64"/>
    <d v="2026-05-31T00:00:00"/>
    <x v="3"/>
    <s v="ACH"/>
    <n v="27"/>
    <n v="63"/>
    <s v="Yes"/>
    <s v="No"/>
    <n v="0"/>
    <s v="No"/>
    <n v="0"/>
  </r>
  <r>
    <s v="AP-0466"/>
    <s v="VND-012"/>
    <s v="FacilityPro Services"/>
    <s v="Facilities"/>
    <s v="South"/>
    <s v="Pedro Alvarez"/>
    <d v="2025-09-13T00:00:00"/>
    <d v="2025-11-12T00:00:00"/>
    <n v="60"/>
    <n v="7387.89"/>
    <n v="7387.89"/>
    <n v="0"/>
    <d v="2025-11-08T00:00:00"/>
    <x v="0"/>
    <s v="Credit Card"/>
    <n v="56"/>
    <n v="4"/>
    <s v="Yes"/>
    <s v="No"/>
    <n v="0"/>
    <s v="No"/>
    <n v="0"/>
  </r>
  <r>
    <s v="AP-0467"/>
    <s v="VND-014"/>
    <s v="NetConnect Systems"/>
    <s v="IT"/>
    <s v="South"/>
    <s v="Ana Torres"/>
    <d v="2025-10-03T00:00:00"/>
    <d v="2025-11-17T00:00:00"/>
    <n v="45"/>
    <n v="35967.79"/>
    <n v="35967.79"/>
    <n v="0"/>
    <d v="2025-11-21T00:00:00"/>
    <x v="0"/>
    <s v="Check"/>
    <n v="49"/>
    <n v="-4"/>
    <s v="No"/>
    <s v="No"/>
    <n v="0"/>
    <s v="No"/>
    <n v="0"/>
  </r>
  <r>
    <s v="AP-0468"/>
    <s v="VND-010"/>
    <s v="DataBridge IT"/>
    <s v="IT"/>
    <s v="North"/>
    <s v="Pedro Alvarez"/>
    <d v="2026-05-19T00:00:00"/>
    <d v="2026-07-03T00:00:00"/>
    <n v="45"/>
    <n v="19084.21"/>
    <n v="19084.21"/>
    <n v="0"/>
    <d v="2026-05-31T00:00:00"/>
    <x v="0"/>
    <s v="Credit Card"/>
    <n v="12"/>
    <n v="33"/>
    <s v="Yes"/>
    <s v="Yes"/>
    <n v="1.4999999999999999E-2"/>
    <s v="Yes"/>
    <n v="286.26"/>
  </r>
  <r>
    <s v="AP-0469"/>
    <s v="VND-009"/>
    <s v="MetalWorks Ltd."/>
    <s v="Materials"/>
    <s v="South"/>
    <s v="Pedro Alvarez"/>
    <d v="2025-04-03T00:00:00"/>
    <d v="2025-05-03T00:00:00"/>
    <n v="30"/>
    <n v="9232.82"/>
    <n v="9232.82"/>
    <n v="0"/>
    <d v="2025-05-06T00:00:00"/>
    <x v="0"/>
    <s v="ACH"/>
    <n v="33"/>
    <n v="-3"/>
    <s v="No"/>
    <s v="Yes"/>
    <n v="0.01"/>
    <s v="No"/>
    <n v="0"/>
  </r>
  <r>
    <s v="AP-0470"/>
    <s v="VND-010"/>
    <s v="DataBridge IT"/>
    <s v="IT"/>
    <s v="West"/>
    <s v="Laura Chen"/>
    <d v="2025-12-05T00:00:00"/>
    <d v="2025-12-20T00:00:00"/>
    <n v="15"/>
    <n v="11016.73"/>
    <n v="11016.73"/>
    <n v="0"/>
    <d v="2025-12-20T00:00:00"/>
    <x v="0"/>
    <s v="Credit Card"/>
    <n v="15"/>
    <n v="0"/>
    <s v="Yes"/>
    <s v="No"/>
    <n v="0"/>
    <s v="No"/>
    <n v="0"/>
  </r>
  <r>
    <s v="AP-0471"/>
    <s v="VND-018"/>
    <s v="BuildFast Materials"/>
    <s v="Materials"/>
    <s v="West"/>
    <s v="Marco Diaz"/>
    <d v="2026-01-26T00:00:00"/>
    <d v="2026-03-12T00:00:00"/>
    <n v="45"/>
    <n v="41756.1"/>
    <n v="41756.1"/>
    <n v="0"/>
    <d v="2026-03-19T00:00:00"/>
    <x v="0"/>
    <s v="Wire"/>
    <n v="52"/>
    <n v="-7"/>
    <s v="No"/>
    <s v="Yes"/>
    <n v="1.4999999999999999E-2"/>
    <s v="No"/>
    <n v="0"/>
  </r>
  <r>
    <s v="AP-0472"/>
    <s v="VND-008"/>
    <s v="GreenEnergy Corp."/>
    <s v="Utilities"/>
    <s v="West"/>
    <s v="Pedro Alvarez"/>
    <d v="2025-07-23T00:00:00"/>
    <d v="2025-08-07T00:00:00"/>
    <n v="15"/>
    <n v="7182.1"/>
    <n v="7182.1"/>
    <n v="0"/>
    <d v="2025-08-15T00:00:00"/>
    <x v="0"/>
    <s v="Wire"/>
    <n v="23"/>
    <n v="-8"/>
    <s v="No"/>
    <s v="No"/>
    <n v="0"/>
    <s v="No"/>
    <n v="0"/>
  </r>
  <r>
    <s v="AP-0473"/>
    <s v="VND-022"/>
    <s v="Apex Consulting"/>
    <s v="Services"/>
    <s v="East"/>
    <s v="Laura Chen"/>
    <d v="2025-05-06T00:00:00"/>
    <d v="2025-05-21T00:00:00"/>
    <n v="15"/>
    <n v="12372.57"/>
    <n v="12372.57"/>
    <n v="0"/>
    <d v="2025-05-20T00:00:00"/>
    <x v="0"/>
    <s v="Wire"/>
    <n v="14"/>
    <n v="1"/>
    <s v="Yes"/>
    <s v="Yes"/>
    <n v="0.02"/>
    <s v="No"/>
    <n v="0"/>
  </r>
  <r>
    <s v="AP-0474"/>
    <s v="VND-002"/>
    <s v="TechCore Solutions"/>
    <s v="IT"/>
    <s v="South"/>
    <s v="Sofia Reyes"/>
    <d v="2025-11-29T00:00:00"/>
    <d v="2026-01-28T00:00:00"/>
    <n v="60"/>
    <n v="6130.08"/>
    <n v="6130.08"/>
    <n v="0"/>
    <d v="2026-01-24T00:00:00"/>
    <x v="0"/>
    <s v="Wire"/>
    <n v="56"/>
    <n v="4"/>
    <s v="Yes"/>
    <s v="No"/>
    <n v="0"/>
    <s v="No"/>
    <n v="0"/>
  </r>
  <r>
    <s v="AP-0475"/>
    <s v="VND-002"/>
    <s v="TechCore Solutions"/>
    <s v="IT"/>
    <s v="Central"/>
    <s v="Pedro Alvarez"/>
    <d v="2025-04-02T00:00:00"/>
    <d v="2025-06-01T00:00:00"/>
    <n v="60"/>
    <n v="23654.17"/>
    <n v="23654.17"/>
    <n v="0"/>
    <d v="2025-06-04T00:00:00"/>
    <x v="0"/>
    <s v="Wire"/>
    <n v="63"/>
    <n v="-3"/>
    <s v="No"/>
    <s v="Yes"/>
    <n v="0.01"/>
    <s v="No"/>
    <n v="0"/>
  </r>
  <r>
    <s v="AP-0476"/>
    <s v="VND-011"/>
    <s v="QuickFreight Inc."/>
    <s v="Logistics"/>
    <s v="North"/>
    <s v="Sofia Reyes"/>
    <d v="2025-04-20T00:00:00"/>
    <d v="2025-05-20T00:00:00"/>
    <n v="30"/>
    <n v="3390.72"/>
    <n v="0"/>
    <n v="3390.72"/>
    <m/>
    <x v="1"/>
    <s v="Check"/>
    <m/>
    <n v="-376"/>
    <s v="No"/>
    <s v="Yes"/>
    <n v="0.01"/>
    <s v="No"/>
    <n v="0"/>
  </r>
  <r>
    <s v="AP-0477"/>
    <s v="VND-021"/>
    <s v="PrimePack Logistics"/>
    <s v="Logistics"/>
    <s v="East"/>
    <s v="Pedro Alvarez"/>
    <d v="2026-01-22T00:00:00"/>
    <d v="2026-02-06T00:00:00"/>
    <n v="15"/>
    <n v="7805.18"/>
    <n v="4235.49"/>
    <n v="3569.69"/>
    <d v="2026-02-15T00:00:00"/>
    <x v="3"/>
    <s v="Wire"/>
    <n v="24"/>
    <n v="-9"/>
    <s v="No"/>
    <s v="Yes"/>
    <n v="0.02"/>
    <s v="No"/>
    <n v="0"/>
  </r>
  <r>
    <s v="AP-0478"/>
    <s v="VND-018"/>
    <s v="BuildFast Materials"/>
    <s v="Materials"/>
    <s v="East"/>
    <s v="Ana Torres"/>
    <d v="2025-07-11T00:00:00"/>
    <d v="2025-08-10T00:00:00"/>
    <n v="30"/>
    <n v="28093.79"/>
    <n v="28093.79"/>
    <n v="0"/>
    <d v="2025-08-17T00:00:00"/>
    <x v="0"/>
    <s v="Credit Card"/>
    <n v="37"/>
    <n v="-7"/>
    <s v="No"/>
    <s v="Yes"/>
    <n v="0.01"/>
    <s v="No"/>
    <n v="0"/>
  </r>
  <r>
    <s v="AP-0479"/>
    <s v="VND-018"/>
    <s v="BuildFast Materials"/>
    <s v="Materials"/>
    <s v="South"/>
    <s v="Sofia Reyes"/>
    <d v="2025-10-30T00:00:00"/>
    <d v="2026-01-28T00:00:00"/>
    <n v="90"/>
    <n v="41332.089999999997"/>
    <n v="41332.089999999997"/>
    <n v="0"/>
    <d v="2026-01-21T00:00:00"/>
    <x v="0"/>
    <s v="Wire"/>
    <n v="83"/>
    <n v="7"/>
    <s v="Yes"/>
    <s v="Yes"/>
    <n v="5.0000000000000001E-3"/>
    <s v="No"/>
    <n v="0"/>
  </r>
  <r>
    <s v="AP-0480"/>
    <s v="VND-025"/>
    <s v="RapidShip Co."/>
    <s v="Logistics"/>
    <s v="Central"/>
    <s v="Pedro Alvarez"/>
    <d v="2026-01-08T00:00:00"/>
    <d v="2026-01-23T00:00:00"/>
    <n v="15"/>
    <n v="15744.31"/>
    <n v="15744.31"/>
    <n v="0"/>
    <d v="2026-01-18T00:00:00"/>
    <x v="0"/>
    <s v="Wire"/>
    <n v="10"/>
    <n v="5"/>
    <s v="Yes"/>
    <s v="Yes"/>
    <n v="0.02"/>
    <s v="No"/>
    <n v="0"/>
  </r>
  <r>
    <s v="AP-0481"/>
    <s v="VND-013"/>
    <s v="SafetyFirst Supplies"/>
    <s v="Materials"/>
    <s v="South"/>
    <s v="Ana Torres"/>
    <d v="2025-10-17T00:00:00"/>
    <d v="2025-11-16T00:00:00"/>
    <n v="30"/>
    <n v="17484.8"/>
    <n v="17484.8"/>
    <n v="0"/>
    <d v="2025-11-08T00:00:00"/>
    <x v="0"/>
    <s v="Credit Card"/>
    <n v="22"/>
    <n v="8"/>
    <s v="Yes"/>
    <s v="Yes"/>
    <n v="0.01"/>
    <s v="No"/>
    <n v="0"/>
  </r>
  <r>
    <s v="AP-0482"/>
    <s v="VND-017"/>
    <s v="OfficePro Services"/>
    <s v="Services"/>
    <s v="North"/>
    <s v="Sofia Reyes"/>
    <d v="2025-02-02T00:00:00"/>
    <d v="2025-03-04T00:00:00"/>
    <n v="30"/>
    <n v="10476.92"/>
    <n v="10476.92"/>
    <n v="0"/>
    <d v="2025-02-19T00:00:00"/>
    <x v="0"/>
    <s v="Wire"/>
    <n v="17"/>
    <n v="13"/>
    <s v="Yes"/>
    <s v="Yes"/>
    <n v="0.01"/>
    <s v="No"/>
    <n v="0"/>
  </r>
  <r>
    <s v="AP-0483"/>
    <s v="VND-022"/>
    <s v="Apex Consulting"/>
    <s v="Services"/>
    <s v="West"/>
    <s v="Ana Torres"/>
    <d v="2026-01-11T00:00:00"/>
    <d v="2026-01-26T00:00:00"/>
    <n v="15"/>
    <n v="11166.74"/>
    <n v="11166.74"/>
    <n v="0"/>
    <d v="2026-01-20T00:00:00"/>
    <x v="0"/>
    <s v="Check"/>
    <n v="9"/>
    <n v="6"/>
    <s v="Yes"/>
    <s v="No"/>
    <n v="0"/>
    <s v="No"/>
    <n v="0"/>
  </r>
  <r>
    <s v="AP-0484"/>
    <s v="VND-007"/>
    <s v="ProStaff Services"/>
    <s v="Services"/>
    <s v="West"/>
    <s v="Sofia Reyes"/>
    <d v="2026-01-05T00:00:00"/>
    <d v="2026-01-20T00:00:00"/>
    <n v="15"/>
    <n v="23646.74"/>
    <n v="23646.74"/>
    <n v="0"/>
    <d v="2026-01-12T00:00:00"/>
    <x v="0"/>
    <s v="Credit Card"/>
    <n v="7"/>
    <n v="8"/>
    <s v="Yes"/>
    <s v="No"/>
    <n v="0"/>
    <s v="No"/>
    <n v="0"/>
  </r>
  <r>
    <s v="AP-0485"/>
    <s v="VND-020"/>
    <s v="TrustBuild Facilities"/>
    <s v="Facilities"/>
    <s v="East"/>
    <s v="Ana Torres"/>
    <d v="2025-11-08T00:00:00"/>
    <d v="2025-12-08T00:00:00"/>
    <n v="30"/>
    <n v="4571.87"/>
    <n v="4571.87"/>
    <n v="0"/>
    <d v="2025-12-17T00:00:00"/>
    <x v="0"/>
    <s v="ACH"/>
    <n v="39"/>
    <n v="-9"/>
    <s v="No"/>
    <s v="Yes"/>
    <n v="0.01"/>
    <s v="No"/>
    <n v="0"/>
  </r>
  <r>
    <s v="AP-0486"/>
    <s v="VND-004"/>
    <s v="BuildRight Materials"/>
    <s v="Materials"/>
    <s v="South"/>
    <s v="Ana Torres"/>
    <d v="2025-07-17T00:00:00"/>
    <d v="2025-08-16T00:00:00"/>
    <n v="30"/>
    <n v="27257.22"/>
    <n v="27257.22"/>
    <n v="0"/>
    <d v="2025-08-21T00:00:00"/>
    <x v="0"/>
    <s v="Credit Card"/>
    <n v="35"/>
    <n v="-5"/>
    <s v="No"/>
    <s v="Yes"/>
    <n v="0.01"/>
    <s v="No"/>
    <n v="0"/>
  </r>
  <r>
    <s v="AP-0487"/>
    <s v="VND-014"/>
    <s v="NetConnect Systems"/>
    <s v="IT"/>
    <s v="North"/>
    <s v="Ana Torres"/>
    <d v="2026-03-14T00:00:00"/>
    <d v="2026-06-12T00:00:00"/>
    <n v="90"/>
    <n v="71211.8"/>
    <n v="71211.8"/>
    <n v="0"/>
    <d v="2026-05-31T00:00:00"/>
    <x v="0"/>
    <s v="Check"/>
    <n v="78"/>
    <n v="12"/>
    <s v="Yes"/>
    <s v="Yes"/>
    <n v="5.0000000000000001E-3"/>
    <s v="No"/>
    <n v="0"/>
  </r>
  <r>
    <s v="AP-0488"/>
    <s v="VND-011"/>
    <s v="QuickFreight Inc."/>
    <s v="Logistics"/>
    <s v="South"/>
    <s v="Ana Torres"/>
    <d v="2025-11-19T00:00:00"/>
    <d v="2026-01-18T00:00:00"/>
    <n v="60"/>
    <n v="11451.55"/>
    <n v="5796.45"/>
    <n v="5655.1"/>
    <d v="2026-02-02T00:00:00"/>
    <x v="3"/>
    <s v="Credit Card"/>
    <n v="75"/>
    <n v="-15"/>
    <s v="No"/>
    <s v="No"/>
    <n v="0"/>
    <s v="No"/>
    <n v="0"/>
  </r>
  <r>
    <s v="AP-0489"/>
    <s v="VND-014"/>
    <s v="NetConnect Systems"/>
    <s v="IT"/>
    <s v="East"/>
    <s v="Ana Torres"/>
    <d v="2026-01-20T00:00:00"/>
    <d v="2026-02-19T00:00:00"/>
    <n v="30"/>
    <n v="62428.12"/>
    <n v="62428.12"/>
    <n v="0"/>
    <d v="2026-02-27T00:00:00"/>
    <x v="0"/>
    <s v="Wire"/>
    <n v="38"/>
    <n v="-8"/>
    <s v="No"/>
    <s v="No"/>
    <n v="0"/>
    <s v="No"/>
    <n v="0"/>
  </r>
  <r>
    <s v="AP-0490"/>
    <s v="VND-013"/>
    <s v="SafetyFirst Supplies"/>
    <s v="Materials"/>
    <s v="North"/>
    <s v="Sofia Reyes"/>
    <d v="2025-05-19T00:00:00"/>
    <d v="2025-06-03T00:00:00"/>
    <n v="15"/>
    <n v="49683.78"/>
    <n v="49683.78"/>
    <n v="0"/>
    <d v="2025-06-01T00:00:00"/>
    <x v="0"/>
    <s v="Check"/>
    <n v="13"/>
    <n v="2"/>
    <s v="Yes"/>
    <s v="Yes"/>
    <n v="0.02"/>
    <s v="No"/>
    <n v="0"/>
  </r>
  <r>
    <s v="AP-0491"/>
    <s v="VND-008"/>
    <s v="GreenEnergy Corp."/>
    <s v="Utilities"/>
    <s v="South"/>
    <s v="Laura Chen"/>
    <d v="2025-06-08T00:00:00"/>
    <d v="2025-07-23T00:00:00"/>
    <n v="45"/>
    <n v="1867.16"/>
    <n v="1867.16"/>
    <n v="0"/>
    <d v="2025-07-22T00:00:00"/>
    <x v="0"/>
    <s v="ACH"/>
    <n v="44"/>
    <n v="1"/>
    <s v="Yes"/>
    <s v="Yes"/>
    <n v="1.4999999999999999E-2"/>
    <s v="No"/>
    <n v="0"/>
  </r>
  <r>
    <s v="AP-0492"/>
    <s v="VND-008"/>
    <s v="GreenEnergy Corp."/>
    <s v="Utilities"/>
    <s v="South"/>
    <s v="Laura Chen"/>
    <d v="2026-02-14T00:00:00"/>
    <d v="2026-03-16T00:00:00"/>
    <n v="30"/>
    <n v="8751.44"/>
    <n v="8751.44"/>
    <n v="0"/>
    <d v="2026-04-01T00:00:00"/>
    <x v="0"/>
    <s v="Check"/>
    <n v="46"/>
    <n v="-16"/>
    <s v="No"/>
    <s v="Yes"/>
    <n v="0.01"/>
    <s v="No"/>
    <n v="0"/>
  </r>
  <r>
    <s v="AP-0493"/>
    <s v="VND-011"/>
    <s v="QuickFreight Inc."/>
    <s v="Logistics"/>
    <s v="West"/>
    <s v="Marco Diaz"/>
    <d v="2025-11-04T00:00:00"/>
    <d v="2025-12-04T00:00:00"/>
    <n v="30"/>
    <n v="1710.06"/>
    <n v="1710.06"/>
    <n v="0"/>
    <d v="2025-12-07T00:00:00"/>
    <x v="0"/>
    <s v="Credit Card"/>
    <n v="33"/>
    <n v="-3"/>
    <s v="No"/>
    <s v="No"/>
    <n v="0"/>
    <s v="No"/>
    <n v="0"/>
  </r>
  <r>
    <s v="AP-0494"/>
    <s v="VND-011"/>
    <s v="QuickFreight Inc."/>
    <s v="Logistics"/>
    <s v="East"/>
    <s v="Pedro Alvarez"/>
    <d v="2025-08-21T00:00:00"/>
    <d v="2025-09-20T00:00:00"/>
    <n v="30"/>
    <n v="15205.89"/>
    <n v="0"/>
    <n v="15205.89"/>
    <m/>
    <x v="1"/>
    <s v="Credit Card"/>
    <m/>
    <n v="-253"/>
    <s v="No"/>
    <s v="No"/>
    <n v="0"/>
    <s v="No"/>
    <n v="0"/>
  </r>
  <r>
    <s v="AP-0495"/>
    <s v="VND-021"/>
    <s v="PrimePack Logistics"/>
    <s v="Logistics"/>
    <s v="West"/>
    <s v="Sofia Reyes"/>
    <d v="2025-11-23T00:00:00"/>
    <d v="2025-12-08T00:00:00"/>
    <n v="15"/>
    <n v="11258.66"/>
    <n v="11258.66"/>
    <n v="0"/>
    <d v="2025-11-24T00:00:00"/>
    <x v="0"/>
    <s v="Check"/>
    <n v="1"/>
    <n v="14"/>
    <s v="Yes"/>
    <s v="Yes"/>
    <n v="0.02"/>
    <s v="Yes"/>
    <n v="225.17"/>
  </r>
  <r>
    <s v="AP-0496"/>
    <s v="VND-008"/>
    <s v="GreenEnergy Corp."/>
    <s v="Utilities"/>
    <s v="South"/>
    <s v="Sofia Reyes"/>
    <d v="2025-04-03T00:00:00"/>
    <d v="2025-07-02T00:00:00"/>
    <n v="90"/>
    <n v="3720.24"/>
    <n v="3720.24"/>
    <n v="0"/>
    <d v="2025-07-04T00:00:00"/>
    <x v="0"/>
    <s v="Credit Card"/>
    <n v="92"/>
    <n v="-2"/>
    <s v="No"/>
    <s v="Yes"/>
    <n v="5.0000000000000001E-3"/>
    <s v="No"/>
    <n v="0"/>
  </r>
  <r>
    <s v="AP-0497"/>
    <s v="VND-019"/>
    <s v="SkyNet IT Solutions"/>
    <s v="IT"/>
    <s v="North"/>
    <s v="Ana Torres"/>
    <d v="2025-03-29T00:00:00"/>
    <d v="2025-05-13T00:00:00"/>
    <n v="45"/>
    <n v="34889.53"/>
    <n v="34889.53"/>
    <n v="0"/>
    <d v="2025-05-15T00:00:00"/>
    <x v="0"/>
    <s v="Credit Card"/>
    <n v="47"/>
    <n v="-2"/>
    <s v="No"/>
    <s v="Yes"/>
    <n v="1.4999999999999999E-2"/>
    <s v="No"/>
    <n v="0"/>
  </r>
  <r>
    <s v="AP-0498"/>
    <s v="VND-025"/>
    <s v="RapidShip Co."/>
    <s v="Logistics"/>
    <s v="South"/>
    <s v="Pedro Alvarez"/>
    <d v="2026-02-09T00:00:00"/>
    <d v="2026-05-10T00:00:00"/>
    <n v="90"/>
    <n v="13392.72"/>
    <n v="13392.72"/>
    <n v="0"/>
    <d v="2026-05-10T00:00:00"/>
    <x v="0"/>
    <s v="Wire"/>
    <n v="90"/>
    <n v="0"/>
    <s v="Yes"/>
    <s v="Yes"/>
    <n v="5.0000000000000001E-3"/>
    <s v="No"/>
    <n v="0"/>
  </r>
  <r>
    <s v="AP-0499"/>
    <s v="VND-025"/>
    <s v="RapidShip Co."/>
    <s v="Logistics"/>
    <s v="West"/>
    <s v="Laura Chen"/>
    <d v="2026-02-28T00:00:00"/>
    <d v="2026-03-30T00:00:00"/>
    <n v="30"/>
    <n v="9047.27"/>
    <n v="9047.27"/>
    <n v="0"/>
    <d v="2026-04-02T00:00:00"/>
    <x v="0"/>
    <s v="ACH"/>
    <n v="33"/>
    <n v="-3"/>
    <s v="No"/>
    <s v="Yes"/>
    <n v="0.01"/>
    <s v="No"/>
    <n v="0"/>
  </r>
  <r>
    <s v="AP-0500"/>
    <s v="VND-020"/>
    <s v="TrustBuild Facilities"/>
    <s v="Facilities"/>
    <s v="North"/>
    <s v="Laura Chen"/>
    <d v="2026-03-29T00:00:00"/>
    <d v="2026-05-28T00:00:00"/>
    <n v="60"/>
    <n v="22565.01"/>
    <n v="0"/>
    <n v="22565.01"/>
    <m/>
    <x v="2"/>
    <s v="Wire"/>
    <m/>
    <m/>
    <m/>
    <s v="Yes"/>
    <n v="0.01"/>
    <s v="No"/>
    <n v="0"/>
  </r>
  <r>
    <s v="AP-0501"/>
    <s v="VND-022"/>
    <s v="Apex Consulting"/>
    <s v="Services"/>
    <s v="East"/>
    <s v="Marco Diaz"/>
    <d v="2025-02-25T00:00:00"/>
    <d v="2025-03-27T00:00:00"/>
    <n v="30"/>
    <n v="11992.79"/>
    <n v="11992.79"/>
    <n v="0"/>
    <d v="2025-03-30T00:00:00"/>
    <x v="0"/>
    <s v="ACH"/>
    <n v="33"/>
    <n v="-3"/>
    <s v="No"/>
    <s v="Yes"/>
    <n v="0.01"/>
    <s v="No"/>
    <n v="0"/>
  </r>
  <r>
    <s v="AP-0502"/>
    <s v="VND-011"/>
    <s v="QuickFreight Inc."/>
    <s v="Logistics"/>
    <s v="North"/>
    <s v="Laura Chen"/>
    <d v="2025-01-24T00:00:00"/>
    <d v="2025-04-24T00:00:00"/>
    <n v="90"/>
    <n v="7305.66"/>
    <n v="7305.66"/>
    <n v="0"/>
    <d v="2025-04-19T00:00:00"/>
    <x v="0"/>
    <s v="Credit Card"/>
    <n v="85"/>
    <n v="5"/>
    <s v="Yes"/>
    <s v="No"/>
    <n v="0"/>
    <s v="No"/>
    <n v="0"/>
  </r>
  <r>
    <s v="AP-0503"/>
    <s v="VND-018"/>
    <s v="BuildFast Materials"/>
    <s v="Materials"/>
    <s v="Central"/>
    <s v="Laura Chen"/>
    <d v="2025-01-19T00:00:00"/>
    <d v="2025-02-18T00:00:00"/>
    <n v="30"/>
    <n v="20077.12"/>
    <n v="20077.12"/>
    <n v="0"/>
    <d v="2025-02-18T00:00:00"/>
    <x v="0"/>
    <s v="Credit Card"/>
    <n v="30"/>
    <n v="0"/>
    <s v="Yes"/>
    <s v="No"/>
    <n v="0"/>
    <s v="No"/>
    <n v="0"/>
  </r>
  <r>
    <s v="AP-0504"/>
    <s v="VND-007"/>
    <s v="ProStaff Services"/>
    <s v="Services"/>
    <s v="Central"/>
    <s v="Laura Chen"/>
    <d v="2025-01-09T00:00:00"/>
    <d v="2025-04-09T00:00:00"/>
    <n v="90"/>
    <n v="5464.12"/>
    <n v="5464.12"/>
    <n v="0"/>
    <d v="2025-04-11T00:00:00"/>
    <x v="0"/>
    <s v="ACH"/>
    <n v="92"/>
    <n v="-2"/>
    <s v="No"/>
    <s v="Yes"/>
    <n v="5.0000000000000001E-3"/>
    <s v="No"/>
    <n v="0"/>
  </r>
  <r>
    <s v="AP-0505"/>
    <s v="VND-022"/>
    <s v="Apex Consulting"/>
    <s v="Services"/>
    <s v="East"/>
    <s v="Sofia Reyes"/>
    <d v="2026-01-31T00:00:00"/>
    <d v="2026-03-17T00:00:00"/>
    <n v="45"/>
    <n v="11553.24"/>
    <n v="0"/>
    <n v="11553.24"/>
    <m/>
    <x v="1"/>
    <s v="ACH"/>
    <m/>
    <n v="-75"/>
    <s v="No"/>
    <s v="Yes"/>
    <n v="1.4999999999999999E-2"/>
    <s v="No"/>
    <n v="0"/>
  </r>
  <r>
    <s v="AP-0506"/>
    <s v="VND-004"/>
    <s v="BuildRight Materials"/>
    <s v="Materials"/>
    <s v="East"/>
    <s v="Pedro Alvarez"/>
    <d v="2025-07-23T00:00:00"/>
    <d v="2025-08-22T00:00:00"/>
    <n v="30"/>
    <n v="26031.24"/>
    <n v="0"/>
    <n v="26031.24"/>
    <m/>
    <x v="1"/>
    <s v="ACH"/>
    <m/>
    <n v="-282"/>
    <s v="No"/>
    <s v="Yes"/>
    <n v="0.01"/>
    <s v="No"/>
    <n v="0"/>
  </r>
  <r>
    <s v="AP-0507"/>
    <s v="VND-001"/>
    <s v="Acme Supplies Co."/>
    <s v="Materials"/>
    <s v="North"/>
    <s v="Marco Diaz"/>
    <d v="2026-05-17T00:00:00"/>
    <d v="2026-07-16T00:00:00"/>
    <n v="60"/>
    <n v="20883.189999999999"/>
    <n v="0"/>
    <n v="20883.189999999999"/>
    <m/>
    <x v="2"/>
    <s v="Check"/>
    <m/>
    <m/>
    <m/>
    <s v="Yes"/>
    <n v="0.01"/>
    <s v="No"/>
    <n v="0"/>
  </r>
  <r>
    <s v="AP-0508"/>
    <s v="VND-021"/>
    <s v="PrimePack Logistics"/>
    <s v="Logistics"/>
    <s v="East"/>
    <s v="Marco Diaz"/>
    <d v="2025-09-21T00:00:00"/>
    <d v="2025-10-06T00:00:00"/>
    <n v="15"/>
    <n v="17694.87"/>
    <n v="5569.16"/>
    <n v="12125.71"/>
    <d v="2025-10-18T00:00:00"/>
    <x v="3"/>
    <s v="Check"/>
    <n v="27"/>
    <n v="-12"/>
    <s v="No"/>
    <s v="No"/>
    <n v="0"/>
    <s v="No"/>
    <n v="0"/>
  </r>
  <r>
    <s v="AP-0509"/>
    <s v="VND-009"/>
    <s v="MetalWorks Ltd."/>
    <s v="Materials"/>
    <s v="South"/>
    <s v="Marco Diaz"/>
    <d v="2025-05-21T00:00:00"/>
    <d v="2025-07-20T00:00:00"/>
    <n v="60"/>
    <n v="6214.16"/>
    <n v="0"/>
    <n v="6214.16"/>
    <m/>
    <x v="1"/>
    <s v="Check"/>
    <m/>
    <n v="-315"/>
    <s v="No"/>
    <s v="Yes"/>
    <n v="0.01"/>
    <s v="No"/>
    <n v="0"/>
  </r>
  <r>
    <s v="AP-0510"/>
    <s v="VND-020"/>
    <s v="TrustBuild Facilities"/>
    <s v="Facilities"/>
    <s v="South"/>
    <s v="Pedro Alvarez"/>
    <d v="2026-03-13T00:00:00"/>
    <d v="2026-04-12T00:00:00"/>
    <n v="30"/>
    <n v="34027.730000000003"/>
    <n v="34027.730000000003"/>
    <n v="0"/>
    <d v="2026-04-13T00:00:00"/>
    <x v="0"/>
    <s v="Wire"/>
    <n v="31"/>
    <n v="-1"/>
    <s v="No"/>
    <s v="No"/>
    <n v="0"/>
    <s v="No"/>
    <n v="0"/>
  </r>
  <r>
    <s v="AP-0511"/>
    <s v="VND-018"/>
    <s v="BuildFast Materials"/>
    <s v="Materials"/>
    <s v="South"/>
    <s v="Marco Diaz"/>
    <d v="2026-03-17T00:00:00"/>
    <d v="2026-04-16T00:00:00"/>
    <n v="30"/>
    <n v="49792.92"/>
    <n v="49792.92"/>
    <n v="0"/>
    <d v="2026-04-20T00:00:00"/>
    <x v="0"/>
    <s v="Check"/>
    <n v="34"/>
    <n v="-4"/>
    <s v="No"/>
    <s v="No"/>
    <n v="0"/>
    <s v="No"/>
    <n v="0"/>
  </r>
  <r>
    <s v="AP-0512"/>
    <s v="VND-006"/>
    <s v="PowerGrid Utilities"/>
    <s v="Utilities"/>
    <s v="East"/>
    <s v="Sofia Reyes"/>
    <d v="2025-11-22T00:00:00"/>
    <d v="2025-12-22T00:00:00"/>
    <n v="30"/>
    <n v="12673.08"/>
    <n v="12673.08"/>
    <n v="0"/>
    <d v="2025-12-14T00:00:00"/>
    <x v="0"/>
    <s v="ACH"/>
    <n v="22"/>
    <n v="8"/>
    <s v="Yes"/>
    <s v="Yes"/>
    <n v="0.01"/>
    <s v="No"/>
    <n v="0"/>
  </r>
  <r>
    <s v="AP-0513"/>
    <s v="VND-014"/>
    <s v="NetConnect Systems"/>
    <s v="IT"/>
    <s v="East"/>
    <s v="Pedro Alvarez"/>
    <d v="2025-07-12T00:00:00"/>
    <d v="2025-08-11T00:00:00"/>
    <n v="30"/>
    <n v="13007.86"/>
    <n v="13007.86"/>
    <n v="0"/>
    <d v="2025-08-30T00:00:00"/>
    <x v="0"/>
    <s v="Check"/>
    <n v="49"/>
    <n v="-19"/>
    <s v="No"/>
    <s v="Yes"/>
    <n v="0.01"/>
    <s v="No"/>
    <n v="0"/>
  </r>
  <r>
    <s v="AP-0514"/>
    <s v="VND-020"/>
    <s v="TrustBuild Facilities"/>
    <s v="Facilities"/>
    <s v="Central"/>
    <s v="Laura Chen"/>
    <d v="2025-08-25T00:00:00"/>
    <d v="2025-09-24T00:00:00"/>
    <n v="30"/>
    <n v="24683.47"/>
    <n v="24683.47"/>
    <n v="0"/>
    <d v="2025-09-15T00:00:00"/>
    <x v="0"/>
    <s v="Wire"/>
    <n v="21"/>
    <n v="9"/>
    <s v="Yes"/>
    <s v="Yes"/>
    <n v="0.01"/>
    <s v="No"/>
    <n v="0"/>
  </r>
  <r>
    <s v="AP-0515"/>
    <s v="VND-020"/>
    <s v="TrustBuild Facilities"/>
    <s v="Facilities"/>
    <s v="West"/>
    <s v="Laura Chen"/>
    <d v="2026-05-19T00:00:00"/>
    <d v="2026-07-18T00:00:00"/>
    <n v="60"/>
    <n v="17636.95"/>
    <n v="17636.95"/>
    <n v="0"/>
    <d v="2026-05-31T00:00:00"/>
    <x v="0"/>
    <s v="Wire"/>
    <n v="12"/>
    <n v="48"/>
    <s v="Yes"/>
    <s v="Yes"/>
    <n v="0.01"/>
    <s v="Yes"/>
    <n v="176.37"/>
  </r>
  <r>
    <s v="AP-0516"/>
    <s v="VND-001"/>
    <s v="Acme Supplies Co."/>
    <s v="Materials"/>
    <s v="East"/>
    <s v="Pedro Alvarez"/>
    <d v="2025-07-29T00:00:00"/>
    <d v="2025-08-28T00:00:00"/>
    <n v="30"/>
    <n v="5174.54"/>
    <n v="0"/>
    <n v="5174.54"/>
    <m/>
    <x v="1"/>
    <s v="Wire"/>
    <m/>
    <n v="-276"/>
    <s v="No"/>
    <s v="No"/>
    <n v="0"/>
    <s v="No"/>
    <n v="0"/>
  </r>
  <r>
    <s v="AP-0517"/>
    <s v="VND-020"/>
    <s v="TrustBuild Facilities"/>
    <s v="Facilities"/>
    <s v="West"/>
    <s v="Laura Chen"/>
    <d v="2026-03-14T00:00:00"/>
    <d v="2026-04-13T00:00:00"/>
    <n v="30"/>
    <n v="15360.6"/>
    <n v="0"/>
    <n v="15360.6"/>
    <m/>
    <x v="2"/>
    <s v="Credit Card"/>
    <m/>
    <m/>
    <m/>
    <s v="Yes"/>
    <n v="0.01"/>
    <s v="No"/>
    <n v="0"/>
  </r>
  <r>
    <s v="AP-0518"/>
    <s v="VND-011"/>
    <s v="QuickFreight Inc."/>
    <s v="Logistics"/>
    <s v="West"/>
    <s v="Ana Torres"/>
    <d v="2026-04-08T00:00:00"/>
    <d v="2026-05-08T00:00:00"/>
    <n v="30"/>
    <n v="9681.11"/>
    <n v="0"/>
    <n v="9681.11"/>
    <m/>
    <x v="2"/>
    <s v="ACH"/>
    <m/>
    <m/>
    <m/>
    <s v="No"/>
    <n v="0"/>
    <s v="No"/>
    <n v="0"/>
  </r>
  <r>
    <s v="AP-0519"/>
    <s v="VND-018"/>
    <s v="BuildFast Materials"/>
    <s v="Materials"/>
    <s v="West"/>
    <s v="Sofia Reyes"/>
    <d v="2025-07-14T00:00:00"/>
    <d v="2025-07-29T00:00:00"/>
    <n v="15"/>
    <n v="15976.61"/>
    <n v="15976.61"/>
    <n v="0"/>
    <d v="2025-08-02T00:00:00"/>
    <x v="0"/>
    <s v="Credit Card"/>
    <n v="19"/>
    <n v="-4"/>
    <s v="No"/>
    <s v="Yes"/>
    <n v="0.02"/>
    <s v="No"/>
    <n v="0"/>
  </r>
  <r>
    <s v="AP-0520"/>
    <s v="VND-014"/>
    <s v="NetConnect Systems"/>
    <s v="IT"/>
    <s v="East"/>
    <s v="Ana Torres"/>
    <d v="2026-04-20T00:00:00"/>
    <d v="2026-05-20T00:00:00"/>
    <n v="30"/>
    <n v="67242.009999999995"/>
    <n v="0"/>
    <n v="67242.009999999995"/>
    <m/>
    <x v="2"/>
    <s v="ACH"/>
    <m/>
    <m/>
    <m/>
    <s v="Yes"/>
    <n v="0.01"/>
    <s v="No"/>
    <n v="0"/>
  </r>
  <r>
    <s v="AP-0521"/>
    <s v="VND-025"/>
    <s v="RapidShip Co."/>
    <s v="Logistics"/>
    <s v="Central"/>
    <s v="Ana Torres"/>
    <d v="2026-02-28T00:00:00"/>
    <d v="2026-04-29T00:00:00"/>
    <n v="60"/>
    <n v="7145.76"/>
    <n v="7145.76"/>
    <n v="0"/>
    <d v="2026-04-22T00:00:00"/>
    <x v="0"/>
    <s v="Wire"/>
    <n v="53"/>
    <n v="7"/>
    <s v="Yes"/>
    <s v="Yes"/>
    <n v="0.01"/>
    <s v="No"/>
    <n v="0"/>
  </r>
  <r>
    <s v="AP-0522"/>
    <s v="VND-007"/>
    <s v="ProStaff Services"/>
    <s v="Services"/>
    <s v="West"/>
    <s v="Sofia Reyes"/>
    <d v="2025-06-17T00:00:00"/>
    <d v="2025-08-16T00:00:00"/>
    <n v="60"/>
    <n v="29579.86"/>
    <n v="29579.86"/>
    <n v="0"/>
    <d v="2025-08-09T00:00:00"/>
    <x v="0"/>
    <s v="Check"/>
    <n v="53"/>
    <n v="7"/>
    <s v="Yes"/>
    <s v="Yes"/>
    <n v="0.01"/>
    <s v="No"/>
    <n v="0"/>
  </r>
  <r>
    <s v="AP-0523"/>
    <s v="VND-017"/>
    <s v="OfficePro Services"/>
    <s v="Services"/>
    <s v="West"/>
    <s v="Ana Torres"/>
    <d v="2026-01-25T00:00:00"/>
    <d v="2026-03-26T00:00:00"/>
    <n v="60"/>
    <n v="4624.53"/>
    <n v="4624.53"/>
    <n v="0"/>
    <d v="2026-03-28T00:00:00"/>
    <x v="0"/>
    <s v="Wire"/>
    <n v="62"/>
    <n v="-2"/>
    <s v="No"/>
    <s v="Yes"/>
    <n v="0.01"/>
    <s v="No"/>
    <n v="0"/>
  </r>
  <r>
    <s v="AP-0524"/>
    <s v="VND-022"/>
    <s v="Apex Consulting"/>
    <s v="Services"/>
    <s v="South"/>
    <s v="Marco Diaz"/>
    <d v="2025-02-22T00:00:00"/>
    <d v="2025-03-24T00:00:00"/>
    <n v="30"/>
    <n v="18524.52"/>
    <n v="18524.52"/>
    <n v="0"/>
    <d v="2025-03-14T00:00:00"/>
    <x v="0"/>
    <s v="Wire"/>
    <n v="20"/>
    <n v="10"/>
    <s v="Yes"/>
    <s v="Yes"/>
    <n v="0.01"/>
    <s v="No"/>
    <n v="0"/>
  </r>
  <r>
    <s v="AP-0525"/>
    <s v="VND-004"/>
    <s v="BuildRight Materials"/>
    <s v="Materials"/>
    <s v="South"/>
    <s v="Marco Diaz"/>
    <d v="2025-01-13T00:00:00"/>
    <d v="2025-02-27T00:00:00"/>
    <n v="45"/>
    <n v="24014.85"/>
    <n v="24014.85"/>
    <n v="0"/>
    <d v="2025-03-02T00:00:00"/>
    <x v="0"/>
    <s v="ACH"/>
    <n v="48"/>
    <n v="-3"/>
    <s v="No"/>
    <s v="No"/>
    <n v="0"/>
    <s v="No"/>
    <n v="0"/>
  </r>
  <r>
    <s v="AP-0526"/>
    <s v="VND-001"/>
    <s v="Acme Supplies Co."/>
    <s v="Materials"/>
    <s v="Central"/>
    <s v="Pedro Alvarez"/>
    <d v="2026-05-03T00:00:00"/>
    <d v="2026-06-02T00:00:00"/>
    <n v="30"/>
    <n v="23779.45"/>
    <n v="0"/>
    <n v="23779.45"/>
    <m/>
    <x v="2"/>
    <s v="Wire"/>
    <m/>
    <m/>
    <m/>
    <s v="Yes"/>
    <n v="0.01"/>
    <s v="No"/>
    <n v="0"/>
  </r>
  <r>
    <s v="AP-0527"/>
    <s v="VND-018"/>
    <s v="BuildFast Materials"/>
    <s v="Materials"/>
    <s v="East"/>
    <s v="Ana Torres"/>
    <d v="2025-07-09T00:00:00"/>
    <d v="2025-07-24T00:00:00"/>
    <n v="15"/>
    <n v="9116.2999999999993"/>
    <n v="9116.2999999999993"/>
    <n v="0"/>
    <d v="2025-07-31T00:00:00"/>
    <x v="0"/>
    <s v="Wire"/>
    <n v="22"/>
    <n v="-7"/>
    <s v="No"/>
    <s v="Yes"/>
    <n v="0.02"/>
    <s v="No"/>
    <n v="0"/>
  </r>
  <r>
    <s v="AP-0528"/>
    <s v="VND-020"/>
    <s v="TrustBuild Facilities"/>
    <s v="Facilities"/>
    <s v="East"/>
    <s v="Laura Chen"/>
    <d v="2025-04-22T00:00:00"/>
    <d v="2025-05-07T00:00:00"/>
    <n v="15"/>
    <n v="15759.58"/>
    <n v="15759.58"/>
    <n v="0"/>
    <d v="2025-04-28T00:00:00"/>
    <x v="0"/>
    <s v="ACH"/>
    <n v="6"/>
    <n v="9"/>
    <s v="Yes"/>
    <s v="Yes"/>
    <n v="0.02"/>
    <s v="No"/>
    <n v="0"/>
  </r>
  <r>
    <s v="AP-0529"/>
    <s v="VND-020"/>
    <s v="TrustBuild Facilities"/>
    <s v="Facilities"/>
    <s v="Central"/>
    <s v="Ana Torres"/>
    <d v="2026-01-04T00:00:00"/>
    <d v="2026-04-04T00:00:00"/>
    <n v="90"/>
    <n v="32738.83"/>
    <n v="0"/>
    <n v="32738.83"/>
    <m/>
    <x v="2"/>
    <s v="Wire"/>
    <m/>
    <m/>
    <m/>
    <s v="Yes"/>
    <n v="5.0000000000000001E-3"/>
    <s v="No"/>
    <n v="0"/>
  </r>
  <r>
    <s v="AP-0530"/>
    <s v="VND-013"/>
    <s v="SafetyFirst Supplies"/>
    <s v="Materials"/>
    <s v="North"/>
    <s v="Pedro Alvarez"/>
    <d v="2026-04-28T00:00:00"/>
    <d v="2026-06-12T00:00:00"/>
    <n v="45"/>
    <n v="8458.2000000000007"/>
    <n v="8458.2000000000007"/>
    <n v="0"/>
    <d v="2026-05-31T00:00:00"/>
    <x v="0"/>
    <s v="ACH"/>
    <n v="33"/>
    <n v="12"/>
    <s v="Yes"/>
    <s v="Yes"/>
    <n v="1.4999999999999999E-2"/>
    <s v="No"/>
    <n v="0"/>
  </r>
  <r>
    <s v="AP-0531"/>
    <s v="VND-020"/>
    <s v="TrustBuild Facilities"/>
    <s v="Facilities"/>
    <s v="North"/>
    <s v="Sofia Reyes"/>
    <d v="2025-10-22T00:00:00"/>
    <d v="2026-01-20T00:00:00"/>
    <n v="90"/>
    <n v="16092.77"/>
    <n v="16092.77"/>
    <n v="0"/>
    <d v="2026-01-19T00:00:00"/>
    <x v="0"/>
    <s v="ACH"/>
    <n v="89"/>
    <n v="1"/>
    <s v="Yes"/>
    <s v="No"/>
    <n v="0"/>
    <s v="No"/>
    <n v="0"/>
  </r>
  <r>
    <s v="AP-0532"/>
    <s v="VND-019"/>
    <s v="SkyNet IT Solutions"/>
    <s v="IT"/>
    <s v="Central"/>
    <s v="Laura Chen"/>
    <d v="2026-05-25T00:00:00"/>
    <d v="2026-08-23T00:00:00"/>
    <n v="90"/>
    <n v="41937.83"/>
    <n v="41937.83"/>
    <n v="0"/>
    <d v="2026-05-31T00:00:00"/>
    <x v="0"/>
    <s v="Wire"/>
    <n v="6"/>
    <n v="84"/>
    <s v="Yes"/>
    <s v="Yes"/>
    <n v="5.0000000000000001E-3"/>
    <s v="Yes"/>
    <n v="209.69"/>
  </r>
  <r>
    <s v="AP-0533"/>
    <s v="VND-001"/>
    <s v="Acme Supplies Co."/>
    <s v="Materials"/>
    <s v="West"/>
    <s v="Sofia Reyes"/>
    <d v="2026-02-28T00:00:00"/>
    <d v="2026-04-29T00:00:00"/>
    <n v="60"/>
    <n v="4183.63"/>
    <n v="0"/>
    <n v="4183.63"/>
    <m/>
    <x v="2"/>
    <s v="Wire"/>
    <m/>
    <m/>
    <m/>
    <s v="Yes"/>
    <n v="0.01"/>
    <s v="No"/>
    <n v="0"/>
  </r>
  <r>
    <s v="AP-0534"/>
    <s v="VND-021"/>
    <s v="PrimePack Logistics"/>
    <s v="Logistics"/>
    <s v="South"/>
    <s v="Laura Chen"/>
    <d v="2025-11-12T00:00:00"/>
    <d v="2025-12-12T00:00:00"/>
    <n v="30"/>
    <n v="6705.4"/>
    <n v="6705.4"/>
    <n v="0"/>
    <d v="2025-12-12T00:00:00"/>
    <x v="0"/>
    <s v="Check"/>
    <n v="30"/>
    <n v="0"/>
    <s v="Yes"/>
    <s v="Yes"/>
    <n v="0.01"/>
    <s v="No"/>
    <n v="0"/>
  </r>
  <r>
    <s v="AP-0535"/>
    <s v="VND-004"/>
    <s v="BuildRight Materials"/>
    <s v="Materials"/>
    <s v="East"/>
    <s v="Laura Chen"/>
    <d v="2025-06-29T00:00:00"/>
    <d v="2025-07-14T00:00:00"/>
    <n v="15"/>
    <n v="11312.75"/>
    <n v="0"/>
    <n v="11312.75"/>
    <m/>
    <x v="1"/>
    <s v="Credit Card"/>
    <m/>
    <n v="-321"/>
    <s v="No"/>
    <s v="No"/>
    <n v="0"/>
    <s v="No"/>
    <n v="0"/>
  </r>
  <r>
    <s v="AP-0536"/>
    <s v="VND-016"/>
    <s v="CleanWater Utilities"/>
    <s v="Utilities"/>
    <s v="West"/>
    <s v="Sofia Reyes"/>
    <d v="2025-06-09T00:00:00"/>
    <d v="2025-09-07T00:00:00"/>
    <n v="90"/>
    <n v="9594.41"/>
    <n v="9594.41"/>
    <n v="0"/>
    <d v="2025-08-31T00:00:00"/>
    <x v="0"/>
    <s v="Wire"/>
    <n v="83"/>
    <n v="7"/>
    <s v="Yes"/>
    <s v="No"/>
    <n v="0"/>
    <s v="No"/>
    <n v="0"/>
  </r>
  <r>
    <s v="AP-0537"/>
    <s v="VND-014"/>
    <s v="NetConnect Systems"/>
    <s v="IT"/>
    <s v="North"/>
    <s v="Ana Torres"/>
    <d v="2025-01-20T00:00:00"/>
    <d v="2025-03-21T00:00:00"/>
    <n v="60"/>
    <n v="20619.689999999999"/>
    <n v="15341.35"/>
    <n v="5278.34"/>
    <d v="2025-03-27T00:00:00"/>
    <x v="3"/>
    <s v="Check"/>
    <n v="66"/>
    <n v="-6"/>
    <s v="No"/>
    <s v="Yes"/>
    <n v="0.01"/>
    <s v="No"/>
    <n v="0"/>
  </r>
  <r>
    <s v="AP-0538"/>
    <s v="VND-003"/>
    <s v="FastShip Logistics"/>
    <s v="Logistics"/>
    <s v="South"/>
    <s v="Laura Chen"/>
    <d v="2026-01-20T00:00:00"/>
    <d v="2026-03-21T00:00:00"/>
    <n v="60"/>
    <n v="12903.71"/>
    <n v="12903.71"/>
    <n v="0"/>
    <d v="2026-04-02T00:00:00"/>
    <x v="0"/>
    <s v="ACH"/>
    <n v="72"/>
    <n v="-12"/>
    <s v="No"/>
    <s v="No"/>
    <n v="0"/>
    <s v="No"/>
    <n v="0"/>
  </r>
  <r>
    <s v="AP-0539"/>
    <s v="VND-013"/>
    <s v="SafetyFirst Supplies"/>
    <s v="Materials"/>
    <s v="South"/>
    <s v="Ana Torres"/>
    <d v="2025-11-19T00:00:00"/>
    <d v="2026-01-03T00:00:00"/>
    <n v="45"/>
    <n v="36072.32"/>
    <n v="36072.32"/>
    <n v="0"/>
    <d v="2026-01-08T00:00:00"/>
    <x v="0"/>
    <s v="ACH"/>
    <n v="50"/>
    <n v="-5"/>
    <s v="No"/>
    <s v="Yes"/>
    <n v="1.4999999999999999E-2"/>
    <s v="No"/>
    <n v="0"/>
  </r>
  <r>
    <s v="AP-0540"/>
    <s v="VND-010"/>
    <s v="DataBridge IT"/>
    <s v="IT"/>
    <s v="South"/>
    <s v="Ana Torres"/>
    <d v="2025-04-25T00:00:00"/>
    <d v="2025-05-25T00:00:00"/>
    <n v="30"/>
    <n v="33066.18"/>
    <n v="33066.18"/>
    <n v="0"/>
    <d v="2025-05-20T00:00:00"/>
    <x v="0"/>
    <s v="Check"/>
    <n v="25"/>
    <n v="5"/>
    <s v="Yes"/>
    <s v="Yes"/>
    <n v="0.01"/>
    <s v="No"/>
    <n v="0"/>
  </r>
  <r>
    <s v="AP-0541"/>
    <s v="VND-003"/>
    <s v="FastShip Logistics"/>
    <s v="Logistics"/>
    <s v="West"/>
    <s v="Ana Torres"/>
    <d v="2026-05-28T00:00:00"/>
    <d v="2026-08-26T00:00:00"/>
    <n v="90"/>
    <n v="3927.48"/>
    <n v="3927.48"/>
    <n v="0"/>
    <d v="2026-05-31T00:00:00"/>
    <x v="0"/>
    <s v="ACH"/>
    <n v="3"/>
    <n v="87"/>
    <s v="Yes"/>
    <s v="Yes"/>
    <n v="5.0000000000000001E-3"/>
    <s v="Yes"/>
    <n v="19.64"/>
  </r>
  <r>
    <s v="AP-0542"/>
    <s v="VND-025"/>
    <s v="RapidShip Co."/>
    <s v="Logistics"/>
    <s v="North"/>
    <s v="Ana Torres"/>
    <d v="2025-02-07T00:00:00"/>
    <d v="2025-03-09T00:00:00"/>
    <n v="30"/>
    <n v="9728"/>
    <n v="9728"/>
    <n v="0"/>
    <d v="2025-03-15T00:00:00"/>
    <x v="0"/>
    <s v="Wire"/>
    <n v="36"/>
    <n v="-6"/>
    <s v="No"/>
    <s v="No"/>
    <n v="0"/>
    <s v="No"/>
    <n v="0"/>
  </r>
  <r>
    <s v="AP-0543"/>
    <s v="VND-001"/>
    <s v="Acme Supplies Co."/>
    <s v="Materials"/>
    <s v="East"/>
    <s v="Sofia Reyes"/>
    <d v="2026-04-24T00:00:00"/>
    <d v="2026-06-23T00:00:00"/>
    <n v="60"/>
    <n v="44680.92"/>
    <n v="44680.92"/>
    <n v="0"/>
    <d v="2026-05-31T00:00:00"/>
    <x v="0"/>
    <s v="ACH"/>
    <n v="37"/>
    <n v="23"/>
    <s v="Yes"/>
    <s v="Yes"/>
    <n v="0.01"/>
    <s v="No"/>
    <n v="0"/>
  </r>
  <r>
    <s v="AP-0544"/>
    <s v="VND-021"/>
    <s v="PrimePack Logistics"/>
    <s v="Logistics"/>
    <s v="South"/>
    <s v="Laura Chen"/>
    <d v="2025-10-21T00:00:00"/>
    <d v="2025-11-20T00:00:00"/>
    <n v="30"/>
    <n v="6256.34"/>
    <n v="6256.34"/>
    <n v="0"/>
    <d v="2025-11-21T00:00:00"/>
    <x v="0"/>
    <s v="Wire"/>
    <n v="31"/>
    <n v="-1"/>
    <s v="No"/>
    <s v="Yes"/>
    <n v="0.01"/>
    <s v="No"/>
    <n v="0"/>
  </r>
  <r>
    <s v="AP-0545"/>
    <s v="VND-004"/>
    <s v="BuildRight Materials"/>
    <s v="Materials"/>
    <s v="East"/>
    <s v="Marco Diaz"/>
    <d v="2025-04-28T00:00:00"/>
    <d v="2025-06-12T00:00:00"/>
    <n v="45"/>
    <n v="2732.32"/>
    <n v="2732.32"/>
    <n v="0"/>
    <d v="2025-06-14T00:00:00"/>
    <x v="0"/>
    <s v="Wire"/>
    <n v="47"/>
    <n v="-2"/>
    <s v="No"/>
    <s v="Yes"/>
    <n v="1.4999999999999999E-2"/>
    <s v="No"/>
    <n v="0"/>
  </r>
  <r>
    <s v="AP-0546"/>
    <s v="VND-011"/>
    <s v="QuickFreight Inc."/>
    <s v="Logistics"/>
    <s v="East"/>
    <s v="Marco Diaz"/>
    <d v="2025-06-25T00:00:00"/>
    <d v="2025-07-25T00:00:00"/>
    <n v="30"/>
    <n v="2353.61"/>
    <n v="2353.61"/>
    <n v="0"/>
    <d v="2025-08-01T00:00:00"/>
    <x v="0"/>
    <s v="Check"/>
    <n v="37"/>
    <n v="-7"/>
    <s v="No"/>
    <s v="Yes"/>
    <n v="0.01"/>
    <s v="No"/>
    <n v="0"/>
  </r>
  <r>
    <s v="AP-0547"/>
    <s v="VND-015"/>
    <s v="ExpressRoute Logistics"/>
    <s v="Logistics"/>
    <s v="North"/>
    <s v="Marco Diaz"/>
    <d v="2025-02-21T00:00:00"/>
    <d v="2025-05-22T00:00:00"/>
    <n v="90"/>
    <n v="3012.61"/>
    <n v="3012.61"/>
    <n v="0"/>
    <d v="2025-05-26T00:00:00"/>
    <x v="0"/>
    <s v="ACH"/>
    <n v="94"/>
    <n v="-4"/>
    <s v="No"/>
    <s v="Yes"/>
    <n v="5.0000000000000001E-3"/>
    <s v="No"/>
    <n v="0"/>
  </r>
  <r>
    <s v="AP-0548"/>
    <s v="VND-019"/>
    <s v="SkyNet IT Solutions"/>
    <s v="IT"/>
    <s v="West"/>
    <s v="Ana Torres"/>
    <d v="2025-12-07T00:00:00"/>
    <d v="2026-01-21T00:00:00"/>
    <n v="45"/>
    <n v="66308.149999999994"/>
    <n v="66308.149999999994"/>
    <n v="0"/>
    <d v="2026-01-30T00:00:00"/>
    <x v="0"/>
    <s v="Check"/>
    <n v="54"/>
    <n v="-9"/>
    <s v="No"/>
    <s v="No"/>
    <n v="0"/>
    <s v="No"/>
    <n v="0"/>
  </r>
  <r>
    <s v="AP-0549"/>
    <s v="VND-018"/>
    <s v="BuildFast Materials"/>
    <s v="Materials"/>
    <s v="North"/>
    <s v="Pedro Alvarez"/>
    <d v="2026-04-25T00:00:00"/>
    <d v="2026-05-25T00:00:00"/>
    <n v="30"/>
    <n v="6668.62"/>
    <n v="6668.62"/>
    <n v="0"/>
    <d v="2026-05-06T00:00:00"/>
    <x v="0"/>
    <s v="Wire"/>
    <n v="11"/>
    <n v="19"/>
    <s v="Yes"/>
    <s v="Yes"/>
    <n v="0.01"/>
    <s v="No"/>
    <n v="0"/>
  </r>
  <r>
    <s v="AP-0550"/>
    <s v="VND-005"/>
    <s v="CloudSys Inc."/>
    <s v="IT"/>
    <s v="Central"/>
    <s v="Laura Chen"/>
    <d v="2025-07-07T00:00:00"/>
    <d v="2025-09-05T00:00:00"/>
    <n v="60"/>
    <n v="57471.1"/>
    <n v="42597.69"/>
    <n v="14873.41"/>
    <d v="2025-09-14T00:00:00"/>
    <x v="3"/>
    <s v="Check"/>
    <n v="69"/>
    <n v="-9"/>
    <s v="No"/>
    <s v="Yes"/>
    <n v="0.01"/>
    <s v="No"/>
    <n v="0"/>
  </r>
  <r>
    <s v="AP-0551"/>
    <s v="VND-016"/>
    <s v="CleanWater Utilities"/>
    <s v="Utilities"/>
    <s v="North"/>
    <s v="Sofia Reyes"/>
    <d v="2025-12-26T00:00:00"/>
    <d v="2026-01-25T00:00:00"/>
    <n v="30"/>
    <n v="7440.46"/>
    <n v="7440.46"/>
    <n v="0"/>
    <d v="2026-01-28T00:00:00"/>
    <x v="0"/>
    <s v="Credit Card"/>
    <n v="33"/>
    <n v="-3"/>
    <s v="No"/>
    <s v="No"/>
    <n v="0"/>
    <s v="No"/>
    <n v="0"/>
  </r>
  <r>
    <s v="AP-0552"/>
    <s v="VND-012"/>
    <s v="FacilityPro Services"/>
    <s v="Facilities"/>
    <s v="Central"/>
    <s v="Ana Torres"/>
    <d v="2026-02-20T00:00:00"/>
    <d v="2026-03-22T00:00:00"/>
    <n v="30"/>
    <n v="28979.25"/>
    <n v="28979.25"/>
    <n v="0"/>
    <d v="2026-03-14T00:00:00"/>
    <x v="0"/>
    <s v="Wire"/>
    <n v="22"/>
    <n v="8"/>
    <s v="Yes"/>
    <s v="No"/>
    <n v="0"/>
    <s v="No"/>
    <n v="0"/>
  </r>
  <r>
    <s v="AP-0553"/>
    <s v="VND-018"/>
    <s v="BuildFast Materials"/>
    <s v="Materials"/>
    <s v="West"/>
    <s v="Pedro Alvarez"/>
    <d v="2025-09-07T00:00:00"/>
    <d v="2025-10-07T00:00:00"/>
    <n v="30"/>
    <n v="28301.55"/>
    <n v="28301.55"/>
    <n v="0"/>
    <d v="2025-09-26T00:00:00"/>
    <x v="0"/>
    <s v="Credit Card"/>
    <n v="19"/>
    <n v="11"/>
    <s v="Yes"/>
    <s v="No"/>
    <n v="0"/>
    <s v="No"/>
    <n v="0"/>
  </r>
  <r>
    <s v="AP-0554"/>
    <s v="VND-011"/>
    <s v="QuickFreight Inc."/>
    <s v="Logistics"/>
    <s v="South"/>
    <s v="Ana Torres"/>
    <d v="2025-12-17T00:00:00"/>
    <d v="2026-02-15T00:00:00"/>
    <n v="60"/>
    <n v="11346.01"/>
    <n v="11346.01"/>
    <n v="0"/>
    <d v="2026-03-03T00:00:00"/>
    <x v="0"/>
    <s v="Credit Card"/>
    <n v="76"/>
    <n v="-16"/>
    <s v="No"/>
    <s v="Yes"/>
    <n v="0.01"/>
    <s v="No"/>
    <n v="0"/>
  </r>
  <r>
    <s v="AP-0555"/>
    <s v="VND-019"/>
    <s v="SkyNet IT Solutions"/>
    <s v="IT"/>
    <s v="West"/>
    <s v="Sofia Reyes"/>
    <d v="2025-04-10T00:00:00"/>
    <d v="2025-06-09T00:00:00"/>
    <n v="60"/>
    <n v="66651.73"/>
    <n v="0"/>
    <n v="66651.73"/>
    <m/>
    <x v="1"/>
    <s v="Credit Card"/>
    <m/>
    <n v="-356"/>
    <s v="No"/>
    <s v="Yes"/>
    <n v="0.01"/>
    <s v="No"/>
    <n v="0"/>
  </r>
  <r>
    <s v="AP-0556"/>
    <s v="VND-003"/>
    <s v="FastShip Logistics"/>
    <s v="Logistics"/>
    <s v="Central"/>
    <s v="Sofia Reyes"/>
    <d v="2026-05-22T00:00:00"/>
    <d v="2026-07-21T00:00:00"/>
    <n v="60"/>
    <n v="13254.79"/>
    <n v="0"/>
    <n v="13254.79"/>
    <m/>
    <x v="2"/>
    <s v="Credit Card"/>
    <m/>
    <m/>
    <m/>
    <s v="Yes"/>
    <n v="0.01"/>
    <s v="No"/>
    <n v="0"/>
  </r>
  <r>
    <s v="AP-0557"/>
    <s v="VND-019"/>
    <s v="SkyNet IT Solutions"/>
    <s v="IT"/>
    <s v="North"/>
    <s v="Marco Diaz"/>
    <d v="2025-10-26T00:00:00"/>
    <d v="2026-01-24T00:00:00"/>
    <n v="90"/>
    <n v="34248.699999999997"/>
    <n v="34248.699999999997"/>
    <n v="0"/>
    <d v="2026-02-01T00:00:00"/>
    <x v="0"/>
    <s v="Wire"/>
    <n v="98"/>
    <n v="-8"/>
    <s v="No"/>
    <s v="Yes"/>
    <n v="5.0000000000000001E-3"/>
    <s v="No"/>
    <n v="0"/>
  </r>
  <r>
    <s v="AP-0558"/>
    <s v="VND-022"/>
    <s v="Apex Consulting"/>
    <s v="Services"/>
    <s v="East"/>
    <s v="Laura Chen"/>
    <d v="2025-12-19T00:00:00"/>
    <d v="2026-02-17T00:00:00"/>
    <n v="60"/>
    <n v="39640.699999999997"/>
    <n v="39640.699999999997"/>
    <n v="0"/>
    <d v="2026-02-02T00:00:00"/>
    <x v="0"/>
    <s v="Check"/>
    <n v="45"/>
    <n v="15"/>
    <s v="Yes"/>
    <s v="Yes"/>
    <n v="0.01"/>
    <s v="No"/>
    <n v="0"/>
  </r>
  <r>
    <s v="AP-0559"/>
    <s v="VND-010"/>
    <s v="DataBridge IT"/>
    <s v="IT"/>
    <s v="North"/>
    <s v="Laura Chen"/>
    <d v="2026-01-03T00:00:00"/>
    <d v="2026-01-18T00:00:00"/>
    <n v="15"/>
    <n v="13227.37"/>
    <n v="13227.37"/>
    <n v="0"/>
    <d v="2026-01-17T00:00:00"/>
    <x v="0"/>
    <s v="ACH"/>
    <n v="14"/>
    <n v="1"/>
    <s v="Yes"/>
    <s v="Yes"/>
    <n v="0.02"/>
    <s v="No"/>
    <n v="0"/>
  </r>
  <r>
    <s v="AP-0560"/>
    <s v="VND-014"/>
    <s v="NetConnect Systems"/>
    <s v="IT"/>
    <s v="Central"/>
    <s v="Pedro Alvarez"/>
    <d v="2026-02-20T00:00:00"/>
    <d v="2026-04-21T00:00:00"/>
    <n v="60"/>
    <n v="33617.379999999997"/>
    <n v="33617.379999999997"/>
    <n v="0"/>
    <d v="2026-04-23T00:00:00"/>
    <x v="0"/>
    <s v="Check"/>
    <n v="62"/>
    <n v="-2"/>
    <s v="No"/>
    <s v="Yes"/>
    <n v="0.01"/>
    <s v="No"/>
    <n v="0"/>
  </r>
  <r>
    <s v="AP-0561"/>
    <s v="VND-012"/>
    <s v="FacilityPro Services"/>
    <s v="Facilities"/>
    <s v="West"/>
    <s v="Marco Diaz"/>
    <d v="2025-05-18T00:00:00"/>
    <d v="2025-06-17T00:00:00"/>
    <n v="30"/>
    <n v="2382.89"/>
    <n v="2382.89"/>
    <n v="0"/>
    <d v="2025-06-24T00:00:00"/>
    <x v="0"/>
    <s v="Check"/>
    <n v="37"/>
    <n v="-7"/>
    <s v="No"/>
    <s v="Yes"/>
    <n v="0.01"/>
    <s v="No"/>
    <n v="0"/>
  </r>
  <r>
    <s v="AP-0562"/>
    <s v="VND-016"/>
    <s v="CleanWater Utilities"/>
    <s v="Utilities"/>
    <s v="West"/>
    <s v="Marco Diaz"/>
    <d v="2026-03-02T00:00:00"/>
    <d v="2026-04-01T00:00:00"/>
    <n v="30"/>
    <n v="12972.22"/>
    <n v="12972.22"/>
    <n v="0"/>
    <d v="2026-04-11T00:00:00"/>
    <x v="0"/>
    <s v="ACH"/>
    <n v="40"/>
    <n v="-10"/>
    <s v="No"/>
    <s v="No"/>
    <n v="0"/>
    <s v="No"/>
    <n v="0"/>
  </r>
  <r>
    <s v="AP-0563"/>
    <s v="VND-015"/>
    <s v="ExpressRoute Logistics"/>
    <s v="Logistics"/>
    <s v="Central"/>
    <s v="Pedro Alvarez"/>
    <d v="2025-12-30T00:00:00"/>
    <d v="2026-02-28T00:00:00"/>
    <n v="60"/>
    <n v="5289.08"/>
    <n v="5289.08"/>
    <n v="0"/>
    <d v="2026-02-24T00:00:00"/>
    <x v="0"/>
    <s v="Credit Card"/>
    <n v="56"/>
    <n v="4"/>
    <s v="Yes"/>
    <s v="Yes"/>
    <n v="0.01"/>
    <s v="No"/>
    <n v="0"/>
  </r>
  <r>
    <s v="AP-0564"/>
    <s v="VND-016"/>
    <s v="CleanWater Utilities"/>
    <s v="Utilities"/>
    <s v="South"/>
    <s v="Ana Torres"/>
    <d v="2026-01-11T00:00:00"/>
    <d v="2026-03-12T00:00:00"/>
    <n v="60"/>
    <n v="985.2"/>
    <n v="985.2"/>
    <n v="0"/>
    <d v="2026-03-05T00:00:00"/>
    <x v="0"/>
    <s v="Check"/>
    <n v="53"/>
    <n v="7"/>
    <s v="Yes"/>
    <s v="Yes"/>
    <n v="0.01"/>
    <s v="No"/>
    <n v="0"/>
  </r>
  <r>
    <s v="AP-0565"/>
    <s v="VND-023"/>
    <s v="CoolTech Systems"/>
    <s v="IT"/>
    <s v="North"/>
    <s v="Marco Diaz"/>
    <d v="2025-03-22T00:00:00"/>
    <d v="2025-06-20T00:00:00"/>
    <n v="90"/>
    <n v="44251.76"/>
    <n v="44251.76"/>
    <n v="0"/>
    <d v="2025-06-27T00:00:00"/>
    <x v="0"/>
    <s v="Check"/>
    <n v="97"/>
    <n v="-7"/>
    <s v="No"/>
    <s v="Yes"/>
    <n v="5.0000000000000001E-3"/>
    <s v="No"/>
    <n v="0"/>
  </r>
  <r>
    <s v="AP-0566"/>
    <s v="VND-021"/>
    <s v="PrimePack Logistics"/>
    <s v="Logistics"/>
    <s v="North"/>
    <s v="Ana Torres"/>
    <d v="2025-12-18T00:00:00"/>
    <d v="2026-01-02T00:00:00"/>
    <n v="15"/>
    <n v="11165.63"/>
    <n v="11165.63"/>
    <n v="0"/>
    <d v="2026-01-10T00:00:00"/>
    <x v="0"/>
    <s v="Check"/>
    <n v="23"/>
    <n v="-8"/>
    <s v="No"/>
    <s v="Yes"/>
    <n v="0.02"/>
    <s v="No"/>
    <n v="0"/>
  </r>
  <r>
    <s v="AP-0567"/>
    <s v="VND-011"/>
    <s v="QuickFreight Inc."/>
    <s v="Logistics"/>
    <s v="West"/>
    <s v="Laura Chen"/>
    <d v="2025-06-21T00:00:00"/>
    <d v="2025-08-05T00:00:00"/>
    <n v="45"/>
    <n v="1671.2"/>
    <n v="1671.2"/>
    <n v="0"/>
    <d v="2025-07-31T00:00:00"/>
    <x v="0"/>
    <s v="Check"/>
    <n v="40"/>
    <n v="5"/>
    <s v="Yes"/>
    <s v="No"/>
    <n v="0"/>
    <s v="No"/>
    <n v="0"/>
  </r>
  <r>
    <s v="AP-0568"/>
    <s v="VND-024"/>
    <s v="EliteFacilities Corp."/>
    <s v="Facilities"/>
    <s v="Central"/>
    <s v="Laura Chen"/>
    <d v="2025-06-23T00:00:00"/>
    <d v="2025-09-21T00:00:00"/>
    <n v="90"/>
    <n v="20904.38"/>
    <n v="20904.38"/>
    <n v="0"/>
    <d v="2025-09-21T00:00:00"/>
    <x v="0"/>
    <s v="ACH"/>
    <n v="90"/>
    <n v="0"/>
    <s v="Yes"/>
    <s v="Yes"/>
    <n v="5.0000000000000001E-3"/>
    <s v="No"/>
    <n v="0"/>
  </r>
  <r>
    <s v="AP-0569"/>
    <s v="VND-016"/>
    <s v="CleanWater Utilities"/>
    <s v="Utilities"/>
    <s v="North"/>
    <s v="Marco Diaz"/>
    <d v="2025-09-16T00:00:00"/>
    <d v="2025-10-31T00:00:00"/>
    <n v="45"/>
    <n v="2421.81"/>
    <n v="743.74"/>
    <n v="1678.07"/>
    <d v="2025-10-29T00:00:00"/>
    <x v="3"/>
    <s v="ACH"/>
    <n v="43"/>
    <n v="2"/>
    <s v="Yes"/>
    <s v="Yes"/>
    <n v="1.4999999999999999E-2"/>
    <s v="No"/>
    <n v="0"/>
  </r>
  <r>
    <s v="AP-0570"/>
    <s v="VND-020"/>
    <s v="TrustBuild Facilities"/>
    <s v="Facilities"/>
    <s v="South"/>
    <s v="Ana Torres"/>
    <d v="2026-01-14T00:00:00"/>
    <d v="2026-04-14T00:00:00"/>
    <n v="90"/>
    <n v="28658.74"/>
    <n v="28658.74"/>
    <n v="0"/>
    <d v="2026-04-13T00:00:00"/>
    <x v="0"/>
    <s v="Wire"/>
    <n v="89"/>
    <n v="1"/>
    <s v="Yes"/>
    <s v="Yes"/>
    <n v="5.0000000000000001E-3"/>
    <s v="No"/>
    <n v="0"/>
  </r>
  <r>
    <s v="AP-0571"/>
    <s v="VND-017"/>
    <s v="OfficePro Services"/>
    <s v="Services"/>
    <s v="North"/>
    <s v="Laura Chen"/>
    <d v="2025-06-07T00:00:00"/>
    <d v="2025-07-07T00:00:00"/>
    <n v="30"/>
    <n v="33991.730000000003"/>
    <n v="33991.730000000003"/>
    <n v="0"/>
    <d v="2025-06-29T00:00:00"/>
    <x v="0"/>
    <s v="ACH"/>
    <n v="22"/>
    <n v="8"/>
    <s v="Yes"/>
    <s v="No"/>
    <n v="0"/>
    <s v="No"/>
    <n v="0"/>
  </r>
  <r>
    <s v="AP-0572"/>
    <s v="VND-024"/>
    <s v="EliteFacilities Corp."/>
    <s v="Facilities"/>
    <s v="South"/>
    <s v="Marco Diaz"/>
    <d v="2025-09-28T00:00:00"/>
    <d v="2025-10-13T00:00:00"/>
    <n v="15"/>
    <n v="26930.97"/>
    <n v="26930.97"/>
    <n v="0"/>
    <d v="2025-10-20T00:00:00"/>
    <x v="0"/>
    <s v="Check"/>
    <n v="22"/>
    <n v="-7"/>
    <s v="No"/>
    <s v="Yes"/>
    <n v="0.02"/>
    <s v="No"/>
    <n v="0"/>
  </r>
  <r>
    <s v="AP-0573"/>
    <s v="VND-013"/>
    <s v="SafetyFirst Supplies"/>
    <s v="Materials"/>
    <s v="West"/>
    <s v="Laura Chen"/>
    <d v="2026-01-24T00:00:00"/>
    <d v="2026-02-23T00:00:00"/>
    <n v="30"/>
    <n v="34808.480000000003"/>
    <n v="34808.480000000003"/>
    <n v="0"/>
    <d v="2026-02-15T00:00:00"/>
    <x v="0"/>
    <s v="Credit Card"/>
    <n v="22"/>
    <n v="8"/>
    <s v="Yes"/>
    <s v="Yes"/>
    <n v="0.01"/>
    <s v="No"/>
    <n v="0"/>
  </r>
  <r>
    <s v="AP-0574"/>
    <s v="VND-010"/>
    <s v="DataBridge IT"/>
    <s v="IT"/>
    <s v="West"/>
    <s v="Pedro Alvarez"/>
    <d v="2025-04-10T00:00:00"/>
    <d v="2025-04-25T00:00:00"/>
    <n v="15"/>
    <n v="73828.41"/>
    <n v="0"/>
    <n v="73828.41"/>
    <m/>
    <x v="1"/>
    <s v="Check"/>
    <m/>
    <n v="-401"/>
    <s v="No"/>
    <s v="Yes"/>
    <n v="0.02"/>
    <s v="No"/>
    <n v="0"/>
  </r>
  <r>
    <s v="AP-0575"/>
    <s v="VND-014"/>
    <s v="NetConnect Systems"/>
    <s v="IT"/>
    <s v="Central"/>
    <s v="Laura Chen"/>
    <d v="2025-10-01T00:00:00"/>
    <d v="2025-11-15T00:00:00"/>
    <n v="45"/>
    <n v="65173.73"/>
    <n v="65173.73"/>
    <n v="0"/>
    <d v="2025-11-14T00:00:00"/>
    <x v="0"/>
    <s v="Check"/>
    <n v="44"/>
    <n v="1"/>
    <s v="Yes"/>
    <s v="Yes"/>
    <n v="1.4999999999999999E-2"/>
    <s v="No"/>
    <n v="0"/>
  </r>
  <r>
    <s v="AP-0576"/>
    <s v="VND-015"/>
    <s v="ExpressRoute Logistics"/>
    <s v="Logistics"/>
    <s v="South"/>
    <s v="Ana Torres"/>
    <d v="2025-07-04T00:00:00"/>
    <d v="2025-09-02T00:00:00"/>
    <n v="60"/>
    <n v="6952.13"/>
    <n v="6952.13"/>
    <n v="0"/>
    <d v="2025-09-09T00:00:00"/>
    <x v="0"/>
    <s v="Wire"/>
    <n v="67"/>
    <n v="-7"/>
    <s v="No"/>
    <s v="Yes"/>
    <n v="0.01"/>
    <s v="No"/>
    <n v="0"/>
  </r>
  <r>
    <s v="AP-0577"/>
    <s v="VND-017"/>
    <s v="OfficePro Services"/>
    <s v="Services"/>
    <s v="North"/>
    <s v="Pedro Alvarez"/>
    <d v="2025-10-18T00:00:00"/>
    <d v="2025-11-17T00:00:00"/>
    <n v="30"/>
    <n v="12320.16"/>
    <n v="12320.16"/>
    <n v="0"/>
    <d v="2025-11-20T00:00:00"/>
    <x v="0"/>
    <s v="Check"/>
    <n v="33"/>
    <n v="-3"/>
    <s v="No"/>
    <s v="Yes"/>
    <n v="0.01"/>
    <s v="No"/>
    <n v="0"/>
  </r>
  <r>
    <s v="AP-0578"/>
    <s v="VND-002"/>
    <s v="TechCore Solutions"/>
    <s v="IT"/>
    <s v="Central"/>
    <s v="Marco Diaz"/>
    <d v="2025-03-30T00:00:00"/>
    <d v="2025-04-29T00:00:00"/>
    <n v="30"/>
    <n v="69233.06"/>
    <n v="69233.06"/>
    <n v="0"/>
    <d v="2025-05-07T00:00:00"/>
    <x v="0"/>
    <s v="ACH"/>
    <n v="38"/>
    <n v="-8"/>
    <s v="No"/>
    <s v="Yes"/>
    <n v="0.01"/>
    <s v="No"/>
    <n v="0"/>
  </r>
  <r>
    <s v="AP-0579"/>
    <s v="VND-006"/>
    <s v="PowerGrid Utilities"/>
    <s v="Utilities"/>
    <s v="North"/>
    <s v="Marco Diaz"/>
    <d v="2026-04-24T00:00:00"/>
    <d v="2026-06-08T00:00:00"/>
    <n v="45"/>
    <n v="10076.93"/>
    <n v="10076.93"/>
    <n v="0"/>
    <d v="2026-05-31T00:00:00"/>
    <x v="0"/>
    <s v="Check"/>
    <n v="37"/>
    <n v="8"/>
    <s v="Yes"/>
    <s v="Yes"/>
    <n v="1.4999999999999999E-2"/>
    <s v="No"/>
    <n v="0"/>
  </r>
  <r>
    <s v="AP-0580"/>
    <s v="VND-025"/>
    <s v="RapidShip Co."/>
    <s v="Logistics"/>
    <s v="West"/>
    <s v="Laura Chen"/>
    <d v="2025-03-17T00:00:00"/>
    <d v="2025-04-16T00:00:00"/>
    <n v="30"/>
    <n v="6268.46"/>
    <n v="6268.46"/>
    <n v="0"/>
    <d v="2025-04-22T00:00:00"/>
    <x v="0"/>
    <s v="Check"/>
    <n v="36"/>
    <n v="-6"/>
    <s v="No"/>
    <s v="Yes"/>
    <n v="0.01"/>
    <s v="No"/>
    <n v="0"/>
  </r>
  <r>
    <s v="AP-0581"/>
    <s v="VND-009"/>
    <s v="MetalWorks Ltd."/>
    <s v="Materials"/>
    <s v="South"/>
    <s v="Pedro Alvarez"/>
    <d v="2025-07-25T00:00:00"/>
    <d v="2025-10-23T00:00:00"/>
    <n v="90"/>
    <n v="31294.49"/>
    <n v="31294.49"/>
    <n v="0"/>
    <d v="2025-10-23T00:00:00"/>
    <x v="0"/>
    <s v="ACH"/>
    <n v="90"/>
    <n v="0"/>
    <s v="Yes"/>
    <s v="Yes"/>
    <n v="5.0000000000000001E-3"/>
    <s v="No"/>
    <n v="0"/>
  </r>
  <r>
    <s v="AP-0582"/>
    <s v="VND-005"/>
    <s v="CloudSys Inc."/>
    <s v="IT"/>
    <s v="Central"/>
    <s v="Pedro Alvarez"/>
    <d v="2026-03-29T00:00:00"/>
    <d v="2026-04-28T00:00:00"/>
    <n v="30"/>
    <n v="58655.02"/>
    <n v="58655.02"/>
    <n v="0"/>
    <d v="2026-04-28T00:00:00"/>
    <x v="0"/>
    <s v="Wire"/>
    <n v="30"/>
    <n v="0"/>
    <s v="Yes"/>
    <s v="Yes"/>
    <n v="0.01"/>
    <s v="No"/>
    <n v="0"/>
  </r>
  <r>
    <s v="AP-0583"/>
    <s v="VND-016"/>
    <s v="CleanWater Utilities"/>
    <s v="Utilities"/>
    <s v="South"/>
    <s v="Sofia Reyes"/>
    <d v="2025-09-30T00:00:00"/>
    <d v="2025-11-29T00:00:00"/>
    <n v="60"/>
    <n v="2698.31"/>
    <n v="2698.31"/>
    <n v="0"/>
    <d v="2025-12-07T00:00:00"/>
    <x v="0"/>
    <s v="ACH"/>
    <n v="68"/>
    <n v="-8"/>
    <s v="No"/>
    <s v="Yes"/>
    <n v="0.01"/>
    <s v="No"/>
    <n v="0"/>
  </r>
  <r>
    <s v="AP-0584"/>
    <s v="VND-001"/>
    <s v="Acme Supplies Co."/>
    <s v="Materials"/>
    <s v="Central"/>
    <s v="Pedro Alvarez"/>
    <d v="2026-02-18T00:00:00"/>
    <d v="2026-04-19T00:00:00"/>
    <n v="60"/>
    <n v="42514.36"/>
    <n v="12824.61"/>
    <n v="29689.75"/>
    <d v="2026-05-06T00:00:00"/>
    <x v="3"/>
    <s v="Credit Card"/>
    <n v="77"/>
    <n v="-17"/>
    <s v="No"/>
    <s v="No"/>
    <n v="0"/>
    <s v="No"/>
    <n v="0"/>
  </r>
  <r>
    <s v="AP-0585"/>
    <s v="VND-025"/>
    <s v="RapidShip Co."/>
    <s v="Logistics"/>
    <s v="West"/>
    <s v="Sofia Reyes"/>
    <d v="2025-11-07T00:00:00"/>
    <d v="2026-01-06T00:00:00"/>
    <n v="60"/>
    <n v="8611.68"/>
    <n v="0"/>
    <n v="8611.68"/>
    <m/>
    <x v="1"/>
    <s v="Check"/>
    <m/>
    <n v="-145"/>
    <s v="No"/>
    <s v="Yes"/>
    <n v="0.01"/>
    <s v="No"/>
    <n v="0"/>
  </r>
  <r>
    <s v="AP-0586"/>
    <s v="VND-003"/>
    <s v="FastShip Logistics"/>
    <s v="Logistics"/>
    <s v="East"/>
    <s v="Ana Torres"/>
    <d v="2026-04-16T00:00:00"/>
    <d v="2026-05-16T00:00:00"/>
    <n v="30"/>
    <n v="15448.61"/>
    <n v="15448.61"/>
    <n v="0"/>
    <d v="2026-05-27T00:00:00"/>
    <x v="0"/>
    <s v="Check"/>
    <n v="41"/>
    <n v="-11"/>
    <s v="No"/>
    <s v="Yes"/>
    <n v="0.01"/>
    <s v="No"/>
    <n v="0"/>
  </r>
  <r>
    <s v="AP-0587"/>
    <s v="VND-010"/>
    <s v="DataBridge IT"/>
    <s v="IT"/>
    <s v="West"/>
    <s v="Sofia Reyes"/>
    <d v="2025-03-28T00:00:00"/>
    <d v="2025-06-26T00:00:00"/>
    <n v="90"/>
    <n v="71391.06"/>
    <n v="71391.06"/>
    <n v="0"/>
    <d v="2025-06-24T00:00:00"/>
    <x v="0"/>
    <s v="Check"/>
    <n v="88"/>
    <n v="2"/>
    <s v="Yes"/>
    <s v="Yes"/>
    <n v="5.0000000000000001E-3"/>
    <s v="No"/>
    <n v="0"/>
  </r>
  <r>
    <s v="AP-0588"/>
    <s v="VND-002"/>
    <s v="TechCore Solutions"/>
    <s v="IT"/>
    <s v="South"/>
    <s v="Sofia Reyes"/>
    <d v="2026-02-03T00:00:00"/>
    <d v="2026-05-04T00:00:00"/>
    <n v="90"/>
    <n v="9724.4500000000007"/>
    <n v="9724.4500000000007"/>
    <n v="0"/>
    <d v="2026-05-08T00:00:00"/>
    <x v="0"/>
    <s v="Wire"/>
    <n v="94"/>
    <n v="-4"/>
    <s v="No"/>
    <s v="Yes"/>
    <n v="5.0000000000000001E-3"/>
    <s v="No"/>
    <n v="0"/>
  </r>
  <r>
    <s v="AP-0589"/>
    <s v="VND-001"/>
    <s v="Acme Supplies Co."/>
    <s v="Materials"/>
    <s v="North"/>
    <s v="Laura Chen"/>
    <d v="2025-02-13T00:00:00"/>
    <d v="2025-04-14T00:00:00"/>
    <n v="60"/>
    <n v="21464.38"/>
    <n v="21464.38"/>
    <n v="0"/>
    <d v="2025-04-07T00:00:00"/>
    <x v="0"/>
    <s v="ACH"/>
    <n v="53"/>
    <n v="7"/>
    <s v="Yes"/>
    <s v="Yes"/>
    <n v="0.01"/>
    <s v="No"/>
    <n v="0"/>
  </r>
  <r>
    <s v="AP-0590"/>
    <s v="VND-017"/>
    <s v="OfficePro Services"/>
    <s v="Services"/>
    <s v="West"/>
    <s v="Ana Torres"/>
    <d v="2025-03-15T00:00:00"/>
    <d v="2025-04-14T00:00:00"/>
    <n v="30"/>
    <n v="4364.47"/>
    <n v="4364.47"/>
    <n v="0"/>
    <d v="2025-03-28T00:00:00"/>
    <x v="0"/>
    <s v="Wire"/>
    <n v="13"/>
    <n v="17"/>
    <s v="Yes"/>
    <s v="Yes"/>
    <n v="0.01"/>
    <s v="No"/>
    <n v="0"/>
  </r>
  <r>
    <s v="AP-0591"/>
    <s v="VND-002"/>
    <s v="TechCore Solutions"/>
    <s v="IT"/>
    <s v="South"/>
    <s v="Marco Diaz"/>
    <d v="2025-02-21T00:00:00"/>
    <d v="2025-03-23T00:00:00"/>
    <n v="30"/>
    <n v="72849.679999999993"/>
    <n v="72849.679999999993"/>
    <n v="0"/>
    <d v="2025-03-26T00:00:00"/>
    <x v="0"/>
    <s v="ACH"/>
    <n v="33"/>
    <n v="-3"/>
    <s v="No"/>
    <s v="No"/>
    <n v="0"/>
    <s v="No"/>
    <n v="0"/>
  </r>
  <r>
    <s v="AP-0592"/>
    <s v="VND-020"/>
    <s v="TrustBuild Facilities"/>
    <s v="Facilities"/>
    <s v="South"/>
    <s v="Ana Torres"/>
    <d v="2025-04-27T00:00:00"/>
    <d v="2025-05-27T00:00:00"/>
    <n v="30"/>
    <n v="18405.740000000002"/>
    <n v="18405.740000000002"/>
    <n v="0"/>
    <d v="2025-05-29T00:00:00"/>
    <x v="0"/>
    <s v="ACH"/>
    <n v="32"/>
    <n v="-2"/>
    <s v="No"/>
    <s v="No"/>
    <n v="0"/>
    <s v="No"/>
    <n v="0"/>
  </r>
  <r>
    <s v="AP-0593"/>
    <s v="VND-024"/>
    <s v="EliteFacilities Corp."/>
    <s v="Facilities"/>
    <s v="West"/>
    <s v="Laura Chen"/>
    <d v="2025-11-26T00:00:00"/>
    <d v="2025-12-26T00:00:00"/>
    <n v="30"/>
    <n v="29602.09"/>
    <n v="29602.09"/>
    <n v="0"/>
    <d v="2025-12-19T00:00:00"/>
    <x v="0"/>
    <s v="ACH"/>
    <n v="23"/>
    <n v="7"/>
    <s v="Yes"/>
    <s v="No"/>
    <n v="0"/>
    <s v="No"/>
    <n v="0"/>
  </r>
  <r>
    <s v="AP-0594"/>
    <s v="VND-019"/>
    <s v="SkyNet IT Solutions"/>
    <s v="IT"/>
    <s v="South"/>
    <s v="Laura Chen"/>
    <d v="2025-10-08T00:00:00"/>
    <d v="2025-11-07T00:00:00"/>
    <n v="30"/>
    <n v="15592.76"/>
    <n v="15592.76"/>
    <n v="0"/>
    <d v="2025-10-30T00:00:00"/>
    <x v="0"/>
    <s v="ACH"/>
    <n v="22"/>
    <n v="8"/>
    <s v="Yes"/>
    <s v="Yes"/>
    <n v="0.01"/>
    <s v="No"/>
    <n v="0"/>
  </r>
  <r>
    <s v="AP-0595"/>
    <s v="VND-019"/>
    <s v="SkyNet IT Solutions"/>
    <s v="IT"/>
    <s v="North"/>
    <s v="Marco Diaz"/>
    <d v="2025-06-11T00:00:00"/>
    <d v="2025-08-10T00:00:00"/>
    <n v="60"/>
    <n v="6172.27"/>
    <n v="6172.27"/>
    <n v="0"/>
    <d v="2025-08-08T00:00:00"/>
    <x v="0"/>
    <s v="ACH"/>
    <n v="58"/>
    <n v="2"/>
    <s v="Yes"/>
    <s v="Yes"/>
    <n v="0.01"/>
    <s v="No"/>
    <n v="0"/>
  </r>
  <r>
    <s v="AP-0596"/>
    <s v="VND-006"/>
    <s v="PowerGrid Utilities"/>
    <s v="Utilities"/>
    <s v="North"/>
    <s v="Ana Torres"/>
    <d v="2026-05-03T00:00:00"/>
    <d v="2026-07-02T00:00:00"/>
    <n v="60"/>
    <n v="10539.2"/>
    <n v="10539.2"/>
    <n v="0"/>
    <d v="2026-05-31T00:00:00"/>
    <x v="0"/>
    <s v="Check"/>
    <n v="28"/>
    <n v="32"/>
    <s v="Yes"/>
    <s v="Yes"/>
    <n v="0.01"/>
    <s v="No"/>
    <n v="0"/>
  </r>
  <r>
    <s v="AP-0597"/>
    <s v="VND-020"/>
    <s v="TrustBuild Facilities"/>
    <s v="Facilities"/>
    <s v="North"/>
    <s v="Ana Torres"/>
    <d v="2025-04-01T00:00:00"/>
    <d v="2025-06-30T00:00:00"/>
    <n v="90"/>
    <n v="22697.32"/>
    <n v="22697.32"/>
    <n v="0"/>
    <d v="2025-07-09T00:00:00"/>
    <x v="0"/>
    <s v="Wire"/>
    <n v="99"/>
    <n v="-9"/>
    <s v="No"/>
    <s v="No"/>
    <n v="0"/>
    <s v="No"/>
    <n v="0"/>
  </r>
  <r>
    <s v="AP-0598"/>
    <s v="VND-001"/>
    <s v="Acme Supplies Co."/>
    <s v="Materials"/>
    <s v="Central"/>
    <s v="Marco Diaz"/>
    <d v="2025-04-08T00:00:00"/>
    <d v="2025-05-08T00:00:00"/>
    <n v="30"/>
    <n v="31708.21"/>
    <n v="0"/>
    <n v="31708.21"/>
    <m/>
    <x v="1"/>
    <s v="Wire"/>
    <m/>
    <n v="-388"/>
    <s v="No"/>
    <s v="No"/>
    <n v="0"/>
    <s v="No"/>
    <n v="0"/>
  </r>
  <r>
    <s v="AP-0599"/>
    <s v="VND-017"/>
    <s v="OfficePro Services"/>
    <s v="Services"/>
    <s v="South"/>
    <s v="Pedro Alvarez"/>
    <d v="2025-02-24T00:00:00"/>
    <d v="2025-04-10T00:00:00"/>
    <n v="45"/>
    <n v="10167.6"/>
    <n v="10167.6"/>
    <n v="0"/>
    <d v="2025-04-18T00:00:00"/>
    <x v="0"/>
    <s v="Wire"/>
    <n v="53"/>
    <n v="-8"/>
    <s v="No"/>
    <s v="No"/>
    <n v="0"/>
    <s v="No"/>
    <n v="0"/>
  </r>
  <r>
    <s v="AP-0600"/>
    <s v="VND-006"/>
    <s v="PowerGrid Utilities"/>
    <s v="Utilities"/>
    <s v="South"/>
    <s v="Sofia Reyes"/>
    <d v="2025-10-19T00:00:00"/>
    <d v="2025-12-18T00:00:00"/>
    <n v="60"/>
    <n v="3539.05"/>
    <n v="3539.05"/>
    <n v="0"/>
    <d v="2025-12-17T00:00:00"/>
    <x v="0"/>
    <s v="ACH"/>
    <n v="59"/>
    <n v="1"/>
    <s v="Yes"/>
    <s v="Yes"/>
    <n v="0.01"/>
    <s v="No"/>
    <n v="0"/>
  </r>
  <r>
    <s v="AP-0601"/>
    <s v="VND-025"/>
    <s v="RapidShip Co."/>
    <s v="Logistics"/>
    <s v="West"/>
    <s v="Sofia Reyes"/>
    <d v="2025-06-30T00:00:00"/>
    <d v="2025-07-15T00:00:00"/>
    <n v="15"/>
    <n v="4002.87"/>
    <n v="4002.87"/>
    <n v="0"/>
    <d v="2025-07-20T00:00:00"/>
    <x v="0"/>
    <s v="ACH"/>
    <n v="20"/>
    <n v="-5"/>
    <s v="No"/>
    <s v="Yes"/>
    <n v="0.02"/>
    <s v="No"/>
    <n v="0"/>
  </r>
  <r>
    <s v="AP-0602"/>
    <s v="VND-015"/>
    <s v="ExpressRoute Logistics"/>
    <s v="Logistics"/>
    <s v="Central"/>
    <s v="Ana Torres"/>
    <d v="2025-07-23T00:00:00"/>
    <d v="2025-09-21T00:00:00"/>
    <n v="60"/>
    <n v="15194.65"/>
    <n v="15194.65"/>
    <n v="0"/>
    <d v="2025-09-23T00:00:00"/>
    <x v="0"/>
    <s v="Check"/>
    <n v="62"/>
    <n v="-2"/>
    <s v="No"/>
    <s v="No"/>
    <n v="0"/>
    <s v="No"/>
    <n v="0"/>
  </r>
  <r>
    <s v="AP-0603"/>
    <s v="VND-004"/>
    <s v="BuildRight Materials"/>
    <s v="Materials"/>
    <s v="East"/>
    <s v="Marco Diaz"/>
    <d v="2026-02-27T00:00:00"/>
    <d v="2026-03-29T00:00:00"/>
    <n v="30"/>
    <n v="43754.54"/>
    <n v="43754.54"/>
    <n v="0"/>
    <d v="2026-03-20T00:00:00"/>
    <x v="0"/>
    <s v="ACH"/>
    <n v="21"/>
    <n v="9"/>
    <s v="Yes"/>
    <s v="Yes"/>
    <n v="0.01"/>
    <s v="No"/>
    <n v="0"/>
  </r>
  <r>
    <s v="AP-0604"/>
    <s v="VND-014"/>
    <s v="NetConnect Systems"/>
    <s v="IT"/>
    <s v="South"/>
    <s v="Marco Diaz"/>
    <d v="2026-02-01T00:00:00"/>
    <d v="2026-03-03T00:00:00"/>
    <n v="30"/>
    <n v="33011.379999999997"/>
    <n v="33011.379999999997"/>
    <n v="0"/>
    <d v="2026-03-04T00:00:00"/>
    <x v="0"/>
    <s v="Credit Card"/>
    <n v="31"/>
    <n v="-1"/>
    <s v="No"/>
    <s v="Yes"/>
    <n v="0.01"/>
    <s v="No"/>
    <n v="0"/>
  </r>
  <r>
    <s v="AP-0605"/>
    <s v="VND-012"/>
    <s v="FacilityPro Services"/>
    <s v="Facilities"/>
    <s v="East"/>
    <s v="Marco Diaz"/>
    <d v="2025-02-02T00:00:00"/>
    <d v="2025-03-04T00:00:00"/>
    <n v="30"/>
    <n v="24842.95"/>
    <n v="24842.95"/>
    <n v="0"/>
    <d v="2025-03-09T00:00:00"/>
    <x v="0"/>
    <s v="Check"/>
    <n v="35"/>
    <n v="-5"/>
    <s v="No"/>
    <s v="Yes"/>
    <n v="0.01"/>
    <s v="No"/>
    <n v="0"/>
  </r>
  <r>
    <s v="AP-0606"/>
    <s v="VND-006"/>
    <s v="PowerGrid Utilities"/>
    <s v="Utilities"/>
    <s v="East"/>
    <s v="Marco Diaz"/>
    <d v="2025-06-24T00:00:00"/>
    <d v="2025-07-24T00:00:00"/>
    <n v="30"/>
    <n v="8882.76"/>
    <n v="8882.76"/>
    <n v="0"/>
    <d v="2025-07-17T00:00:00"/>
    <x v="0"/>
    <s v="Check"/>
    <n v="23"/>
    <n v="7"/>
    <s v="Yes"/>
    <s v="Yes"/>
    <n v="0.01"/>
    <s v="No"/>
    <n v="0"/>
  </r>
  <r>
    <s v="AP-0607"/>
    <s v="VND-014"/>
    <s v="NetConnect Systems"/>
    <s v="IT"/>
    <s v="Central"/>
    <s v="Pedro Alvarez"/>
    <d v="2026-04-19T00:00:00"/>
    <d v="2026-07-18T00:00:00"/>
    <n v="90"/>
    <n v="25937.82"/>
    <n v="0"/>
    <n v="25937.82"/>
    <m/>
    <x v="2"/>
    <s v="Wire"/>
    <m/>
    <m/>
    <m/>
    <s v="No"/>
    <n v="0"/>
    <s v="No"/>
    <n v="0"/>
  </r>
  <r>
    <s v="AP-0608"/>
    <s v="VND-011"/>
    <s v="QuickFreight Inc."/>
    <s v="Logistics"/>
    <s v="West"/>
    <s v="Ana Torres"/>
    <d v="2025-01-06T00:00:00"/>
    <d v="2025-02-05T00:00:00"/>
    <n v="30"/>
    <n v="8937.67"/>
    <n v="0"/>
    <n v="8937.67"/>
    <m/>
    <x v="1"/>
    <s v="Wire"/>
    <m/>
    <n v="-480"/>
    <s v="No"/>
    <s v="Yes"/>
    <n v="0.01"/>
    <s v="No"/>
    <n v="0"/>
  </r>
  <r>
    <s v="AP-0609"/>
    <s v="VND-024"/>
    <s v="EliteFacilities Corp."/>
    <s v="Facilities"/>
    <s v="Central"/>
    <s v="Sofia Reyes"/>
    <d v="2026-05-06T00:00:00"/>
    <d v="2026-07-05T00:00:00"/>
    <n v="60"/>
    <n v="28720.65"/>
    <n v="28720.65"/>
    <n v="0"/>
    <d v="2026-05-31T00:00:00"/>
    <x v="0"/>
    <s v="Credit Card"/>
    <n v="25"/>
    <n v="35"/>
    <s v="Yes"/>
    <s v="Yes"/>
    <n v="0.01"/>
    <s v="No"/>
    <n v="0"/>
  </r>
  <r>
    <s v="AP-0610"/>
    <s v="VND-023"/>
    <s v="CoolTech Systems"/>
    <s v="IT"/>
    <s v="West"/>
    <s v="Marco Diaz"/>
    <d v="2025-10-30T00:00:00"/>
    <d v="2025-12-29T00:00:00"/>
    <n v="60"/>
    <n v="22929.68"/>
    <n v="22929.68"/>
    <n v="0"/>
    <d v="2026-01-04T00:00:00"/>
    <x v="0"/>
    <s v="Wire"/>
    <n v="66"/>
    <n v="-6"/>
    <s v="No"/>
    <s v="No"/>
    <n v="0"/>
    <s v="No"/>
    <n v="0"/>
  </r>
  <r>
    <s v="AP-0611"/>
    <s v="VND-022"/>
    <s v="Apex Consulting"/>
    <s v="Services"/>
    <s v="East"/>
    <s v="Marco Diaz"/>
    <d v="2026-04-11T00:00:00"/>
    <d v="2026-04-26T00:00:00"/>
    <n v="15"/>
    <n v="20159.14"/>
    <n v="0"/>
    <n v="20159.14"/>
    <m/>
    <x v="2"/>
    <s v="Credit Card"/>
    <m/>
    <m/>
    <m/>
    <s v="Yes"/>
    <n v="0.02"/>
    <s v="No"/>
    <n v="0"/>
  </r>
  <r>
    <s v="AP-0612"/>
    <s v="VND-012"/>
    <s v="FacilityPro Services"/>
    <s v="Facilities"/>
    <s v="West"/>
    <s v="Sofia Reyes"/>
    <d v="2025-12-07T00:00:00"/>
    <d v="2026-02-05T00:00:00"/>
    <n v="60"/>
    <n v="19520.37"/>
    <n v="19520.37"/>
    <n v="0"/>
    <d v="2026-02-02T00:00:00"/>
    <x v="0"/>
    <s v="ACH"/>
    <n v="57"/>
    <n v="3"/>
    <s v="Yes"/>
    <s v="Yes"/>
    <n v="0.01"/>
    <s v="No"/>
    <n v="0"/>
  </r>
  <r>
    <s v="AP-0613"/>
    <s v="VND-019"/>
    <s v="SkyNet IT Solutions"/>
    <s v="IT"/>
    <s v="South"/>
    <s v="Sofia Reyes"/>
    <d v="2026-01-08T00:00:00"/>
    <d v="2026-01-23T00:00:00"/>
    <n v="15"/>
    <n v="71598.34"/>
    <n v="71598.34"/>
    <n v="0"/>
    <d v="2026-01-13T00:00:00"/>
    <x v="0"/>
    <s v="Check"/>
    <n v="5"/>
    <n v="10"/>
    <s v="Yes"/>
    <s v="Yes"/>
    <n v="0.02"/>
    <s v="Yes"/>
    <n v="1431.97"/>
  </r>
  <r>
    <s v="AP-0614"/>
    <s v="VND-020"/>
    <s v="TrustBuild Facilities"/>
    <s v="Facilities"/>
    <s v="North"/>
    <s v="Laura Chen"/>
    <d v="2025-03-10T00:00:00"/>
    <d v="2025-04-09T00:00:00"/>
    <n v="30"/>
    <n v="20505.02"/>
    <n v="20505.02"/>
    <n v="0"/>
    <d v="2025-04-04T00:00:00"/>
    <x v="0"/>
    <s v="Check"/>
    <n v="25"/>
    <n v="5"/>
    <s v="Yes"/>
    <s v="No"/>
    <n v="0"/>
    <s v="No"/>
    <n v="0"/>
  </r>
  <r>
    <s v="AP-0615"/>
    <s v="VND-021"/>
    <s v="PrimePack Logistics"/>
    <s v="Logistics"/>
    <s v="West"/>
    <s v="Ana Torres"/>
    <d v="2025-11-25T00:00:00"/>
    <d v="2025-12-25T00:00:00"/>
    <n v="30"/>
    <n v="7701.52"/>
    <n v="7701.52"/>
    <n v="0"/>
    <d v="2026-01-02T00:00:00"/>
    <x v="0"/>
    <s v="Wire"/>
    <n v="38"/>
    <n v="-8"/>
    <s v="No"/>
    <s v="Yes"/>
    <n v="0.01"/>
    <s v="No"/>
    <n v="0"/>
  </r>
  <r>
    <s v="AP-0616"/>
    <s v="VND-009"/>
    <s v="MetalWorks Ltd."/>
    <s v="Materials"/>
    <s v="North"/>
    <s v="Sofia Reyes"/>
    <d v="2026-04-09T00:00:00"/>
    <d v="2026-06-08T00:00:00"/>
    <n v="60"/>
    <n v="25338.89"/>
    <n v="25338.89"/>
    <n v="0"/>
    <d v="2026-05-31T00:00:00"/>
    <x v="0"/>
    <s v="Check"/>
    <n v="52"/>
    <n v="8"/>
    <s v="Yes"/>
    <s v="Yes"/>
    <n v="0.01"/>
    <s v="No"/>
    <n v="0"/>
  </r>
  <r>
    <s v="AP-0617"/>
    <s v="VND-010"/>
    <s v="DataBridge IT"/>
    <s v="IT"/>
    <s v="West"/>
    <s v="Ana Torres"/>
    <d v="2025-07-12T00:00:00"/>
    <d v="2025-08-11T00:00:00"/>
    <n v="30"/>
    <n v="71892.740000000005"/>
    <n v="71892.740000000005"/>
    <n v="0"/>
    <d v="2025-08-03T00:00:00"/>
    <x v="0"/>
    <s v="Check"/>
    <n v="22"/>
    <n v="8"/>
    <s v="Yes"/>
    <s v="Yes"/>
    <n v="0.01"/>
    <s v="No"/>
    <n v="0"/>
  </r>
  <r>
    <s v="AP-0618"/>
    <s v="VND-006"/>
    <s v="PowerGrid Utilities"/>
    <s v="Utilities"/>
    <s v="East"/>
    <s v="Sofia Reyes"/>
    <d v="2025-10-10T00:00:00"/>
    <d v="2025-11-09T00:00:00"/>
    <n v="30"/>
    <n v="2124.36"/>
    <n v="2124.36"/>
    <n v="0"/>
    <d v="2025-11-14T00:00:00"/>
    <x v="0"/>
    <s v="ACH"/>
    <n v="35"/>
    <n v="-5"/>
    <s v="No"/>
    <s v="Yes"/>
    <n v="0.01"/>
    <s v="No"/>
    <n v="0"/>
  </r>
  <r>
    <s v="AP-0619"/>
    <s v="VND-001"/>
    <s v="Acme Supplies Co."/>
    <s v="Materials"/>
    <s v="East"/>
    <s v="Pedro Alvarez"/>
    <d v="2025-12-22T00:00:00"/>
    <d v="2026-03-22T00:00:00"/>
    <n v="90"/>
    <n v="22166.240000000002"/>
    <n v="22166.240000000002"/>
    <n v="0"/>
    <d v="2026-04-09T00:00:00"/>
    <x v="0"/>
    <s v="Wire"/>
    <n v="108"/>
    <n v="-18"/>
    <s v="No"/>
    <s v="No"/>
    <n v="0"/>
    <s v="No"/>
    <n v="0"/>
  </r>
  <r>
    <s v="AP-0620"/>
    <s v="VND-007"/>
    <s v="ProStaff Services"/>
    <s v="Services"/>
    <s v="North"/>
    <s v="Sofia Reyes"/>
    <d v="2026-02-26T00:00:00"/>
    <d v="2026-04-27T00:00:00"/>
    <n v="60"/>
    <n v="24412.07"/>
    <n v="15451.07"/>
    <n v="8961"/>
    <d v="2026-05-08T00:00:00"/>
    <x v="3"/>
    <s v="Wire"/>
    <n v="71"/>
    <n v="-11"/>
    <s v="No"/>
    <s v="Yes"/>
    <n v="0.01"/>
    <s v="No"/>
    <n v="0"/>
  </r>
  <r>
    <s v="AP-0621"/>
    <s v="VND-018"/>
    <s v="BuildFast Materials"/>
    <s v="Materials"/>
    <s v="West"/>
    <s v="Pedro Alvarez"/>
    <d v="2025-11-10T00:00:00"/>
    <d v="2025-12-10T00:00:00"/>
    <n v="30"/>
    <n v="10243.379999999999"/>
    <n v="10243.379999999999"/>
    <n v="0"/>
    <d v="2025-12-23T00:00:00"/>
    <x v="0"/>
    <s v="Check"/>
    <n v="43"/>
    <n v="-13"/>
    <s v="No"/>
    <s v="Yes"/>
    <n v="0.01"/>
    <s v="No"/>
    <n v="0"/>
  </r>
  <r>
    <s v="AP-0622"/>
    <s v="VND-002"/>
    <s v="TechCore Solutions"/>
    <s v="IT"/>
    <s v="South"/>
    <s v="Laura Chen"/>
    <d v="2025-06-20T00:00:00"/>
    <d v="2025-09-18T00:00:00"/>
    <n v="90"/>
    <n v="51397.27"/>
    <n v="51397.27"/>
    <n v="0"/>
    <d v="2025-09-16T00:00:00"/>
    <x v="0"/>
    <s v="Check"/>
    <n v="88"/>
    <n v="2"/>
    <s v="Yes"/>
    <s v="Yes"/>
    <n v="5.0000000000000001E-3"/>
    <s v="No"/>
    <n v="0"/>
  </r>
  <r>
    <s v="AP-0623"/>
    <s v="VND-006"/>
    <s v="PowerGrid Utilities"/>
    <s v="Utilities"/>
    <s v="South"/>
    <s v="Marco Diaz"/>
    <d v="2025-04-30T00:00:00"/>
    <d v="2025-05-30T00:00:00"/>
    <n v="30"/>
    <n v="1096.7"/>
    <n v="1096.7"/>
    <n v="0"/>
    <d v="2025-05-30T00:00:00"/>
    <x v="0"/>
    <s v="Wire"/>
    <n v="30"/>
    <n v="0"/>
    <s v="Yes"/>
    <s v="Yes"/>
    <n v="0.01"/>
    <s v="No"/>
    <n v="0"/>
  </r>
  <r>
    <s v="AP-0624"/>
    <s v="VND-018"/>
    <s v="BuildFast Materials"/>
    <s v="Materials"/>
    <s v="North"/>
    <s v="Laura Chen"/>
    <d v="2026-01-17T00:00:00"/>
    <d v="2026-02-16T00:00:00"/>
    <n v="30"/>
    <n v="23524.6"/>
    <n v="23524.6"/>
    <n v="0"/>
    <d v="2026-02-21T00:00:00"/>
    <x v="0"/>
    <s v="Check"/>
    <n v="35"/>
    <n v="-5"/>
    <s v="No"/>
    <s v="No"/>
    <n v="0"/>
    <s v="No"/>
    <n v="0"/>
  </r>
  <r>
    <s v="AP-0625"/>
    <s v="VND-004"/>
    <s v="BuildRight Materials"/>
    <s v="Materials"/>
    <s v="North"/>
    <s v="Pedro Alvarez"/>
    <d v="2026-04-15T00:00:00"/>
    <d v="2026-05-15T00:00:00"/>
    <n v="30"/>
    <n v="46534.94"/>
    <n v="0"/>
    <n v="46534.94"/>
    <m/>
    <x v="1"/>
    <s v="Credit Card"/>
    <m/>
    <n v="-16"/>
    <s v="No"/>
    <s v="Yes"/>
    <n v="0.01"/>
    <s v="No"/>
    <n v="0"/>
  </r>
  <r>
    <s v="AP-0626"/>
    <s v="VND-017"/>
    <s v="OfficePro Services"/>
    <s v="Services"/>
    <s v="East"/>
    <s v="Laura Chen"/>
    <d v="2025-05-31T00:00:00"/>
    <d v="2025-07-15T00:00:00"/>
    <n v="45"/>
    <n v="32584.32"/>
    <n v="0"/>
    <n v="32584.32"/>
    <m/>
    <x v="1"/>
    <s v="Credit Card"/>
    <m/>
    <n v="-320"/>
    <s v="No"/>
    <s v="No"/>
    <n v="0"/>
    <s v="No"/>
    <n v="0"/>
  </r>
  <r>
    <s v="AP-0627"/>
    <s v="VND-011"/>
    <s v="QuickFreight Inc."/>
    <s v="Logistics"/>
    <s v="North"/>
    <s v="Pedro Alvarez"/>
    <d v="2025-04-30T00:00:00"/>
    <d v="2025-05-30T00:00:00"/>
    <n v="30"/>
    <n v="6853.56"/>
    <n v="3584.32"/>
    <n v="3269.24"/>
    <d v="2025-05-27T00:00:00"/>
    <x v="3"/>
    <s v="ACH"/>
    <n v="27"/>
    <n v="3"/>
    <s v="Yes"/>
    <s v="Yes"/>
    <n v="0.01"/>
    <s v="No"/>
    <n v="0"/>
  </r>
  <r>
    <s v="AP-0628"/>
    <s v="VND-011"/>
    <s v="QuickFreight Inc."/>
    <s v="Logistics"/>
    <s v="North"/>
    <s v="Ana Torres"/>
    <d v="2025-10-12T00:00:00"/>
    <d v="2025-11-11T00:00:00"/>
    <n v="30"/>
    <n v="4718.6000000000004"/>
    <n v="3012.98"/>
    <n v="1705.62"/>
    <d v="2025-11-08T00:00:00"/>
    <x v="3"/>
    <s v="Wire"/>
    <n v="27"/>
    <n v="3"/>
    <s v="Yes"/>
    <s v="Yes"/>
    <n v="0.01"/>
    <s v="No"/>
    <n v="0"/>
  </r>
  <r>
    <s v="AP-0629"/>
    <s v="VND-017"/>
    <s v="OfficePro Services"/>
    <s v="Services"/>
    <s v="West"/>
    <s v="Marco Diaz"/>
    <d v="2025-02-27T00:00:00"/>
    <d v="2025-04-28T00:00:00"/>
    <n v="60"/>
    <n v="36612.54"/>
    <n v="36612.54"/>
    <n v="0"/>
    <d v="2025-05-02T00:00:00"/>
    <x v="0"/>
    <s v="Credit Card"/>
    <n v="64"/>
    <n v="-4"/>
    <s v="No"/>
    <s v="Yes"/>
    <n v="0.01"/>
    <s v="No"/>
    <n v="0"/>
  </r>
  <r>
    <s v="AP-0630"/>
    <s v="VND-012"/>
    <s v="FacilityPro Services"/>
    <s v="Facilities"/>
    <s v="North"/>
    <s v="Laura Chen"/>
    <d v="2025-11-12T00:00:00"/>
    <d v="2026-01-11T00:00:00"/>
    <n v="60"/>
    <n v="34258.28"/>
    <n v="34258.28"/>
    <n v="0"/>
    <d v="2026-01-05T00:00:00"/>
    <x v="0"/>
    <s v="Check"/>
    <n v="54"/>
    <n v="6"/>
    <s v="Yes"/>
    <s v="No"/>
    <n v="0"/>
    <s v="No"/>
    <n v="0"/>
  </r>
  <r>
    <s v="AP-0631"/>
    <s v="VND-024"/>
    <s v="EliteFacilities Corp."/>
    <s v="Facilities"/>
    <s v="West"/>
    <s v="Pedro Alvarez"/>
    <d v="2025-06-17T00:00:00"/>
    <d v="2025-08-01T00:00:00"/>
    <n v="45"/>
    <n v="28587.200000000001"/>
    <n v="28587.200000000001"/>
    <n v="0"/>
    <d v="2025-08-04T00:00:00"/>
    <x v="0"/>
    <s v="Credit Card"/>
    <n v="48"/>
    <n v="-3"/>
    <s v="No"/>
    <s v="No"/>
    <n v="0"/>
    <s v="No"/>
    <n v="0"/>
  </r>
  <r>
    <s v="AP-0632"/>
    <s v="VND-019"/>
    <s v="SkyNet IT Solutions"/>
    <s v="IT"/>
    <s v="Central"/>
    <s v="Sofia Reyes"/>
    <d v="2025-11-07T00:00:00"/>
    <d v="2025-12-07T00:00:00"/>
    <n v="30"/>
    <n v="40595.980000000003"/>
    <n v="0"/>
    <n v="40595.980000000003"/>
    <m/>
    <x v="1"/>
    <s v="Wire"/>
    <m/>
    <n v="-175"/>
    <s v="No"/>
    <s v="No"/>
    <n v="0"/>
    <s v="No"/>
    <n v="0"/>
  </r>
  <r>
    <s v="AP-0633"/>
    <s v="VND-003"/>
    <s v="FastShip Logistics"/>
    <s v="Logistics"/>
    <s v="Central"/>
    <s v="Pedro Alvarez"/>
    <d v="2026-02-24T00:00:00"/>
    <d v="2026-03-11T00:00:00"/>
    <n v="15"/>
    <n v="13137.31"/>
    <n v="13137.31"/>
    <n v="0"/>
    <d v="2026-03-09T00:00:00"/>
    <x v="0"/>
    <s v="ACH"/>
    <n v="13"/>
    <n v="2"/>
    <s v="Yes"/>
    <s v="Yes"/>
    <n v="0.02"/>
    <s v="No"/>
    <n v="0"/>
  </r>
  <r>
    <s v="AP-0634"/>
    <s v="VND-015"/>
    <s v="ExpressRoute Logistics"/>
    <s v="Logistics"/>
    <s v="Central"/>
    <s v="Marco Diaz"/>
    <d v="2026-01-26T00:00:00"/>
    <d v="2026-02-25T00:00:00"/>
    <n v="30"/>
    <n v="6499.8"/>
    <n v="2931.39"/>
    <n v="3568.41"/>
    <d v="2026-03-10T00:00:00"/>
    <x v="3"/>
    <s v="Wire"/>
    <n v="43"/>
    <n v="-13"/>
    <s v="No"/>
    <s v="Yes"/>
    <n v="0.01"/>
    <s v="No"/>
    <n v="0"/>
  </r>
  <r>
    <s v="AP-0635"/>
    <s v="VND-010"/>
    <s v="DataBridge IT"/>
    <s v="IT"/>
    <s v="West"/>
    <s v="Ana Torres"/>
    <d v="2025-01-28T00:00:00"/>
    <d v="2025-02-27T00:00:00"/>
    <n v="30"/>
    <n v="64341.47"/>
    <n v="64341.47"/>
    <n v="0"/>
    <d v="2025-02-20T00:00:00"/>
    <x v="0"/>
    <s v="Credit Card"/>
    <n v="23"/>
    <n v="7"/>
    <s v="Yes"/>
    <s v="Yes"/>
    <n v="0.01"/>
    <s v="No"/>
    <n v="0"/>
  </r>
  <r>
    <s v="AP-0636"/>
    <s v="VND-004"/>
    <s v="BuildRight Materials"/>
    <s v="Materials"/>
    <s v="East"/>
    <s v="Pedro Alvarez"/>
    <d v="2025-09-08T00:00:00"/>
    <d v="2025-12-07T00:00:00"/>
    <n v="90"/>
    <n v="3365.24"/>
    <n v="3365.24"/>
    <n v="0"/>
    <d v="2025-11-29T00:00:00"/>
    <x v="0"/>
    <s v="Wire"/>
    <n v="82"/>
    <n v="8"/>
    <s v="Yes"/>
    <s v="No"/>
    <n v="0"/>
    <s v="No"/>
    <n v="0"/>
  </r>
  <r>
    <s v="AP-0637"/>
    <s v="VND-003"/>
    <s v="FastShip Logistics"/>
    <s v="Logistics"/>
    <s v="Central"/>
    <s v="Laura Chen"/>
    <d v="2025-09-22T00:00:00"/>
    <d v="2025-11-21T00:00:00"/>
    <n v="60"/>
    <n v="12931.92"/>
    <n v="12931.92"/>
    <n v="0"/>
    <d v="2025-11-28T00:00:00"/>
    <x v="0"/>
    <s v="Credit Card"/>
    <n v="67"/>
    <n v="-7"/>
    <s v="No"/>
    <s v="Yes"/>
    <n v="0.01"/>
    <s v="No"/>
    <n v="0"/>
  </r>
  <r>
    <s v="AP-0638"/>
    <s v="VND-019"/>
    <s v="SkyNet IT Solutions"/>
    <s v="IT"/>
    <s v="North"/>
    <s v="Laura Chen"/>
    <d v="2025-05-30T00:00:00"/>
    <d v="2025-06-14T00:00:00"/>
    <n v="15"/>
    <n v="28976.080000000002"/>
    <n v="28976.080000000002"/>
    <n v="0"/>
    <d v="2025-06-20T00:00:00"/>
    <x v="0"/>
    <s v="Wire"/>
    <n v="21"/>
    <n v="-6"/>
    <s v="No"/>
    <s v="No"/>
    <n v="0"/>
    <s v="No"/>
    <n v="0"/>
  </r>
  <r>
    <s v="AP-0639"/>
    <s v="VND-006"/>
    <s v="PowerGrid Utilities"/>
    <s v="Utilities"/>
    <s v="North"/>
    <s v="Laura Chen"/>
    <d v="2025-12-31T00:00:00"/>
    <d v="2026-03-01T00:00:00"/>
    <n v="60"/>
    <n v="1206.3699999999999"/>
    <n v="1206.3699999999999"/>
    <n v="0"/>
    <d v="2026-03-05T00:00:00"/>
    <x v="0"/>
    <s v="Check"/>
    <n v="64"/>
    <n v="-4"/>
    <s v="No"/>
    <s v="Yes"/>
    <n v="0.01"/>
    <s v="No"/>
    <n v="0"/>
  </r>
  <r>
    <s v="AP-0640"/>
    <s v="VND-021"/>
    <s v="PrimePack Logistics"/>
    <s v="Logistics"/>
    <s v="South"/>
    <s v="Sofia Reyes"/>
    <d v="2025-11-20T00:00:00"/>
    <d v="2026-01-19T00:00:00"/>
    <n v="60"/>
    <n v="16709.62"/>
    <n v="16709.62"/>
    <n v="0"/>
    <d v="2026-01-21T00:00:00"/>
    <x v="0"/>
    <s v="Wire"/>
    <n v="62"/>
    <n v="-2"/>
    <s v="No"/>
    <s v="Yes"/>
    <n v="0.01"/>
    <s v="No"/>
    <n v="0"/>
  </r>
  <r>
    <s v="AP-0641"/>
    <s v="VND-022"/>
    <s v="Apex Consulting"/>
    <s v="Services"/>
    <s v="East"/>
    <s v="Sofia Reyes"/>
    <d v="2025-01-14T00:00:00"/>
    <d v="2025-02-13T00:00:00"/>
    <n v="30"/>
    <n v="8067.13"/>
    <n v="8067.13"/>
    <n v="0"/>
    <d v="2025-01-29T00:00:00"/>
    <x v="0"/>
    <s v="Check"/>
    <n v="15"/>
    <n v="15"/>
    <s v="Yes"/>
    <s v="Yes"/>
    <n v="0.01"/>
    <s v="No"/>
    <n v="0"/>
  </r>
  <r>
    <s v="AP-0642"/>
    <s v="VND-006"/>
    <s v="PowerGrid Utilities"/>
    <s v="Utilities"/>
    <s v="North"/>
    <s v="Marco Diaz"/>
    <d v="2025-07-12T00:00:00"/>
    <d v="2025-08-11T00:00:00"/>
    <n v="30"/>
    <n v="12029.05"/>
    <n v="12029.05"/>
    <n v="0"/>
    <d v="2025-08-20T00:00:00"/>
    <x v="0"/>
    <s v="Wire"/>
    <n v="39"/>
    <n v="-9"/>
    <s v="No"/>
    <s v="Yes"/>
    <n v="0.01"/>
    <s v="No"/>
    <n v="0"/>
  </r>
  <r>
    <s v="AP-0643"/>
    <s v="VND-017"/>
    <s v="OfficePro Services"/>
    <s v="Services"/>
    <s v="Central"/>
    <s v="Ana Torres"/>
    <d v="2026-04-17T00:00:00"/>
    <d v="2026-06-16T00:00:00"/>
    <n v="60"/>
    <n v="36893.15"/>
    <n v="0"/>
    <n v="36893.15"/>
    <m/>
    <x v="2"/>
    <s v="ACH"/>
    <m/>
    <m/>
    <m/>
    <s v="Yes"/>
    <n v="0.01"/>
    <s v="No"/>
    <n v="0"/>
  </r>
  <r>
    <s v="AP-0644"/>
    <s v="VND-012"/>
    <s v="FacilityPro Services"/>
    <s v="Facilities"/>
    <s v="East"/>
    <s v="Laura Chen"/>
    <d v="2025-12-17T00:00:00"/>
    <d v="2026-03-17T00:00:00"/>
    <n v="90"/>
    <n v="7682.84"/>
    <n v="7682.84"/>
    <n v="0"/>
    <d v="2026-03-20T00:00:00"/>
    <x v="0"/>
    <s v="Wire"/>
    <n v="93"/>
    <n v="-3"/>
    <s v="No"/>
    <s v="Yes"/>
    <n v="5.0000000000000001E-3"/>
    <s v="No"/>
    <n v="0"/>
  </r>
  <r>
    <s v="AP-0645"/>
    <s v="VND-023"/>
    <s v="CoolTech Systems"/>
    <s v="IT"/>
    <s v="South"/>
    <s v="Marco Diaz"/>
    <d v="2025-08-03T00:00:00"/>
    <d v="2025-09-02T00:00:00"/>
    <n v="30"/>
    <n v="14766.37"/>
    <n v="14766.37"/>
    <n v="0"/>
    <d v="2025-09-04T00:00:00"/>
    <x v="0"/>
    <s v="Check"/>
    <n v="32"/>
    <n v="-2"/>
    <s v="No"/>
    <s v="Yes"/>
    <n v="0.01"/>
    <s v="No"/>
    <n v="0"/>
  </r>
  <r>
    <s v="AP-0646"/>
    <s v="VND-004"/>
    <s v="BuildRight Materials"/>
    <s v="Materials"/>
    <s v="North"/>
    <s v="Sofia Reyes"/>
    <d v="2025-02-13T00:00:00"/>
    <d v="2025-04-14T00:00:00"/>
    <n v="60"/>
    <n v="11424.85"/>
    <n v="11424.85"/>
    <n v="0"/>
    <d v="2025-04-07T00:00:00"/>
    <x v="0"/>
    <s v="Credit Card"/>
    <n v="53"/>
    <n v="7"/>
    <s v="Yes"/>
    <s v="Yes"/>
    <n v="0.01"/>
    <s v="No"/>
    <n v="0"/>
  </r>
  <r>
    <s v="AP-0647"/>
    <s v="VND-009"/>
    <s v="MetalWorks Ltd."/>
    <s v="Materials"/>
    <s v="North"/>
    <s v="Sofia Reyes"/>
    <d v="2025-04-09T00:00:00"/>
    <d v="2025-04-24T00:00:00"/>
    <n v="15"/>
    <n v="39553.800000000003"/>
    <n v="39553.800000000003"/>
    <n v="0"/>
    <d v="2025-04-20T00:00:00"/>
    <x v="0"/>
    <s v="Check"/>
    <n v="11"/>
    <n v="4"/>
    <s v="Yes"/>
    <s v="No"/>
    <n v="0"/>
    <s v="No"/>
    <n v="0"/>
  </r>
  <r>
    <s v="AP-0648"/>
    <s v="VND-007"/>
    <s v="ProStaff Services"/>
    <s v="Services"/>
    <s v="South"/>
    <s v="Laura Chen"/>
    <d v="2025-05-30T00:00:00"/>
    <d v="2025-06-29T00:00:00"/>
    <n v="30"/>
    <n v="34296.879999999997"/>
    <n v="0"/>
    <n v="34296.879999999997"/>
    <m/>
    <x v="1"/>
    <s v="ACH"/>
    <m/>
    <n v="-336"/>
    <s v="No"/>
    <s v="No"/>
    <n v="0"/>
    <s v="No"/>
    <n v="0"/>
  </r>
  <r>
    <s v="AP-0649"/>
    <s v="VND-012"/>
    <s v="FacilityPro Services"/>
    <s v="Facilities"/>
    <s v="East"/>
    <s v="Marco Diaz"/>
    <d v="2025-04-12T00:00:00"/>
    <d v="2025-05-12T00:00:00"/>
    <n v="30"/>
    <n v="29046.35"/>
    <n v="29046.35"/>
    <n v="0"/>
    <d v="2025-05-08T00:00:00"/>
    <x v="0"/>
    <s v="Wire"/>
    <n v="26"/>
    <n v="4"/>
    <s v="Yes"/>
    <s v="No"/>
    <n v="0"/>
    <s v="No"/>
    <n v="0"/>
  </r>
  <r>
    <s v="AP-0650"/>
    <s v="VND-006"/>
    <s v="PowerGrid Utilities"/>
    <s v="Utilities"/>
    <s v="Central"/>
    <s v="Sofia Reyes"/>
    <d v="2026-05-02T00:00:00"/>
    <d v="2026-06-01T00:00:00"/>
    <n v="30"/>
    <n v="5813.71"/>
    <n v="5813.71"/>
    <n v="0"/>
    <d v="2026-05-12T00:00:00"/>
    <x v="0"/>
    <s v="ACH"/>
    <n v="10"/>
    <n v="20"/>
    <s v="Yes"/>
    <s v="Yes"/>
    <n v="0.01"/>
    <s v="Yes"/>
    <n v="58.14"/>
  </r>
  <r>
    <s v="AP-0651"/>
    <s v="VND-006"/>
    <s v="PowerGrid Utilities"/>
    <s v="Utilities"/>
    <s v="East"/>
    <s v="Pedro Alvarez"/>
    <d v="2025-08-22T00:00:00"/>
    <d v="2025-09-21T00:00:00"/>
    <n v="30"/>
    <n v="6409.88"/>
    <n v="6409.88"/>
    <n v="0"/>
    <d v="2025-09-12T00:00:00"/>
    <x v="0"/>
    <s v="Credit Card"/>
    <n v="21"/>
    <n v="9"/>
    <s v="Yes"/>
    <s v="No"/>
    <n v="0"/>
    <s v="No"/>
    <n v="0"/>
  </r>
  <r>
    <s v="AP-0652"/>
    <s v="VND-016"/>
    <s v="CleanWater Utilities"/>
    <s v="Utilities"/>
    <s v="East"/>
    <s v="Laura Chen"/>
    <d v="2025-12-02T00:00:00"/>
    <d v="2026-01-01T00:00:00"/>
    <n v="30"/>
    <n v="7658.84"/>
    <n v="7658.84"/>
    <n v="0"/>
    <d v="2026-01-03T00:00:00"/>
    <x v="0"/>
    <s v="ACH"/>
    <n v="32"/>
    <n v="-2"/>
    <s v="No"/>
    <s v="Yes"/>
    <n v="0.01"/>
    <s v="No"/>
    <n v="0"/>
  </r>
  <r>
    <s v="AP-0653"/>
    <s v="VND-024"/>
    <s v="EliteFacilities Corp."/>
    <s v="Facilities"/>
    <s v="East"/>
    <s v="Pedro Alvarez"/>
    <d v="2025-10-25T00:00:00"/>
    <d v="2025-12-24T00:00:00"/>
    <n v="60"/>
    <n v="34503.760000000002"/>
    <n v="25787.33"/>
    <n v="8716.43"/>
    <d v="2026-01-13T00:00:00"/>
    <x v="3"/>
    <s v="Wire"/>
    <n v="80"/>
    <n v="-20"/>
    <s v="No"/>
    <s v="Yes"/>
    <n v="0.01"/>
    <s v="No"/>
    <n v="0"/>
  </r>
  <r>
    <s v="AP-0654"/>
    <s v="VND-016"/>
    <s v="CleanWater Utilities"/>
    <s v="Utilities"/>
    <s v="East"/>
    <s v="Marco Diaz"/>
    <d v="2025-04-18T00:00:00"/>
    <d v="2025-07-17T00:00:00"/>
    <n v="90"/>
    <n v="6247.36"/>
    <n v="6247.36"/>
    <n v="0"/>
    <d v="2025-07-22T00:00:00"/>
    <x v="0"/>
    <s v="ACH"/>
    <n v="95"/>
    <n v="-5"/>
    <s v="No"/>
    <s v="Yes"/>
    <n v="5.0000000000000001E-3"/>
    <s v="No"/>
    <n v="0"/>
  </r>
  <r>
    <s v="AP-0655"/>
    <s v="VND-023"/>
    <s v="CoolTech Systems"/>
    <s v="IT"/>
    <s v="Central"/>
    <s v="Sofia Reyes"/>
    <d v="2026-01-08T00:00:00"/>
    <d v="2026-02-07T00:00:00"/>
    <n v="30"/>
    <n v="78140.56"/>
    <n v="78140.56"/>
    <n v="0"/>
    <d v="2026-02-12T00:00:00"/>
    <x v="0"/>
    <s v="Wire"/>
    <n v="35"/>
    <n v="-5"/>
    <s v="No"/>
    <s v="Yes"/>
    <n v="0.01"/>
    <s v="No"/>
    <n v="0"/>
  </r>
  <r>
    <s v="AP-0656"/>
    <s v="VND-013"/>
    <s v="SafetyFirst Supplies"/>
    <s v="Materials"/>
    <s v="North"/>
    <s v="Marco Diaz"/>
    <d v="2025-10-13T00:00:00"/>
    <d v="2026-01-11T00:00:00"/>
    <n v="90"/>
    <n v="38711.22"/>
    <n v="38711.22"/>
    <n v="0"/>
    <d v="2026-01-11T00:00:00"/>
    <x v="0"/>
    <s v="Credit Card"/>
    <n v="90"/>
    <n v="0"/>
    <s v="Yes"/>
    <s v="No"/>
    <n v="0"/>
    <s v="No"/>
    <n v="0"/>
  </r>
  <r>
    <s v="AP-0657"/>
    <s v="VND-013"/>
    <s v="SafetyFirst Supplies"/>
    <s v="Materials"/>
    <s v="East"/>
    <s v="Pedro Alvarez"/>
    <d v="2025-10-13T00:00:00"/>
    <d v="2026-01-11T00:00:00"/>
    <n v="90"/>
    <n v="9073.9599999999991"/>
    <n v="9073.9599999999991"/>
    <n v="0"/>
    <d v="2025-12-28T00:00:00"/>
    <x v="0"/>
    <s v="Credit Card"/>
    <n v="76"/>
    <n v="14"/>
    <s v="Yes"/>
    <s v="Yes"/>
    <n v="5.0000000000000001E-3"/>
    <s v="No"/>
    <n v="0"/>
  </r>
  <r>
    <s v="AP-0658"/>
    <s v="VND-016"/>
    <s v="CleanWater Utilities"/>
    <s v="Utilities"/>
    <s v="West"/>
    <s v="Marco Diaz"/>
    <d v="2025-04-12T00:00:00"/>
    <d v="2025-04-27T00:00:00"/>
    <n v="15"/>
    <n v="11198.08"/>
    <n v="11198.08"/>
    <n v="0"/>
    <d v="2025-05-01T00:00:00"/>
    <x v="0"/>
    <s v="Wire"/>
    <n v="19"/>
    <n v="-4"/>
    <s v="No"/>
    <s v="No"/>
    <n v="0"/>
    <s v="No"/>
    <n v="0"/>
  </r>
  <r>
    <s v="AP-0659"/>
    <s v="VND-020"/>
    <s v="TrustBuild Facilities"/>
    <s v="Facilities"/>
    <s v="East"/>
    <s v="Marco Diaz"/>
    <d v="2025-03-20T00:00:00"/>
    <d v="2025-04-19T00:00:00"/>
    <n v="30"/>
    <n v="23815.66"/>
    <n v="23815.66"/>
    <n v="0"/>
    <d v="2025-04-19T00:00:00"/>
    <x v="0"/>
    <s v="Check"/>
    <n v="30"/>
    <n v="0"/>
    <s v="Yes"/>
    <s v="Yes"/>
    <n v="0.01"/>
    <s v="No"/>
    <n v="0"/>
  </r>
  <r>
    <s v="AP-0660"/>
    <s v="VND-015"/>
    <s v="ExpressRoute Logistics"/>
    <s v="Logistics"/>
    <s v="South"/>
    <s v="Laura Chen"/>
    <d v="2025-09-25T00:00:00"/>
    <d v="2025-12-24T00:00:00"/>
    <n v="90"/>
    <n v="11306.32"/>
    <n v="11306.32"/>
    <n v="0"/>
    <d v="2026-01-06T00:00:00"/>
    <x v="0"/>
    <s v="Credit Card"/>
    <n v="103"/>
    <n v="-13"/>
    <s v="No"/>
    <s v="No"/>
    <n v="0"/>
    <s v="No"/>
    <n v="0"/>
  </r>
  <r>
    <s v="AP-0661"/>
    <s v="VND-014"/>
    <s v="NetConnect Systems"/>
    <s v="IT"/>
    <s v="North"/>
    <s v="Pedro Alvarez"/>
    <d v="2026-01-21T00:00:00"/>
    <d v="2026-03-22T00:00:00"/>
    <n v="60"/>
    <n v="38191.71"/>
    <n v="38191.71"/>
    <n v="0"/>
    <d v="2026-03-23T00:00:00"/>
    <x v="0"/>
    <s v="Credit Card"/>
    <n v="61"/>
    <n v="-1"/>
    <s v="No"/>
    <s v="Yes"/>
    <n v="0.01"/>
    <s v="No"/>
    <n v="0"/>
  </r>
  <r>
    <s v="AP-0662"/>
    <s v="VND-022"/>
    <s v="Apex Consulting"/>
    <s v="Services"/>
    <s v="East"/>
    <s v="Marco Diaz"/>
    <d v="2025-05-18T00:00:00"/>
    <d v="2025-07-17T00:00:00"/>
    <n v="60"/>
    <n v="14561.01"/>
    <n v="14561.01"/>
    <n v="0"/>
    <d v="2025-07-09T00:00:00"/>
    <x v="0"/>
    <s v="Credit Card"/>
    <n v="52"/>
    <n v="8"/>
    <s v="Yes"/>
    <s v="Yes"/>
    <n v="0.01"/>
    <s v="No"/>
    <n v="0"/>
  </r>
  <r>
    <s v="AP-0663"/>
    <s v="VND-018"/>
    <s v="BuildFast Materials"/>
    <s v="Materials"/>
    <s v="Central"/>
    <s v="Ana Torres"/>
    <d v="2025-06-10T00:00:00"/>
    <d v="2025-09-08T00:00:00"/>
    <n v="90"/>
    <n v="26320.880000000001"/>
    <n v="26320.880000000001"/>
    <n v="0"/>
    <d v="2025-09-05T00:00:00"/>
    <x v="0"/>
    <s v="Credit Card"/>
    <n v="87"/>
    <n v="3"/>
    <s v="Yes"/>
    <s v="Yes"/>
    <n v="5.0000000000000001E-3"/>
    <s v="No"/>
    <n v="0"/>
  </r>
  <r>
    <s v="AP-0664"/>
    <s v="VND-013"/>
    <s v="SafetyFirst Supplies"/>
    <s v="Materials"/>
    <s v="Central"/>
    <s v="Laura Chen"/>
    <d v="2025-03-04T00:00:00"/>
    <d v="2025-05-03T00:00:00"/>
    <n v="60"/>
    <n v="3351.06"/>
    <n v="1589.87"/>
    <n v="1761.19"/>
    <d v="2025-05-21T00:00:00"/>
    <x v="3"/>
    <s v="Check"/>
    <n v="78"/>
    <n v="-18"/>
    <s v="No"/>
    <s v="Yes"/>
    <n v="0.01"/>
    <s v="No"/>
    <n v="0"/>
  </r>
  <r>
    <s v="AP-0665"/>
    <s v="VND-019"/>
    <s v="SkyNet IT Solutions"/>
    <s v="IT"/>
    <s v="North"/>
    <s v="Laura Chen"/>
    <d v="2026-03-15T00:00:00"/>
    <d v="2026-04-14T00:00:00"/>
    <n v="30"/>
    <n v="30885.73"/>
    <n v="30885.73"/>
    <n v="0"/>
    <d v="2026-04-14T00:00:00"/>
    <x v="0"/>
    <s v="Credit Card"/>
    <n v="30"/>
    <n v="0"/>
    <s v="Yes"/>
    <s v="Yes"/>
    <n v="0.01"/>
    <s v="No"/>
    <n v="0"/>
  </r>
  <r>
    <s v="AP-0666"/>
    <s v="VND-019"/>
    <s v="SkyNet IT Solutions"/>
    <s v="IT"/>
    <s v="North"/>
    <s v="Sofia Reyes"/>
    <d v="2025-12-12T00:00:00"/>
    <d v="2026-01-11T00:00:00"/>
    <n v="30"/>
    <n v="17733.439999999999"/>
    <n v="17733.439999999999"/>
    <n v="0"/>
    <d v="2026-01-22T00:00:00"/>
    <x v="0"/>
    <s v="Check"/>
    <n v="41"/>
    <n v="-11"/>
    <s v="No"/>
    <s v="Yes"/>
    <n v="0.01"/>
    <s v="No"/>
    <n v="0"/>
  </r>
  <r>
    <s v="AP-0667"/>
    <s v="VND-022"/>
    <s v="Apex Consulting"/>
    <s v="Services"/>
    <s v="West"/>
    <s v="Ana Torres"/>
    <d v="2025-01-21T00:00:00"/>
    <d v="2025-03-07T00:00:00"/>
    <n v="45"/>
    <n v="28750.46"/>
    <n v="0"/>
    <n v="28750.46"/>
    <m/>
    <x v="1"/>
    <s v="Credit Card"/>
    <m/>
    <n v="-450"/>
    <s v="No"/>
    <s v="Yes"/>
    <n v="1.4999999999999999E-2"/>
    <s v="No"/>
    <n v="0"/>
  </r>
  <r>
    <s v="AP-0668"/>
    <s v="VND-013"/>
    <s v="SafetyFirst Supplies"/>
    <s v="Materials"/>
    <s v="Central"/>
    <s v="Pedro Alvarez"/>
    <d v="2026-05-16T00:00:00"/>
    <d v="2026-06-15T00:00:00"/>
    <n v="30"/>
    <n v="6802.72"/>
    <n v="6802.72"/>
    <n v="0"/>
    <d v="2026-05-31T00:00:00"/>
    <x v="0"/>
    <s v="Check"/>
    <n v="15"/>
    <n v="15"/>
    <s v="Yes"/>
    <s v="Yes"/>
    <n v="0.01"/>
    <s v="No"/>
    <n v="0"/>
  </r>
  <r>
    <s v="AP-0669"/>
    <s v="VND-020"/>
    <s v="TrustBuild Facilities"/>
    <s v="Facilities"/>
    <s v="East"/>
    <s v="Laura Chen"/>
    <d v="2026-05-24T00:00:00"/>
    <d v="2026-06-23T00:00:00"/>
    <n v="30"/>
    <n v="22969.66"/>
    <n v="22969.66"/>
    <n v="0"/>
    <d v="2026-05-31T00:00:00"/>
    <x v="0"/>
    <s v="Credit Card"/>
    <n v="7"/>
    <n v="23"/>
    <s v="Yes"/>
    <s v="No"/>
    <n v="0"/>
    <s v="No"/>
    <n v="0"/>
  </r>
  <r>
    <s v="AP-0670"/>
    <s v="VND-007"/>
    <s v="ProStaff Services"/>
    <s v="Services"/>
    <s v="East"/>
    <s v="Laura Chen"/>
    <d v="2026-02-16T00:00:00"/>
    <d v="2026-04-02T00:00:00"/>
    <n v="45"/>
    <n v="32770.31"/>
    <n v="0"/>
    <n v="32770.31"/>
    <m/>
    <x v="1"/>
    <s v="ACH"/>
    <m/>
    <n v="-59"/>
    <s v="No"/>
    <s v="Yes"/>
    <n v="1.4999999999999999E-2"/>
    <s v="No"/>
    <n v="0"/>
  </r>
  <r>
    <s v="AP-0671"/>
    <s v="VND-019"/>
    <s v="SkyNet IT Solutions"/>
    <s v="IT"/>
    <s v="North"/>
    <s v="Ana Torres"/>
    <d v="2025-03-10T00:00:00"/>
    <d v="2025-04-24T00:00:00"/>
    <n v="45"/>
    <n v="47482.12"/>
    <n v="47482.12"/>
    <n v="0"/>
    <d v="2025-04-23T00:00:00"/>
    <x v="0"/>
    <s v="Check"/>
    <n v="44"/>
    <n v="1"/>
    <s v="Yes"/>
    <s v="Yes"/>
    <n v="1.4999999999999999E-2"/>
    <s v="No"/>
    <n v="0"/>
  </r>
  <r>
    <s v="AP-0672"/>
    <s v="VND-010"/>
    <s v="DataBridge IT"/>
    <s v="IT"/>
    <s v="Central"/>
    <s v="Laura Chen"/>
    <d v="2025-07-24T00:00:00"/>
    <d v="2025-09-22T00:00:00"/>
    <n v="60"/>
    <n v="36073.57"/>
    <n v="36073.57"/>
    <n v="0"/>
    <d v="2025-09-24T00:00:00"/>
    <x v="0"/>
    <s v="Credit Card"/>
    <n v="62"/>
    <n v="-2"/>
    <s v="No"/>
    <s v="Yes"/>
    <n v="0.01"/>
    <s v="No"/>
    <n v="0"/>
  </r>
  <r>
    <s v="AP-0673"/>
    <s v="VND-022"/>
    <s v="Apex Consulting"/>
    <s v="Services"/>
    <s v="Central"/>
    <s v="Marco Diaz"/>
    <d v="2026-05-27T00:00:00"/>
    <d v="2026-06-26T00:00:00"/>
    <n v="30"/>
    <n v="10879.25"/>
    <n v="10879.25"/>
    <n v="0"/>
    <d v="2026-05-31T00:00:00"/>
    <x v="0"/>
    <s v="ACH"/>
    <n v="4"/>
    <n v="26"/>
    <s v="Yes"/>
    <s v="No"/>
    <n v="0"/>
    <s v="No"/>
    <n v="0"/>
  </r>
  <r>
    <s v="AP-0674"/>
    <s v="VND-020"/>
    <s v="TrustBuild Facilities"/>
    <s v="Facilities"/>
    <s v="West"/>
    <s v="Ana Torres"/>
    <d v="2026-01-09T00:00:00"/>
    <d v="2026-02-08T00:00:00"/>
    <n v="30"/>
    <n v="17262.060000000001"/>
    <n v="17262.060000000001"/>
    <n v="0"/>
    <d v="2026-02-05T00:00:00"/>
    <x v="0"/>
    <s v="ACH"/>
    <n v="27"/>
    <n v="3"/>
    <s v="Yes"/>
    <s v="Yes"/>
    <n v="0.01"/>
    <s v="No"/>
    <n v="0"/>
  </r>
  <r>
    <s v="AP-0675"/>
    <s v="VND-025"/>
    <s v="RapidShip Co."/>
    <s v="Logistics"/>
    <s v="East"/>
    <s v="Pedro Alvarez"/>
    <d v="2025-03-07T00:00:00"/>
    <d v="2025-05-06T00:00:00"/>
    <n v="60"/>
    <n v="13044.62"/>
    <n v="13044.62"/>
    <n v="0"/>
    <d v="2025-05-05T00:00:00"/>
    <x v="0"/>
    <s v="Credit Card"/>
    <n v="59"/>
    <n v="1"/>
    <s v="Yes"/>
    <s v="No"/>
    <n v="0"/>
    <s v="No"/>
    <n v="0"/>
  </r>
  <r>
    <s v="AP-0676"/>
    <s v="VND-022"/>
    <s v="Apex Consulting"/>
    <s v="Services"/>
    <s v="Central"/>
    <s v="Marco Diaz"/>
    <d v="2025-04-27T00:00:00"/>
    <d v="2025-05-27T00:00:00"/>
    <n v="30"/>
    <n v="8548.6"/>
    <n v="3891.92"/>
    <n v="4656.68"/>
    <d v="2025-06-06T00:00:00"/>
    <x v="3"/>
    <s v="Credit Card"/>
    <n v="40"/>
    <n v="-10"/>
    <s v="No"/>
    <s v="Yes"/>
    <n v="0.01"/>
    <s v="No"/>
    <n v="0"/>
  </r>
  <r>
    <s v="AP-0677"/>
    <s v="VND-018"/>
    <s v="BuildFast Materials"/>
    <s v="Materials"/>
    <s v="West"/>
    <s v="Pedro Alvarez"/>
    <d v="2025-06-13T00:00:00"/>
    <d v="2025-07-13T00:00:00"/>
    <n v="30"/>
    <n v="15090.17"/>
    <n v="6622.86"/>
    <n v="8467.31"/>
    <d v="2025-07-25T00:00:00"/>
    <x v="3"/>
    <s v="ACH"/>
    <n v="42"/>
    <n v="-12"/>
    <s v="No"/>
    <s v="Yes"/>
    <n v="0.01"/>
    <s v="No"/>
    <n v="0"/>
  </r>
  <r>
    <s v="AP-0678"/>
    <s v="VND-006"/>
    <s v="PowerGrid Utilities"/>
    <s v="Utilities"/>
    <s v="North"/>
    <s v="Pedro Alvarez"/>
    <d v="2025-03-27T00:00:00"/>
    <d v="2025-04-11T00:00:00"/>
    <n v="15"/>
    <n v="5051.62"/>
    <n v="5051.62"/>
    <n v="0"/>
    <d v="2025-04-15T00:00:00"/>
    <x v="0"/>
    <s v="ACH"/>
    <n v="19"/>
    <n v="-4"/>
    <s v="No"/>
    <s v="Yes"/>
    <n v="0.02"/>
    <s v="No"/>
    <n v="0"/>
  </r>
  <r>
    <s v="AP-0679"/>
    <s v="VND-014"/>
    <s v="NetConnect Systems"/>
    <s v="IT"/>
    <s v="East"/>
    <s v="Sofia Reyes"/>
    <d v="2025-08-30T00:00:00"/>
    <d v="2025-09-29T00:00:00"/>
    <n v="30"/>
    <n v="13394.93"/>
    <n v="0"/>
    <n v="13394.93"/>
    <m/>
    <x v="1"/>
    <s v="Credit Card"/>
    <m/>
    <n v="-244"/>
    <s v="No"/>
    <s v="No"/>
    <n v="0"/>
    <s v="No"/>
    <n v="0"/>
  </r>
  <r>
    <s v="AP-0680"/>
    <s v="VND-017"/>
    <s v="OfficePro Services"/>
    <s v="Services"/>
    <s v="Central"/>
    <s v="Ana Torres"/>
    <d v="2025-04-03T00:00:00"/>
    <d v="2025-07-02T00:00:00"/>
    <n v="90"/>
    <n v="11808.84"/>
    <n v="5486.89"/>
    <n v="6321.95"/>
    <d v="2025-07-15T00:00:00"/>
    <x v="3"/>
    <s v="Check"/>
    <n v="103"/>
    <n v="-13"/>
    <s v="No"/>
    <s v="Yes"/>
    <n v="5.0000000000000001E-3"/>
    <s v="No"/>
    <n v="0"/>
  </r>
  <r>
    <s v="AP-0681"/>
    <s v="VND-024"/>
    <s v="EliteFacilities Corp."/>
    <s v="Facilities"/>
    <s v="West"/>
    <s v="Marco Diaz"/>
    <d v="2025-05-28T00:00:00"/>
    <d v="2025-06-27T00:00:00"/>
    <n v="30"/>
    <n v="5524.86"/>
    <n v="5524.86"/>
    <n v="0"/>
    <d v="2025-06-14T00:00:00"/>
    <x v="0"/>
    <s v="Credit Card"/>
    <n v="17"/>
    <n v="13"/>
    <s v="Yes"/>
    <s v="Yes"/>
    <n v="0.01"/>
    <s v="No"/>
    <n v="0"/>
  </r>
  <r>
    <s v="AP-0682"/>
    <s v="VND-002"/>
    <s v="TechCore Solutions"/>
    <s v="IT"/>
    <s v="West"/>
    <s v="Ana Torres"/>
    <d v="2025-11-21T00:00:00"/>
    <d v="2025-12-21T00:00:00"/>
    <n v="30"/>
    <n v="45930.879999999997"/>
    <n v="45930.879999999997"/>
    <n v="0"/>
    <d v="2025-12-29T00:00:00"/>
    <x v="0"/>
    <s v="Check"/>
    <n v="38"/>
    <n v="-8"/>
    <s v="No"/>
    <s v="Yes"/>
    <n v="0.01"/>
    <s v="No"/>
    <n v="0"/>
  </r>
  <r>
    <s v="AP-0683"/>
    <s v="VND-009"/>
    <s v="MetalWorks Ltd."/>
    <s v="Materials"/>
    <s v="South"/>
    <s v="Laura Chen"/>
    <d v="2025-11-12T00:00:00"/>
    <d v="2026-01-11T00:00:00"/>
    <n v="60"/>
    <n v="3011.56"/>
    <n v="3011.56"/>
    <n v="0"/>
    <d v="2026-01-17T00:00:00"/>
    <x v="0"/>
    <s v="Credit Card"/>
    <n v="66"/>
    <n v="-6"/>
    <s v="No"/>
    <s v="No"/>
    <n v="0"/>
    <s v="No"/>
    <n v="0"/>
  </r>
  <r>
    <s v="AP-0684"/>
    <s v="VND-002"/>
    <s v="TechCore Solutions"/>
    <s v="IT"/>
    <s v="South"/>
    <s v="Laura Chen"/>
    <d v="2026-01-07T00:00:00"/>
    <d v="2026-02-21T00:00:00"/>
    <n v="45"/>
    <n v="72736.78"/>
    <n v="72736.78"/>
    <n v="0"/>
    <d v="2026-02-12T00:00:00"/>
    <x v="0"/>
    <s v="Credit Card"/>
    <n v="36"/>
    <n v="9"/>
    <s v="Yes"/>
    <s v="Yes"/>
    <n v="1.4999999999999999E-2"/>
    <s v="No"/>
    <n v="0"/>
  </r>
  <r>
    <s v="AP-0685"/>
    <s v="VND-008"/>
    <s v="GreenEnergy Corp."/>
    <s v="Utilities"/>
    <s v="West"/>
    <s v="Pedro Alvarez"/>
    <d v="2025-09-19T00:00:00"/>
    <d v="2025-11-18T00:00:00"/>
    <n v="60"/>
    <n v="4862.88"/>
    <n v="4862.88"/>
    <n v="0"/>
    <d v="2025-11-14T00:00:00"/>
    <x v="0"/>
    <s v="ACH"/>
    <n v="56"/>
    <n v="4"/>
    <s v="Yes"/>
    <s v="No"/>
    <n v="0"/>
    <s v="No"/>
    <n v="0"/>
  </r>
  <r>
    <s v="AP-0686"/>
    <s v="VND-006"/>
    <s v="PowerGrid Utilities"/>
    <s v="Utilities"/>
    <s v="West"/>
    <s v="Laura Chen"/>
    <d v="2025-10-08T00:00:00"/>
    <d v="2025-10-23T00:00:00"/>
    <n v="15"/>
    <n v="13063.45"/>
    <n v="0"/>
    <n v="13063.45"/>
    <m/>
    <x v="1"/>
    <s v="Credit Card"/>
    <m/>
    <n v="-220"/>
    <s v="No"/>
    <s v="No"/>
    <n v="0"/>
    <s v="No"/>
    <n v="0"/>
  </r>
  <r>
    <s v="AP-0687"/>
    <s v="VND-016"/>
    <s v="CleanWater Utilities"/>
    <s v="Utilities"/>
    <s v="West"/>
    <s v="Laura Chen"/>
    <d v="2025-06-14T00:00:00"/>
    <d v="2025-07-14T00:00:00"/>
    <n v="30"/>
    <n v="10627.99"/>
    <n v="10627.99"/>
    <n v="0"/>
    <d v="2025-07-29T00:00:00"/>
    <x v="0"/>
    <s v="Credit Card"/>
    <n v="45"/>
    <n v="-15"/>
    <s v="No"/>
    <s v="Yes"/>
    <n v="0.01"/>
    <s v="No"/>
    <n v="0"/>
  </r>
  <r>
    <s v="AP-0688"/>
    <s v="VND-020"/>
    <s v="TrustBuild Facilities"/>
    <s v="Facilities"/>
    <s v="Central"/>
    <s v="Laura Chen"/>
    <d v="2025-02-23T00:00:00"/>
    <d v="2025-03-10T00:00:00"/>
    <n v="15"/>
    <n v="23165.3"/>
    <n v="23165.3"/>
    <n v="0"/>
    <d v="2025-03-10T00:00:00"/>
    <x v="0"/>
    <s v="Credit Card"/>
    <n v="15"/>
    <n v="0"/>
    <s v="Yes"/>
    <s v="Yes"/>
    <n v="0.02"/>
    <s v="No"/>
    <n v="0"/>
  </r>
  <r>
    <s v="AP-0689"/>
    <s v="VND-007"/>
    <s v="ProStaff Services"/>
    <s v="Services"/>
    <s v="East"/>
    <s v="Laura Chen"/>
    <d v="2025-06-11T00:00:00"/>
    <d v="2025-07-11T00:00:00"/>
    <n v="30"/>
    <n v="12235.33"/>
    <n v="12235.33"/>
    <n v="0"/>
    <d v="2025-07-11T00:00:00"/>
    <x v="0"/>
    <s v="ACH"/>
    <n v="30"/>
    <n v="0"/>
    <s v="Yes"/>
    <s v="No"/>
    <n v="0"/>
    <s v="No"/>
    <n v="0"/>
  </r>
  <r>
    <s v="AP-0690"/>
    <s v="VND-021"/>
    <s v="PrimePack Logistics"/>
    <s v="Logistics"/>
    <s v="South"/>
    <s v="Ana Torres"/>
    <d v="2026-04-08T00:00:00"/>
    <d v="2026-06-07T00:00:00"/>
    <n v="60"/>
    <n v="10088.94"/>
    <n v="10088.94"/>
    <n v="0"/>
    <d v="2026-05-31T00:00:00"/>
    <x v="0"/>
    <s v="Credit Card"/>
    <n v="53"/>
    <n v="7"/>
    <s v="Yes"/>
    <s v="No"/>
    <n v="0"/>
    <s v="No"/>
    <n v="0"/>
  </r>
  <r>
    <s v="AP-0691"/>
    <s v="VND-007"/>
    <s v="ProStaff Services"/>
    <s v="Services"/>
    <s v="North"/>
    <s v="Pedro Alvarez"/>
    <d v="2026-02-07T00:00:00"/>
    <d v="2026-03-09T00:00:00"/>
    <n v="30"/>
    <n v="35426.43"/>
    <n v="14604.32"/>
    <n v="20822.11"/>
    <d v="2026-03-04T00:00:00"/>
    <x v="3"/>
    <s v="Check"/>
    <n v="25"/>
    <n v="5"/>
    <s v="Yes"/>
    <s v="No"/>
    <n v="0"/>
    <s v="No"/>
    <n v="0"/>
  </r>
  <r>
    <s v="AP-0692"/>
    <s v="VND-018"/>
    <s v="BuildFast Materials"/>
    <s v="Materials"/>
    <s v="Central"/>
    <s v="Marco Diaz"/>
    <d v="2025-07-23T00:00:00"/>
    <d v="2025-10-21T00:00:00"/>
    <n v="90"/>
    <n v="14565.59"/>
    <n v="14565.59"/>
    <n v="0"/>
    <d v="2025-10-09T00:00:00"/>
    <x v="0"/>
    <s v="ACH"/>
    <n v="78"/>
    <n v="12"/>
    <s v="Yes"/>
    <s v="No"/>
    <n v="0"/>
    <s v="No"/>
    <n v="0"/>
  </r>
  <r>
    <s v="AP-0693"/>
    <s v="VND-020"/>
    <s v="TrustBuild Facilities"/>
    <s v="Facilities"/>
    <s v="West"/>
    <s v="Ana Torres"/>
    <d v="2025-04-02T00:00:00"/>
    <d v="2025-05-02T00:00:00"/>
    <n v="30"/>
    <n v="33615.08"/>
    <n v="33615.08"/>
    <n v="0"/>
    <d v="2025-05-11T00:00:00"/>
    <x v="0"/>
    <s v="Check"/>
    <n v="39"/>
    <n v="-9"/>
    <s v="No"/>
    <s v="Yes"/>
    <n v="0.01"/>
    <s v="No"/>
    <n v="0"/>
  </r>
  <r>
    <s v="AP-0694"/>
    <s v="VND-025"/>
    <s v="RapidShip Co."/>
    <s v="Logistics"/>
    <s v="West"/>
    <s v="Pedro Alvarez"/>
    <d v="2025-07-28T00:00:00"/>
    <d v="2025-08-27T00:00:00"/>
    <n v="30"/>
    <n v="4620.34"/>
    <n v="2051.34"/>
    <n v="2569"/>
    <d v="2025-09-06T00:00:00"/>
    <x v="3"/>
    <s v="ACH"/>
    <n v="40"/>
    <n v="-10"/>
    <s v="No"/>
    <s v="No"/>
    <n v="0"/>
    <s v="No"/>
    <n v="0"/>
  </r>
  <r>
    <s v="AP-0695"/>
    <s v="VND-013"/>
    <s v="SafetyFirst Supplies"/>
    <s v="Materials"/>
    <s v="South"/>
    <s v="Pedro Alvarez"/>
    <d v="2025-10-17T00:00:00"/>
    <d v="2025-11-16T00:00:00"/>
    <n v="30"/>
    <n v="36881.99"/>
    <n v="36881.99"/>
    <n v="0"/>
    <d v="2025-11-16T00:00:00"/>
    <x v="0"/>
    <s v="Wire"/>
    <n v="30"/>
    <n v="0"/>
    <s v="Yes"/>
    <s v="Yes"/>
    <n v="0.01"/>
    <s v="No"/>
    <n v="0"/>
  </r>
  <r>
    <s v="AP-0696"/>
    <s v="VND-005"/>
    <s v="CloudSys Inc."/>
    <s v="IT"/>
    <s v="North"/>
    <s v="Laura Chen"/>
    <d v="2026-04-07T00:00:00"/>
    <d v="2026-05-07T00:00:00"/>
    <n v="30"/>
    <n v="73049.62"/>
    <n v="73049.62"/>
    <n v="0"/>
    <d v="2026-05-11T00:00:00"/>
    <x v="0"/>
    <s v="Check"/>
    <n v="34"/>
    <n v="-4"/>
    <s v="No"/>
    <s v="Yes"/>
    <n v="0.01"/>
    <s v="No"/>
    <n v="0"/>
  </r>
  <r>
    <s v="AP-0697"/>
    <s v="VND-011"/>
    <s v="QuickFreight Inc."/>
    <s v="Logistics"/>
    <s v="West"/>
    <s v="Marco Diaz"/>
    <d v="2025-09-20T00:00:00"/>
    <d v="2025-11-19T00:00:00"/>
    <n v="60"/>
    <n v="2388.06"/>
    <n v="2388.06"/>
    <n v="0"/>
    <d v="2025-11-19T00:00:00"/>
    <x v="0"/>
    <s v="Credit Card"/>
    <n v="60"/>
    <n v="0"/>
    <s v="Yes"/>
    <s v="Yes"/>
    <n v="0.01"/>
    <s v="No"/>
    <n v="0"/>
  </r>
  <r>
    <s v="AP-0698"/>
    <s v="VND-008"/>
    <s v="GreenEnergy Corp."/>
    <s v="Utilities"/>
    <s v="West"/>
    <s v="Laura Chen"/>
    <d v="2025-09-17T00:00:00"/>
    <d v="2025-10-02T00:00:00"/>
    <n v="15"/>
    <n v="7815.86"/>
    <n v="0"/>
    <n v="7815.86"/>
    <m/>
    <x v="1"/>
    <s v="ACH"/>
    <m/>
    <n v="-241"/>
    <s v="No"/>
    <s v="Yes"/>
    <n v="0.02"/>
    <s v="No"/>
    <n v="0"/>
  </r>
  <r>
    <s v="AP-0699"/>
    <s v="VND-022"/>
    <s v="Apex Consulting"/>
    <s v="Services"/>
    <s v="East"/>
    <s v="Marco Diaz"/>
    <d v="2025-09-24T00:00:00"/>
    <d v="2025-10-24T00:00:00"/>
    <n v="30"/>
    <n v="9285.06"/>
    <n v="9285.06"/>
    <n v="0"/>
    <d v="2025-10-21T00:00:00"/>
    <x v="0"/>
    <s v="ACH"/>
    <n v="27"/>
    <n v="3"/>
    <s v="Yes"/>
    <s v="Yes"/>
    <n v="0.01"/>
    <s v="No"/>
    <n v="0"/>
  </r>
  <r>
    <s v="AP-0700"/>
    <s v="VND-023"/>
    <s v="CoolTech Systems"/>
    <s v="IT"/>
    <s v="Central"/>
    <s v="Pedro Alvarez"/>
    <d v="2025-04-30T00:00:00"/>
    <d v="2025-06-14T00:00:00"/>
    <n v="45"/>
    <n v="28495.22"/>
    <n v="28495.22"/>
    <n v="0"/>
    <d v="2025-06-14T00:00:00"/>
    <x v="0"/>
    <s v="Wire"/>
    <n v="45"/>
    <n v="0"/>
    <s v="Yes"/>
    <s v="No"/>
    <n v="0"/>
    <s v="No"/>
    <n v="0"/>
  </r>
  <r>
    <s v="AP-0701"/>
    <s v="VND-009"/>
    <s v="MetalWorks Ltd."/>
    <s v="Materials"/>
    <s v="East"/>
    <s v="Pedro Alvarez"/>
    <d v="2025-09-28T00:00:00"/>
    <d v="2025-11-12T00:00:00"/>
    <n v="45"/>
    <n v="26814.69"/>
    <n v="26814.69"/>
    <n v="0"/>
    <d v="2025-11-12T00:00:00"/>
    <x v="0"/>
    <s v="Check"/>
    <n v="45"/>
    <n v="0"/>
    <s v="Yes"/>
    <s v="Yes"/>
    <n v="1.4999999999999999E-2"/>
    <s v="No"/>
    <n v="0"/>
  </r>
  <r>
    <s v="AP-0702"/>
    <s v="VND-005"/>
    <s v="CloudSys Inc."/>
    <s v="IT"/>
    <s v="Central"/>
    <s v="Pedro Alvarez"/>
    <d v="2025-06-02T00:00:00"/>
    <d v="2025-07-02T00:00:00"/>
    <n v="30"/>
    <n v="9092.5400000000009"/>
    <n v="9092.5400000000009"/>
    <n v="0"/>
    <d v="2025-06-23T00:00:00"/>
    <x v="0"/>
    <s v="ACH"/>
    <n v="21"/>
    <n v="9"/>
    <s v="Yes"/>
    <s v="Yes"/>
    <n v="0.01"/>
    <s v="No"/>
    <n v="0"/>
  </r>
  <r>
    <s v="AP-0703"/>
    <s v="VND-006"/>
    <s v="PowerGrid Utilities"/>
    <s v="Utilities"/>
    <s v="West"/>
    <s v="Pedro Alvarez"/>
    <d v="2025-02-11T00:00:00"/>
    <d v="2025-05-12T00:00:00"/>
    <n v="90"/>
    <n v="6902.04"/>
    <n v="6902.04"/>
    <n v="0"/>
    <d v="2025-05-09T00:00:00"/>
    <x v="0"/>
    <s v="ACH"/>
    <n v="87"/>
    <n v="3"/>
    <s v="Yes"/>
    <s v="No"/>
    <n v="0"/>
    <s v="No"/>
    <n v="0"/>
  </r>
  <r>
    <s v="AP-0704"/>
    <s v="VND-024"/>
    <s v="EliteFacilities Corp."/>
    <s v="Facilities"/>
    <s v="South"/>
    <s v="Sofia Reyes"/>
    <d v="2025-07-28T00:00:00"/>
    <d v="2025-08-27T00:00:00"/>
    <n v="30"/>
    <n v="30649.71"/>
    <n v="30649.71"/>
    <n v="0"/>
    <d v="2025-08-28T00:00:00"/>
    <x v="0"/>
    <s v="Check"/>
    <n v="31"/>
    <n v="-1"/>
    <s v="No"/>
    <s v="Yes"/>
    <n v="0.01"/>
    <s v="No"/>
    <n v="0"/>
  </r>
  <r>
    <s v="AP-0705"/>
    <s v="VND-017"/>
    <s v="OfficePro Services"/>
    <s v="Services"/>
    <s v="East"/>
    <s v="Ana Torres"/>
    <d v="2025-07-04T00:00:00"/>
    <d v="2025-07-19T00:00:00"/>
    <n v="15"/>
    <n v="18407.5"/>
    <n v="18407.5"/>
    <n v="0"/>
    <d v="2025-07-12T00:00:00"/>
    <x v="0"/>
    <s v="Wire"/>
    <n v="8"/>
    <n v="7"/>
    <s v="Yes"/>
    <s v="Yes"/>
    <n v="0.02"/>
    <s v="No"/>
    <n v="0"/>
  </r>
  <r>
    <s v="AP-0706"/>
    <s v="VND-001"/>
    <s v="Acme Supplies Co."/>
    <s v="Materials"/>
    <s v="East"/>
    <s v="Sofia Reyes"/>
    <d v="2025-04-19T00:00:00"/>
    <d v="2025-06-18T00:00:00"/>
    <n v="60"/>
    <n v="42174.91"/>
    <n v="42174.91"/>
    <n v="0"/>
    <d v="2025-06-04T00:00:00"/>
    <x v="0"/>
    <s v="Credit Card"/>
    <n v="46"/>
    <n v="14"/>
    <s v="Yes"/>
    <s v="Yes"/>
    <n v="0.01"/>
    <s v="No"/>
    <n v="0"/>
  </r>
  <r>
    <s v="AP-0707"/>
    <s v="VND-023"/>
    <s v="CoolTech Systems"/>
    <s v="IT"/>
    <s v="West"/>
    <s v="Pedro Alvarez"/>
    <d v="2025-12-04T00:00:00"/>
    <d v="2025-12-19T00:00:00"/>
    <n v="15"/>
    <n v="77732.789999999994"/>
    <n v="0"/>
    <n v="77732.789999999994"/>
    <m/>
    <x v="1"/>
    <s v="Check"/>
    <m/>
    <n v="-163"/>
    <s v="No"/>
    <s v="Yes"/>
    <n v="0.02"/>
    <s v="No"/>
    <n v="0"/>
  </r>
  <r>
    <s v="AP-0708"/>
    <s v="VND-011"/>
    <s v="QuickFreight Inc."/>
    <s v="Logistics"/>
    <s v="Central"/>
    <s v="Marco Diaz"/>
    <d v="2025-10-17T00:00:00"/>
    <d v="2025-11-01T00:00:00"/>
    <n v="15"/>
    <n v="7140.25"/>
    <n v="7140.25"/>
    <n v="0"/>
    <d v="2025-11-08T00:00:00"/>
    <x v="0"/>
    <s v="Wire"/>
    <n v="22"/>
    <n v="-7"/>
    <s v="No"/>
    <s v="Yes"/>
    <n v="0.02"/>
    <s v="No"/>
    <n v="0"/>
  </r>
  <r>
    <s v="AP-0709"/>
    <s v="VND-013"/>
    <s v="SafetyFirst Supplies"/>
    <s v="Materials"/>
    <s v="East"/>
    <s v="Marco Diaz"/>
    <d v="2025-04-02T00:00:00"/>
    <d v="2025-06-01T00:00:00"/>
    <n v="60"/>
    <n v="2984.58"/>
    <n v="2984.58"/>
    <n v="0"/>
    <d v="2025-05-30T00:00:00"/>
    <x v="0"/>
    <s v="Wire"/>
    <n v="58"/>
    <n v="2"/>
    <s v="Yes"/>
    <s v="Yes"/>
    <n v="0.01"/>
    <s v="No"/>
    <n v="0"/>
  </r>
  <r>
    <s v="AP-0710"/>
    <s v="VND-013"/>
    <s v="SafetyFirst Supplies"/>
    <s v="Materials"/>
    <s v="East"/>
    <s v="Marco Diaz"/>
    <d v="2026-05-18T00:00:00"/>
    <d v="2026-07-02T00:00:00"/>
    <n v="45"/>
    <n v="40452.82"/>
    <n v="0"/>
    <n v="40452.82"/>
    <m/>
    <x v="1"/>
    <s v="ACH"/>
    <m/>
    <n v="32"/>
    <s v="No"/>
    <s v="No"/>
    <n v="0"/>
    <s v="No"/>
    <n v="0"/>
  </r>
  <r>
    <s v="AP-0711"/>
    <s v="VND-020"/>
    <s v="TrustBuild Facilities"/>
    <s v="Facilities"/>
    <s v="South"/>
    <s v="Laura Chen"/>
    <d v="2025-07-24T00:00:00"/>
    <d v="2025-09-22T00:00:00"/>
    <n v="60"/>
    <n v="18157.560000000001"/>
    <n v="18157.560000000001"/>
    <n v="0"/>
    <d v="2025-09-15T00:00:00"/>
    <x v="0"/>
    <s v="ACH"/>
    <n v="53"/>
    <n v="7"/>
    <s v="Yes"/>
    <s v="No"/>
    <n v="0"/>
    <s v="No"/>
    <n v="0"/>
  </r>
  <r>
    <s v="AP-0712"/>
    <s v="VND-025"/>
    <s v="RapidShip Co."/>
    <s v="Logistics"/>
    <s v="West"/>
    <s v="Laura Chen"/>
    <d v="2026-03-13T00:00:00"/>
    <d v="2026-05-12T00:00:00"/>
    <n v="60"/>
    <n v="2766"/>
    <n v="0"/>
    <n v="2766"/>
    <m/>
    <x v="1"/>
    <s v="Wire"/>
    <m/>
    <n v="-19"/>
    <s v="No"/>
    <s v="Yes"/>
    <n v="0.01"/>
    <s v="No"/>
    <n v="0"/>
  </r>
  <r>
    <s v="AP-0713"/>
    <s v="VND-021"/>
    <s v="PrimePack Logistics"/>
    <s v="Logistics"/>
    <s v="South"/>
    <s v="Pedro Alvarez"/>
    <d v="2026-04-25T00:00:00"/>
    <d v="2026-06-09T00:00:00"/>
    <n v="45"/>
    <n v="9309.75"/>
    <n v="0"/>
    <n v="9309.75"/>
    <m/>
    <x v="2"/>
    <s v="ACH"/>
    <m/>
    <m/>
    <m/>
    <s v="No"/>
    <n v="0"/>
    <s v="No"/>
    <n v="0"/>
  </r>
  <r>
    <s v="AP-0714"/>
    <s v="VND-005"/>
    <s v="CloudSys Inc."/>
    <s v="IT"/>
    <s v="East"/>
    <s v="Marco Diaz"/>
    <d v="2025-02-18T00:00:00"/>
    <d v="2025-04-04T00:00:00"/>
    <n v="45"/>
    <n v="46324.57"/>
    <n v="46324.57"/>
    <n v="0"/>
    <d v="2025-04-01T00:00:00"/>
    <x v="0"/>
    <s v="Credit Card"/>
    <n v="42"/>
    <n v="3"/>
    <s v="Yes"/>
    <s v="No"/>
    <n v="0"/>
    <s v="No"/>
    <n v="0"/>
  </r>
  <r>
    <s v="AP-0715"/>
    <s v="VND-017"/>
    <s v="OfficePro Services"/>
    <s v="Services"/>
    <s v="West"/>
    <s v="Pedro Alvarez"/>
    <d v="2025-09-17T00:00:00"/>
    <d v="2025-12-16T00:00:00"/>
    <n v="90"/>
    <n v="16151.93"/>
    <n v="16151.93"/>
    <n v="0"/>
    <d v="2025-12-29T00:00:00"/>
    <x v="0"/>
    <s v="ACH"/>
    <n v="103"/>
    <n v="-13"/>
    <s v="No"/>
    <s v="Yes"/>
    <n v="5.0000000000000001E-3"/>
    <s v="No"/>
    <n v="0"/>
  </r>
  <r>
    <s v="AP-0716"/>
    <s v="VND-015"/>
    <s v="ExpressRoute Logistics"/>
    <s v="Logistics"/>
    <s v="South"/>
    <s v="Marco Diaz"/>
    <d v="2025-03-27T00:00:00"/>
    <d v="2025-04-11T00:00:00"/>
    <n v="15"/>
    <n v="8908.7800000000007"/>
    <n v="8908.7800000000007"/>
    <n v="0"/>
    <d v="2025-04-12T00:00:00"/>
    <x v="0"/>
    <s v="Credit Card"/>
    <n v="16"/>
    <n v="-1"/>
    <s v="No"/>
    <s v="No"/>
    <n v="0"/>
    <s v="No"/>
    <n v="0"/>
  </r>
  <r>
    <s v="AP-0717"/>
    <s v="VND-024"/>
    <s v="EliteFacilities Corp."/>
    <s v="Facilities"/>
    <s v="West"/>
    <s v="Pedro Alvarez"/>
    <d v="2025-07-11T00:00:00"/>
    <d v="2025-09-09T00:00:00"/>
    <n v="60"/>
    <n v="8965.26"/>
    <n v="0"/>
    <n v="8965.26"/>
    <m/>
    <x v="1"/>
    <s v="Check"/>
    <m/>
    <n v="-264"/>
    <s v="No"/>
    <s v="Yes"/>
    <n v="0.01"/>
    <s v="No"/>
    <n v="0"/>
  </r>
  <r>
    <s v="AP-0718"/>
    <s v="VND-009"/>
    <s v="MetalWorks Ltd."/>
    <s v="Materials"/>
    <s v="North"/>
    <s v="Pedro Alvarez"/>
    <d v="2026-02-09T00:00:00"/>
    <d v="2026-02-24T00:00:00"/>
    <n v="15"/>
    <n v="7600.56"/>
    <n v="7600.56"/>
    <n v="0"/>
    <d v="2026-02-19T00:00:00"/>
    <x v="0"/>
    <s v="ACH"/>
    <n v="10"/>
    <n v="5"/>
    <s v="Yes"/>
    <s v="Yes"/>
    <n v="0.02"/>
    <s v="No"/>
    <n v="0"/>
  </r>
  <r>
    <s v="AP-0719"/>
    <s v="VND-024"/>
    <s v="EliteFacilities Corp."/>
    <s v="Facilities"/>
    <s v="Central"/>
    <s v="Pedro Alvarez"/>
    <d v="2026-02-09T00:00:00"/>
    <d v="2026-04-10T00:00:00"/>
    <n v="60"/>
    <n v="28553.14"/>
    <n v="0"/>
    <n v="28553.14"/>
    <m/>
    <x v="2"/>
    <s v="Check"/>
    <m/>
    <m/>
    <m/>
    <s v="Yes"/>
    <n v="0.01"/>
    <s v="No"/>
    <n v="0"/>
  </r>
  <r>
    <s v="AP-0720"/>
    <s v="VND-001"/>
    <s v="Acme Supplies Co."/>
    <s v="Materials"/>
    <s v="South"/>
    <s v="Sofia Reyes"/>
    <d v="2025-05-29T00:00:00"/>
    <d v="2025-08-27T00:00:00"/>
    <n v="90"/>
    <n v="33187.51"/>
    <n v="33187.51"/>
    <n v="0"/>
    <d v="2025-08-12T00:00:00"/>
    <x v="0"/>
    <s v="Wire"/>
    <n v="75"/>
    <n v="15"/>
    <s v="Yes"/>
    <s v="Yes"/>
    <n v="5.0000000000000001E-3"/>
    <s v="No"/>
    <n v="0"/>
  </r>
  <r>
    <s v="AP-0721"/>
    <s v="VND-018"/>
    <s v="BuildFast Materials"/>
    <s v="Materials"/>
    <s v="South"/>
    <s v="Sofia Reyes"/>
    <d v="2025-06-01T00:00:00"/>
    <d v="2025-08-30T00:00:00"/>
    <n v="90"/>
    <n v="24751.48"/>
    <n v="24751.48"/>
    <n v="0"/>
    <d v="2025-09-06T00:00:00"/>
    <x v="0"/>
    <s v="Check"/>
    <n v="97"/>
    <n v="-7"/>
    <s v="No"/>
    <s v="Yes"/>
    <n v="5.0000000000000001E-3"/>
    <s v="No"/>
    <n v="0"/>
  </r>
  <r>
    <s v="AP-0722"/>
    <s v="VND-016"/>
    <s v="CleanWater Utilities"/>
    <s v="Utilities"/>
    <s v="West"/>
    <s v="Sofia Reyes"/>
    <d v="2025-07-26T00:00:00"/>
    <d v="2025-08-25T00:00:00"/>
    <n v="30"/>
    <n v="4775.0600000000004"/>
    <n v="4775.0600000000004"/>
    <n v="0"/>
    <d v="2025-09-04T00:00:00"/>
    <x v="0"/>
    <s v="Credit Card"/>
    <n v="40"/>
    <n v="-10"/>
    <s v="No"/>
    <s v="No"/>
    <n v="0"/>
    <s v="No"/>
    <n v="0"/>
  </r>
  <r>
    <s v="AP-0723"/>
    <s v="VND-011"/>
    <s v="QuickFreight Inc."/>
    <s v="Logistics"/>
    <s v="North"/>
    <s v="Sofia Reyes"/>
    <d v="2026-05-23T00:00:00"/>
    <d v="2026-07-22T00:00:00"/>
    <n v="60"/>
    <n v="15004.49"/>
    <n v="0"/>
    <n v="15004.49"/>
    <m/>
    <x v="2"/>
    <s v="Credit Card"/>
    <m/>
    <m/>
    <m/>
    <s v="Yes"/>
    <n v="0.01"/>
    <s v="No"/>
    <n v="0"/>
  </r>
  <r>
    <s v="AP-0724"/>
    <s v="VND-016"/>
    <s v="CleanWater Utilities"/>
    <s v="Utilities"/>
    <s v="West"/>
    <s v="Pedro Alvarez"/>
    <d v="2025-03-04T00:00:00"/>
    <d v="2025-04-03T00:00:00"/>
    <n v="30"/>
    <n v="8160.48"/>
    <n v="8160.48"/>
    <n v="0"/>
    <d v="2025-04-18T00:00:00"/>
    <x v="0"/>
    <s v="Credit Card"/>
    <n v="45"/>
    <n v="-15"/>
    <s v="No"/>
    <s v="Yes"/>
    <n v="0.01"/>
    <s v="No"/>
    <n v="0"/>
  </r>
  <r>
    <s v="AP-0725"/>
    <s v="VND-014"/>
    <s v="NetConnect Systems"/>
    <s v="IT"/>
    <s v="West"/>
    <s v="Sofia Reyes"/>
    <d v="2026-04-05T00:00:00"/>
    <d v="2026-06-04T00:00:00"/>
    <n v="60"/>
    <n v="57313.58"/>
    <n v="0"/>
    <n v="57313.58"/>
    <m/>
    <x v="2"/>
    <s v="Credit Card"/>
    <m/>
    <m/>
    <m/>
    <s v="Yes"/>
    <n v="0.01"/>
    <s v="No"/>
    <n v="0"/>
  </r>
  <r>
    <s v="AP-0726"/>
    <s v="VND-012"/>
    <s v="FacilityPro Services"/>
    <s v="Facilities"/>
    <s v="West"/>
    <s v="Marco Diaz"/>
    <d v="2026-04-25T00:00:00"/>
    <d v="2026-06-24T00:00:00"/>
    <n v="60"/>
    <n v="6328.23"/>
    <n v="6328.23"/>
    <n v="0"/>
    <d v="2026-05-31T00:00:00"/>
    <x v="0"/>
    <s v="Wire"/>
    <n v="36"/>
    <n v="24"/>
    <s v="Yes"/>
    <s v="Yes"/>
    <n v="0.01"/>
    <s v="No"/>
    <n v="0"/>
  </r>
  <r>
    <s v="AP-0727"/>
    <s v="VND-022"/>
    <s v="Apex Consulting"/>
    <s v="Services"/>
    <s v="East"/>
    <s v="Pedro Alvarez"/>
    <d v="2025-10-17T00:00:00"/>
    <d v="2025-11-16T00:00:00"/>
    <n v="30"/>
    <n v="28555.81"/>
    <n v="28555.81"/>
    <n v="0"/>
    <d v="2025-11-18T00:00:00"/>
    <x v="0"/>
    <s v="Wire"/>
    <n v="32"/>
    <n v="-2"/>
    <s v="No"/>
    <s v="Yes"/>
    <n v="0.01"/>
    <s v="No"/>
    <n v="0"/>
  </r>
  <r>
    <s v="AP-0728"/>
    <s v="VND-016"/>
    <s v="CleanWater Utilities"/>
    <s v="Utilities"/>
    <s v="North"/>
    <s v="Pedro Alvarez"/>
    <d v="2025-08-29T00:00:00"/>
    <d v="2025-10-13T00:00:00"/>
    <n v="45"/>
    <n v="3536.78"/>
    <n v="3536.78"/>
    <n v="0"/>
    <d v="2025-10-17T00:00:00"/>
    <x v="0"/>
    <s v="Credit Card"/>
    <n v="49"/>
    <n v="-4"/>
    <s v="No"/>
    <s v="Yes"/>
    <n v="1.4999999999999999E-2"/>
    <s v="No"/>
    <n v="0"/>
  </r>
  <r>
    <s v="AP-0729"/>
    <s v="VND-009"/>
    <s v="MetalWorks Ltd."/>
    <s v="Materials"/>
    <s v="East"/>
    <s v="Marco Diaz"/>
    <d v="2025-03-07T00:00:00"/>
    <d v="2025-03-22T00:00:00"/>
    <n v="15"/>
    <n v="18211.27"/>
    <n v="18211.27"/>
    <n v="0"/>
    <d v="2025-03-14T00:00:00"/>
    <x v="0"/>
    <s v="Wire"/>
    <n v="7"/>
    <n v="8"/>
    <s v="Yes"/>
    <s v="Yes"/>
    <n v="0.02"/>
    <s v="No"/>
    <n v="0"/>
  </r>
  <r>
    <s v="AP-0730"/>
    <s v="VND-011"/>
    <s v="QuickFreight Inc."/>
    <s v="Logistics"/>
    <s v="East"/>
    <s v="Sofia Reyes"/>
    <d v="2025-04-17T00:00:00"/>
    <d v="2025-05-17T00:00:00"/>
    <n v="30"/>
    <n v="14421.69"/>
    <n v="14421.69"/>
    <n v="0"/>
    <d v="2025-05-14T00:00:00"/>
    <x v="0"/>
    <s v="Check"/>
    <n v="27"/>
    <n v="3"/>
    <s v="Yes"/>
    <s v="No"/>
    <n v="0"/>
    <s v="No"/>
    <n v="0"/>
  </r>
  <r>
    <s v="AP-0731"/>
    <s v="VND-015"/>
    <s v="ExpressRoute Logistics"/>
    <s v="Logistics"/>
    <s v="North"/>
    <s v="Sofia Reyes"/>
    <d v="2025-04-18T00:00:00"/>
    <d v="2025-05-03T00:00:00"/>
    <n v="15"/>
    <n v="4173.88"/>
    <n v="4173.88"/>
    <n v="0"/>
    <d v="2025-04-25T00:00:00"/>
    <x v="0"/>
    <s v="ACH"/>
    <n v="7"/>
    <n v="8"/>
    <s v="Yes"/>
    <s v="Yes"/>
    <n v="0.02"/>
    <s v="No"/>
    <n v="0"/>
  </r>
  <r>
    <s v="AP-0732"/>
    <s v="VND-023"/>
    <s v="CoolTech Systems"/>
    <s v="IT"/>
    <s v="West"/>
    <s v="Ana Torres"/>
    <d v="2025-06-07T00:00:00"/>
    <d v="2025-07-07T00:00:00"/>
    <n v="30"/>
    <n v="53531.97"/>
    <n v="53531.97"/>
    <n v="0"/>
    <d v="2025-07-16T00:00:00"/>
    <x v="0"/>
    <s v="Credit Card"/>
    <n v="39"/>
    <n v="-9"/>
    <s v="No"/>
    <s v="Yes"/>
    <n v="0.01"/>
    <s v="No"/>
    <n v="0"/>
  </r>
  <r>
    <s v="AP-0733"/>
    <s v="VND-007"/>
    <s v="ProStaff Services"/>
    <s v="Services"/>
    <s v="West"/>
    <s v="Pedro Alvarez"/>
    <d v="2026-05-01T00:00:00"/>
    <d v="2026-05-31T00:00:00"/>
    <n v="30"/>
    <n v="15628.84"/>
    <n v="0"/>
    <n v="15628.84"/>
    <m/>
    <x v="2"/>
    <s v="ACH"/>
    <m/>
    <m/>
    <m/>
    <s v="Yes"/>
    <n v="0.01"/>
    <s v="No"/>
    <n v="0"/>
  </r>
  <r>
    <s v="AP-0734"/>
    <s v="VND-025"/>
    <s v="RapidShip Co."/>
    <s v="Logistics"/>
    <s v="West"/>
    <s v="Laura Chen"/>
    <d v="2026-03-08T00:00:00"/>
    <d v="2026-04-07T00:00:00"/>
    <n v="30"/>
    <n v="15957.1"/>
    <n v="15957.1"/>
    <n v="0"/>
    <d v="2026-04-22T00:00:00"/>
    <x v="0"/>
    <s v="Wire"/>
    <n v="45"/>
    <n v="-15"/>
    <s v="No"/>
    <s v="Yes"/>
    <n v="0.01"/>
    <s v="No"/>
    <n v="0"/>
  </r>
  <r>
    <s v="AP-0735"/>
    <s v="VND-017"/>
    <s v="OfficePro Services"/>
    <s v="Services"/>
    <s v="East"/>
    <s v="Sofia Reyes"/>
    <d v="2025-01-11T00:00:00"/>
    <d v="2025-02-10T00:00:00"/>
    <n v="30"/>
    <n v="29552.15"/>
    <n v="29552.15"/>
    <n v="0"/>
    <d v="2025-01-30T00:00:00"/>
    <x v="0"/>
    <s v="Credit Card"/>
    <n v="19"/>
    <n v="11"/>
    <s v="Yes"/>
    <s v="Yes"/>
    <n v="0.01"/>
    <s v="No"/>
    <n v="0"/>
  </r>
  <r>
    <s v="AP-0736"/>
    <s v="VND-011"/>
    <s v="QuickFreight Inc."/>
    <s v="Logistics"/>
    <s v="East"/>
    <s v="Pedro Alvarez"/>
    <d v="2025-03-04T00:00:00"/>
    <d v="2025-05-03T00:00:00"/>
    <n v="60"/>
    <n v="8472.06"/>
    <n v="0"/>
    <n v="8472.06"/>
    <m/>
    <x v="1"/>
    <s v="Wire"/>
    <m/>
    <n v="-393"/>
    <s v="No"/>
    <s v="Yes"/>
    <n v="0.01"/>
    <s v="No"/>
    <n v="0"/>
  </r>
  <r>
    <s v="AP-0737"/>
    <s v="VND-005"/>
    <s v="CloudSys Inc."/>
    <s v="IT"/>
    <s v="Central"/>
    <s v="Sofia Reyes"/>
    <d v="2026-02-16T00:00:00"/>
    <d v="2026-04-17T00:00:00"/>
    <n v="60"/>
    <n v="71433.710000000006"/>
    <n v="32634.32"/>
    <n v="38799.39"/>
    <d v="2026-04-23T00:00:00"/>
    <x v="3"/>
    <s v="Check"/>
    <n v="66"/>
    <n v="-6"/>
    <s v="No"/>
    <s v="No"/>
    <n v="0"/>
    <s v="No"/>
    <n v="0"/>
  </r>
  <r>
    <s v="AP-0738"/>
    <s v="VND-001"/>
    <s v="Acme Supplies Co."/>
    <s v="Materials"/>
    <s v="East"/>
    <s v="Ana Torres"/>
    <d v="2026-04-02T00:00:00"/>
    <d v="2026-06-01T00:00:00"/>
    <n v="60"/>
    <n v="32906.21"/>
    <n v="32906.21"/>
    <n v="0"/>
    <d v="2026-05-26T00:00:00"/>
    <x v="0"/>
    <s v="Wire"/>
    <n v="54"/>
    <n v="6"/>
    <s v="Yes"/>
    <s v="No"/>
    <n v="0"/>
    <s v="No"/>
    <n v="0"/>
  </r>
  <r>
    <s v="AP-0739"/>
    <s v="VND-021"/>
    <s v="PrimePack Logistics"/>
    <s v="Logistics"/>
    <s v="West"/>
    <s v="Marco Diaz"/>
    <d v="2025-02-07T00:00:00"/>
    <d v="2025-03-09T00:00:00"/>
    <n v="30"/>
    <n v="11211.24"/>
    <n v="11211.24"/>
    <n v="0"/>
    <d v="2025-03-11T00:00:00"/>
    <x v="0"/>
    <s v="Check"/>
    <n v="32"/>
    <n v="-2"/>
    <s v="No"/>
    <s v="Yes"/>
    <n v="0.01"/>
    <s v="No"/>
    <n v="0"/>
  </r>
  <r>
    <s v="AP-0740"/>
    <s v="VND-005"/>
    <s v="CloudSys Inc."/>
    <s v="IT"/>
    <s v="Central"/>
    <s v="Ana Torres"/>
    <d v="2025-04-06T00:00:00"/>
    <d v="2025-05-06T00:00:00"/>
    <n v="30"/>
    <n v="43375.37"/>
    <n v="43375.37"/>
    <n v="0"/>
    <d v="2025-05-05T00:00:00"/>
    <x v="0"/>
    <s v="Check"/>
    <n v="29"/>
    <n v="1"/>
    <s v="Yes"/>
    <s v="Yes"/>
    <n v="0.01"/>
    <s v="No"/>
    <n v="0"/>
  </r>
  <r>
    <s v="AP-0741"/>
    <s v="VND-018"/>
    <s v="BuildFast Materials"/>
    <s v="Materials"/>
    <s v="Central"/>
    <s v="Laura Chen"/>
    <d v="2026-03-09T00:00:00"/>
    <d v="2026-04-23T00:00:00"/>
    <n v="45"/>
    <n v="49373.83"/>
    <n v="0"/>
    <n v="49373.83"/>
    <m/>
    <x v="2"/>
    <s v="Wire"/>
    <m/>
    <m/>
    <m/>
    <s v="Yes"/>
    <n v="1.4999999999999999E-2"/>
    <s v="No"/>
    <n v="0"/>
  </r>
  <r>
    <s v="AP-0742"/>
    <s v="VND-021"/>
    <s v="PrimePack Logistics"/>
    <s v="Logistics"/>
    <s v="Central"/>
    <s v="Laura Chen"/>
    <d v="2025-05-08T00:00:00"/>
    <d v="2025-05-23T00:00:00"/>
    <n v="15"/>
    <n v="9526"/>
    <n v="9526"/>
    <n v="0"/>
    <d v="2025-05-22T00:00:00"/>
    <x v="0"/>
    <s v="ACH"/>
    <n v="14"/>
    <n v="1"/>
    <s v="Yes"/>
    <s v="Yes"/>
    <n v="0.02"/>
    <s v="No"/>
    <n v="0"/>
  </r>
  <r>
    <s v="AP-0743"/>
    <s v="VND-011"/>
    <s v="QuickFreight Inc."/>
    <s v="Logistics"/>
    <s v="South"/>
    <s v="Ana Torres"/>
    <d v="2025-11-03T00:00:00"/>
    <d v="2026-01-02T00:00:00"/>
    <n v="60"/>
    <n v="6406.17"/>
    <n v="6406.17"/>
    <n v="0"/>
    <d v="2025-12-28T00:00:00"/>
    <x v="0"/>
    <s v="Wire"/>
    <n v="55"/>
    <n v="5"/>
    <s v="Yes"/>
    <s v="No"/>
    <n v="0"/>
    <s v="No"/>
    <n v="0"/>
  </r>
  <r>
    <s v="AP-0744"/>
    <s v="VND-017"/>
    <s v="OfficePro Services"/>
    <s v="Services"/>
    <s v="South"/>
    <s v="Sofia Reyes"/>
    <d v="2026-01-05T00:00:00"/>
    <d v="2026-02-04T00:00:00"/>
    <n v="30"/>
    <n v="19809.45"/>
    <n v="19809.45"/>
    <n v="0"/>
    <d v="2026-01-24T00:00:00"/>
    <x v="0"/>
    <s v="Check"/>
    <n v="19"/>
    <n v="11"/>
    <s v="Yes"/>
    <s v="Yes"/>
    <n v="0.01"/>
    <s v="No"/>
    <n v="0"/>
  </r>
  <r>
    <s v="AP-0745"/>
    <s v="VND-014"/>
    <s v="NetConnect Systems"/>
    <s v="IT"/>
    <s v="North"/>
    <s v="Sofia Reyes"/>
    <d v="2025-05-14T00:00:00"/>
    <d v="2025-07-13T00:00:00"/>
    <n v="60"/>
    <n v="40718.980000000003"/>
    <n v="40718.980000000003"/>
    <n v="0"/>
    <d v="2025-07-03T00:00:00"/>
    <x v="0"/>
    <s v="ACH"/>
    <n v="50"/>
    <n v="10"/>
    <s v="Yes"/>
    <s v="Yes"/>
    <n v="0.01"/>
    <s v="No"/>
    <n v="0"/>
  </r>
  <r>
    <s v="AP-0746"/>
    <s v="VND-017"/>
    <s v="OfficePro Services"/>
    <s v="Services"/>
    <s v="West"/>
    <s v="Laura Chen"/>
    <d v="2026-03-27T00:00:00"/>
    <d v="2026-05-26T00:00:00"/>
    <n v="60"/>
    <n v="28493.66"/>
    <n v="28493.66"/>
    <n v="0"/>
    <d v="2026-05-25T00:00:00"/>
    <x v="0"/>
    <s v="Credit Card"/>
    <n v="59"/>
    <n v="1"/>
    <s v="Yes"/>
    <s v="No"/>
    <n v="0"/>
    <s v="No"/>
    <n v="0"/>
  </r>
  <r>
    <s v="AP-0747"/>
    <s v="VND-006"/>
    <s v="PowerGrid Utilities"/>
    <s v="Utilities"/>
    <s v="South"/>
    <s v="Ana Torres"/>
    <d v="2026-04-14T00:00:00"/>
    <d v="2026-07-13T00:00:00"/>
    <n v="90"/>
    <n v="2376.09"/>
    <n v="0"/>
    <n v="2376.09"/>
    <m/>
    <x v="2"/>
    <s v="Wire"/>
    <m/>
    <m/>
    <m/>
    <s v="No"/>
    <n v="0"/>
    <s v="No"/>
    <n v="0"/>
  </r>
  <r>
    <s v="AP-0748"/>
    <s v="VND-007"/>
    <s v="ProStaff Services"/>
    <s v="Services"/>
    <s v="West"/>
    <s v="Pedro Alvarez"/>
    <d v="2026-01-14T00:00:00"/>
    <d v="2026-02-13T00:00:00"/>
    <n v="30"/>
    <n v="37102.800000000003"/>
    <n v="13177.73"/>
    <n v="23925.07"/>
    <d v="2026-02-19T00:00:00"/>
    <x v="3"/>
    <s v="ACH"/>
    <n v="36"/>
    <n v="-6"/>
    <s v="No"/>
    <s v="Yes"/>
    <n v="0.01"/>
    <s v="No"/>
    <n v="0"/>
  </r>
  <r>
    <s v="AP-0749"/>
    <s v="VND-019"/>
    <s v="SkyNet IT Solutions"/>
    <s v="IT"/>
    <s v="East"/>
    <s v="Sofia Reyes"/>
    <d v="2026-01-16T00:00:00"/>
    <d v="2026-02-15T00:00:00"/>
    <n v="30"/>
    <n v="27869.34"/>
    <n v="27869.34"/>
    <n v="0"/>
    <d v="2026-02-19T00:00:00"/>
    <x v="0"/>
    <s v="Wire"/>
    <n v="34"/>
    <n v="-4"/>
    <s v="No"/>
    <s v="Yes"/>
    <n v="0.01"/>
    <s v="No"/>
    <n v="0"/>
  </r>
  <r>
    <s v="AP-0750"/>
    <s v="VND-019"/>
    <s v="SkyNet IT Solutions"/>
    <s v="IT"/>
    <s v="West"/>
    <s v="Sofia Reyes"/>
    <d v="2025-08-09T00:00:00"/>
    <d v="2025-09-23T00:00:00"/>
    <n v="45"/>
    <n v="18730.78"/>
    <n v="18730.78"/>
    <n v="0"/>
    <d v="2025-09-23T00:00:00"/>
    <x v="0"/>
    <s v="Check"/>
    <n v="45"/>
    <n v="0"/>
    <s v="Yes"/>
    <s v="No"/>
    <n v="0"/>
    <s v="No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s v="AP-0001"/>
    <s v="VND-021"/>
    <s v="PrimePack Logistics"/>
    <s v="Logistics"/>
    <s v="North"/>
    <s v="Sofia Reyes"/>
    <d v="2025-08-17T00:00:00"/>
    <d v="2025-09-16T00:00:00"/>
    <n v="30"/>
    <n v="3651.22"/>
    <n v="3651.22"/>
    <n v="0"/>
    <d v="2025-09-06T00:00:00"/>
    <s v="Paid"/>
    <s v="Check"/>
    <n v="20"/>
    <n v="10"/>
    <x v="0"/>
    <s v="Yes"/>
    <n v="0.01"/>
    <s v="No"/>
    <n v="0"/>
  </r>
  <r>
    <s v="AP-0002"/>
    <s v="VND-002"/>
    <s v="TechCore Solutions"/>
    <s v="IT"/>
    <s v="North"/>
    <s v="Sofia Reyes"/>
    <d v="2025-01-28T00:00:00"/>
    <d v="2025-02-27T00:00:00"/>
    <n v="30"/>
    <n v="47093.38"/>
    <n v="47093.38"/>
    <n v="0"/>
    <d v="2025-02-24T00:00:00"/>
    <s v="Paid"/>
    <s v="Wire"/>
    <n v="27"/>
    <n v="3"/>
    <x v="0"/>
    <s v="No"/>
    <n v="0"/>
    <s v="No"/>
    <n v="0"/>
  </r>
  <r>
    <s v="AP-0003"/>
    <s v="VND-014"/>
    <s v="NetConnect Systems"/>
    <s v="IT"/>
    <s v="South"/>
    <s v="Pedro Alvarez"/>
    <d v="2025-06-13T00:00:00"/>
    <d v="2025-06-28T00:00:00"/>
    <n v="15"/>
    <n v="57360.45"/>
    <n v="57360.45"/>
    <n v="0"/>
    <d v="2025-07-04T00:00:00"/>
    <s v="Paid"/>
    <s v="Check"/>
    <n v="21"/>
    <n v="-6"/>
    <x v="1"/>
    <s v="Yes"/>
    <n v="0.02"/>
    <s v="No"/>
    <n v="0"/>
  </r>
  <r>
    <s v="AP-0004"/>
    <s v="VND-003"/>
    <s v="FastShip Logistics"/>
    <s v="Logistics"/>
    <s v="West"/>
    <s v="Sofia Reyes"/>
    <d v="2025-09-28T00:00:00"/>
    <d v="2025-11-27T00:00:00"/>
    <n v="60"/>
    <n v="16335.44"/>
    <n v="16335.44"/>
    <n v="0"/>
    <d v="2025-11-26T00:00:00"/>
    <s v="Paid"/>
    <s v="Check"/>
    <n v="59"/>
    <n v="1"/>
    <x v="0"/>
    <s v="No"/>
    <n v="0"/>
    <s v="No"/>
    <n v="0"/>
  </r>
  <r>
    <s v="AP-0005"/>
    <s v="VND-013"/>
    <s v="SafetyFirst Supplies"/>
    <s v="Materials"/>
    <s v="North"/>
    <s v="Ana Torres"/>
    <d v="2025-07-16T00:00:00"/>
    <d v="2025-09-14T00:00:00"/>
    <n v="60"/>
    <n v="35819.449999999997"/>
    <n v="35819.449999999997"/>
    <n v="0"/>
    <d v="2025-09-14T00:00:00"/>
    <s v="Paid"/>
    <s v="Check"/>
    <n v="60"/>
    <n v="0"/>
    <x v="0"/>
    <s v="Yes"/>
    <n v="0.01"/>
    <s v="No"/>
    <n v="0"/>
  </r>
  <r>
    <s v="AP-0006"/>
    <s v="VND-008"/>
    <s v="GreenEnergy Corp."/>
    <s v="Utilities"/>
    <s v="North"/>
    <s v="Pedro Alvarez"/>
    <d v="2026-01-09T00:00:00"/>
    <d v="2026-04-09T00:00:00"/>
    <n v="90"/>
    <n v="2858.48"/>
    <n v="2858.48"/>
    <n v="0"/>
    <d v="2026-04-12T00:00:00"/>
    <s v="Paid"/>
    <s v="Check"/>
    <n v="93"/>
    <n v="-3"/>
    <x v="1"/>
    <s v="Yes"/>
    <n v="5.0000000000000001E-3"/>
    <s v="No"/>
    <n v="0"/>
  </r>
  <r>
    <s v="AP-0007"/>
    <s v="VND-022"/>
    <s v="Apex Consulting"/>
    <s v="Services"/>
    <s v="North"/>
    <s v="Ana Torres"/>
    <d v="2025-06-17T00:00:00"/>
    <d v="2025-07-17T00:00:00"/>
    <n v="30"/>
    <n v="20103.63"/>
    <n v="0"/>
    <n v="20103.63"/>
    <m/>
    <s v="Overdue"/>
    <s v="Wire"/>
    <m/>
    <n v="-318"/>
    <x v="1"/>
    <s v="Yes"/>
    <n v="0.01"/>
    <s v="No"/>
    <n v="0"/>
  </r>
  <r>
    <s v="AP-0008"/>
    <s v="VND-023"/>
    <s v="CoolTech Systems"/>
    <s v="IT"/>
    <s v="Central"/>
    <s v="Marco Diaz"/>
    <d v="2025-08-23T00:00:00"/>
    <d v="2025-09-07T00:00:00"/>
    <n v="15"/>
    <n v="66635.19"/>
    <n v="66635.19"/>
    <n v="0"/>
    <d v="2025-09-23T00:00:00"/>
    <s v="Paid"/>
    <s v="Check"/>
    <n v="31"/>
    <n v="-16"/>
    <x v="1"/>
    <s v="No"/>
    <n v="0"/>
    <s v="No"/>
    <n v="0"/>
  </r>
  <r>
    <s v="AP-0009"/>
    <s v="VND-019"/>
    <s v="SkyNet IT Solutions"/>
    <s v="IT"/>
    <s v="East"/>
    <s v="Marco Diaz"/>
    <d v="2026-04-15T00:00:00"/>
    <d v="2026-06-14T00:00:00"/>
    <n v="60"/>
    <n v="15715.37"/>
    <n v="15715.37"/>
    <n v="0"/>
    <d v="2026-05-31T00:00:00"/>
    <s v="Paid"/>
    <s v="Credit Card"/>
    <n v="46"/>
    <n v="14"/>
    <x v="0"/>
    <s v="Yes"/>
    <n v="0.01"/>
    <s v="No"/>
    <n v="0"/>
  </r>
  <r>
    <s v="AP-0010"/>
    <s v="VND-024"/>
    <s v="EliteFacilities Corp."/>
    <s v="Facilities"/>
    <s v="Central"/>
    <s v="Pedro Alvarez"/>
    <d v="2025-08-13T00:00:00"/>
    <d v="2025-10-12T00:00:00"/>
    <n v="60"/>
    <n v="34911.75"/>
    <n v="34911.75"/>
    <n v="0"/>
    <d v="2025-10-12T00:00:00"/>
    <s v="Paid"/>
    <s v="Credit Card"/>
    <n v="60"/>
    <n v="0"/>
    <x v="0"/>
    <s v="Yes"/>
    <n v="0.01"/>
    <s v="No"/>
    <n v="0"/>
  </r>
  <r>
    <s v="AP-0011"/>
    <s v="VND-005"/>
    <s v="CloudSys Inc."/>
    <s v="IT"/>
    <s v="South"/>
    <s v="Pedro Alvarez"/>
    <d v="2026-01-26T00:00:00"/>
    <d v="2026-03-27T00:00:00"/>
    <n v="60"/>
    <n v="49691.63"/>
    <n v="49691.63"/>
    <n v="0"/>
    <d v="2026-03-12T00:00:00"/>
    <s v="Paid"/>
    <s v="ACH"/>
    <n v="45"/>
    <n v="15"/>
    <x v="0"/>
    <s v="Yes"/>
    <n v="0.01"/>
    <s v="No"/>
    <n v="0"/>
  </r>
  <r>
    <s v="AP-0012"/>
    <s v="VND-018"/>
    <s v="BuildFast Materials"/>
    <s v="Materials"/>
    <s v="North"/>
    <s v="Sofia Reyes"/>
    <d v="2025-04-25T00:00:00"/>
    <d v="2025-06-24T00:00:00"/>
    <n v="60"/>
    <n v="16088.01"/>
    <n v="16088.01"/>
    <n v="0"/>
    <d v="2025-06-22T00:00:00"/>
    <s v="Paid"/>
    <s v="Check"/>
    <n v="58"/>
    <n v="2"/>
    <x v="0"/>
    <s v="Yes"/>
    <n v="0.01"/>
    <s v="No"/>
    <n v="0"/>
  </r>
  <r>
    <s v="AP-0013"/>
    <s v="VND-017"/>
    <s v="OfficePro Services"/>
    <s v="Services"/>
    <s v="South"/>
    <s v="Ana Torres"/>
    <d v="2025-07-23T00:00:00"/>
    <d v="2025-09-06T00:00:00"/>
    <n v="45"/>
    <n v="8655.0499999999993"/>
    <n v="8655.0499999999993"/>
    <n v="0"/>
    <d v="2025-08-25T00:00:00"/>
    <s v="Paid"/>
    <s v="ACH"/>
    <n v="33"/>
    <n v="12"/>
    <x v="0"/>
    <s v="No"/>
    <n v="0"/>
    <s v="No"/>
    <n v="0"/>
  </r>
  <r>
    <s v="AP-0014"/>
    <s v="VND-025"/>
    <s v="RapidShip Co."/>
    <s v="Logistics"/>
    <s v="Central"/>
    <s v="Sofia Reyes"/>
    <d v="2025-01-20T00:00:00"/>
    <d v="2025-04-20T00:00:00"/>
    <n v="90"/>
    <n v="3125.49"/>
    <n v="0"/>
    <n v="3125.49"/>
    <m/>
    <s v="Overdue"/>
    <s v="Check"/>
    <m/>
    <n v="-406"/>
    <x v="1"/>
    <s v="Yes"/>
    <n v="5.0000000000000001E-3"/>
    <s v="No"/>
    <n v="0"/>
  </r>
  <r>
    <s v="AP-0015"/>
    <s v="VND-010"/>
    <s v="DataBridge IT"/>
    <s v="IT"/>
    <s v="South"/>
    <s v="Sofia Reyes"/>
    <d v="2025-03-29T00:00:00"/>
    <d v="2025-04-28T00:00:00"/>
    <n v="30"/>
    <n v="59893.07"/>
    <n v="0"/>
    <n v="59893.07"/>
    <m/>
    <s v="Overdue"/>
    <s v="Wire"/>
    <m/>
    <n v="-398"/>
    <x v="1"/>
    <s v="No"/>
    <n v="0"/>
    <s v="No"/>
    <n v="0"/>
  </r>
  <r>
    <s v="AP-0016"/>
    <s v="VND-018"/>
    <s v="BuildFast Materials"/>
    <s v="Materials"/>
    <s v="South"/>
    <s v="Marco Diaz"/>
    <d v="2025-09-29T00:00:00"/>
    <d v="2025-10-29T00:00:00"/>
    <n v="30"/>
    <n v="27328.34"/>
    <n v="0"/>
    <n v="27328.34"/>
    <m/>
    <s v="Overdue"/>
    <s v="Credit Card"/>
    <m/>
    <n v="-214"/>
    <x v="1"/>
    <s v="Yes"/>
    <n v="0.01"/>
    <s v="No"/>
    <n v="0"/>
  </r>
  <r>
    <s v="AP-0017"/>
    <s v="VND-018"/>
    <s v="BuildFast Materials"/>
    <s v="Materials"/>
    <s v="South"/>
    <s v="Laura Chen"/>
    <d v="2026-03-25T00:00:00"/>
    <d v="2026-05-24T00:00:00"/>
    <n v="60"/>
    <n v="45181.48"/>
    <n v="0"/>
    <n v="45181.48"/>
    <m/>
    <s v="Pending"/>
    <s v="Credit Card"/>
    <m/>
    <m/>
    <x v="2"/>
    <s v="Yes"/>
    <n v="0.01"/>
    <s v="No"/>
    <n v="0"/>
  </r>
  <r>
    <s v="AP-0018"/>
    <s v="VND-001"/>
    <s v="Acme Supplies Co."/>
    <s v="Materials"/>
    <s v="Central"/>
    <s v="Ana Torres"/>
    <d v="2025-01-08T00:00:00"/>
    <d v="2025-02-07T00:00:00"/>
    <n v="30"/>
    <n v="5407.67"/>
    <n v="5407.67"/>
    <n v="0"/>
    <d v="2025-02-20T00:00:00"/>
    <s v="Paid"/>
    <s v="Wire"/>
    <n v="43"/>
    <n v="-13"/>
    <x v="1"/>
    <s v="Yes"/>
    <n v="0.01"/>
    <s v="No"/>
    <n v="0"/>
  </r>
  <r>
    <s v="AP-0019"/>
    <s v="VND-003"/>
    <s v="FastShip Logistics"/>
    <s v="Logistics"/>
    <s v="Central"/>
    <s v="Marco Diaz"/>
    <d v="2025-08-08T00:00:00"/>
    <d v="2025-11-06T00:00:00"/>
    <n v="90"/>
    <n v="11245.44"/>
    <n v="6613.51"/>
    <n v="4631.93"/>
    <d v="2025-11-08T00:00:00"/>
    <s v="Partial"/>
    <s v="Check"/>
    <n v="92"/>
    <n v="-2"/>
    <x v="1"/>
    <s v="No"/>
    <n v="0"/>
    <s v="No"/>
    <n v="0"/>
  </r>
  <r>
    <s v="AP-0020"/>
    <s v="VND-016"/>
    <s v="CleanWater Utilities"/>
    <s v="Utilities"/>
    <s v="West"/>
    <s v="Marco Diaz"/>
    <d v="2026-03-18T00:00:00"/>
    <d v="2026-04-17T00:00:00"/>
    <n v="30"/>
    <n v="5637.31"/>
    <n v="0"/>
    <n v="5637.31"/>
    <m/>
    <s v="Pending"/>
    <s v="ACH"/>
    <m/>
    <m/>
    <x v="2"/>
    <s v="Yes"/>
    <n v="0.01"/>
    <s v="No"/>
    <n v="0"/>
  </r>
  <r>
    <s v="AP-0021"/>
    <s v="VND-021"/>
    <s v="PrimePack Logistics"/>
    <s v="Logistics"/>
    <s v="North"/>
    <s v="Sofia Reyes"/>
    <d v="2025-04-22T00:00:00"/>
    <d v="2025-06-21T00:00:00"/>
    <n v="60"/>
    <n v="5724.47"/>
    <n v="5724.47"/>
    <n v="0"/>
    <d v="2025-06-13T00:00:00"/>
    <s v="Paid"/>
    <s v="Credit Card"/>
    <n v="52"/>
    <n v="8"/>
    <x v="0"/>
    <s v="Yes"/>
    <n v="0.01"/>
    <s v="No"/>
    <n v="0"/>
  </r>
  <r>
    <s v="AP-0022"/>
    <s v="VND-014"/>
    <s v="NetConnect Systems"/>
    <s v="IT"/>
    <s v="South"/>
    <s v="Laura Chen"/>
    <d v="2025-03-19T00:00:00"/>
    <d v="2025-04-18T00:00:00"/>
    <n v="30"/>
    <n v="38234.81"/>
    <n v="38234.81"/>
    <n v="0"/>
    <d v="2025-05-16T00:00:00"/>
    <s v="Paid"/>
    <s v="Credit Card"/>
    <n v="58"/>
    <n v="-28"/>
    <x v="1"/>
    <s v="No"/>
    <n v="0"/>
    <s v="No"/>
    <n v="0"/>
  </r>
  <r>
    <s v="AP-0023"/>
    <s v="VND-001"/>
    <s v="Acme Supplies Co."/>
    <s v="Materials"/>
    <s v="North"/>
    <s v="Marco Diaz"/>
    <d v="2026-05-13T00:00:00"/>
    <d v="2026-07-12T00:00:00"/>
    <n v="60"/>
    <n v="25105.200000000001"/>
    <n v="0"/>
    <n v="25105.200000000001"/>
    <m/>
    <s v="Pending"/>
    <s v="Wire"/>
    <m/>
    <m/>
    <x v="2"/>
    <s v="No"/>
    <n v="0"/>
    <s v="No"/>
    <n v="0"/>
  </r>
  <r>
    <s v="AP-0024"/>
    <s v="VND-001"/>
    <s v="Acme Supplies Co."/>
    <s v="Materials"/>
    <s v="West"/>
    <s v="Laura Chen"/>
    <d v="2026-03-10T00:00:00"/>
    <d v="2026-04-24T00:00:00"/>
    <n v="45"/>
    <n v="35436.39"/>
    <n v="19253.86"/>
    <n v="16182.53"/>
    <d v="2026-04-25T00:00:00"/>
    <s v="Partial"/>
    <s v="Credit Card"/>
    <n v="46"/>
    <n v="-1"/>
    <x v="1"/>
    <s v="No"/>
    <n v="0"/>
    <s v="No"/>
    <n v="0"/>
  </r>
  <r>
    <s v="AP-0025"/>
    <s v="VND-010"/>
    <s v="DataBridge IT"/>
    <s v="IT"/>
    <s v="South"/>
    <s v="Sofia Reyes"/>
    <d v="2025-02-28T00:00:00"/>
    <d v="2025-04-29T00:00:00"/>
    <n v="60"/>
    <n v="8760.68"/>
    <n v="0"/>
    <n v="8760.68"/>
    <m/>
    <s v="Overdue"/>
    <s v="ACH"/>
    <m/>
    <n v="-397"/>
    <x v="1"/>
    <s v="Yes"/>
    <n v="0.01"/>
    <s v="No"/>
    <n v="0"/>
  </r>
  <r>
    <s v="AP-0026"/>
    <s v="VND-017"/>
    <s v="OfficePro Services"/>
    <s v="Services"/>
    <s v="South"/>
    <s v="Sofia Reyes"/>
    <d v="2025-03-12T00:00:00"/>
    <d v="2025-04-11T00:00:00"/>
    <n v="30"/>
    <n v="25016.3"/>
    <n v="25016.3"/>
    <n v="0"/>
    <d v="2025-04-20T00:00:00"/>
    <s v="Paid"/>
    <s v="ACH"/>
    <n v="39"/>
    <n v="-9"/>
    <x v="1"/>
    <s v="Yes"/>
    <n v="0.01"/>
    <s v="No"/>
    <n v="0"/>
  </r>
  <r>
    <s v="AP-0027"/>
    <s v="VND-004"/>
    <s v="BuildRight Materials"/>
    <s v="Materials"/>
    <s v="Central"/>
    <s v="Marco Diaz"/>
    <d v="2026-03-06T00:00:00"/>
    <d v="2026-04-05T00:00:00"/>
    <n v="30"/>
    <n v="33553.910000000003"/>
    <n v="0"/>
    <n v="33553.910000000003"/>
    <m/>
    <s v="Pending"/>
    <s v="ACH"/>
    <m/>
    <m/>
    <x v="2"/>
    <s v="Yes"/>
    <n v="0.01"/>
    <s v="No"/>
    <n v="0"/>
  </r>
  <r>
    <s v="AP-0028"/>
    <s v="VND-022"/>
    <s v="Apex Consulting"/>
    <s v="Services"/>
    <s v="East"/>
    <s v="Marco Diaz"/>
    <d v="2025-05-15T00:00:00"/>
    <d v="2025-07-14T00:00:00"/>
    <n v="60"/>
    <n v="27852.54"/>
    <n v="27852.54"/>
    <n v="0"/>
    <d v="2025-07-14T00:00:00"/>
    <s v="Paid"/>
    <s v="Check"/>
    <n v="60"/>
    <n v="0"/>
    <x v="0"/>
    <s v="Yes"/>
    <n v="0.01"/>
    <s v="No"/>
    <n v="0"/>
  </r>
  <r>
    <s v="AP-0029"/>
    <s v="VND-015"/>
    <s v="ExpressRoute Logistics"/>
    <s v="Logistics"/>
    <s v="Central"/>
    <s v="Ana Torres"/>
    <d v="2025-08-07T00:00:00"/>
    <d v="2025-09-06T00:00:00"/>
    <n v="30"/>
    <n v="10611.81"/>
    <n v="10611.81"/>
    <n v="0"/>
    <d v="2025-09-03T00:00:00"/>
    <s v="Paid"/>
    <s v="ACH"/>
    <n v="27"/>
    <n v="3"/>
    <x v="0"/>
    <s v="Yes"/>
    <n v="0.01"/>
    <s v="No"/>
    <n v="0"/>
  </r>
  <r>
    <s v="AP-0030"/>
    <s v="VND-003"/>
    <s v="FastShip Logistics"/>
    <s v="Logistics"/>
    <s v="South"/>
    <s v="Laura Chen"/>
    <d v="2026-03-25T00:00:00"/>
    <d v="2026-04-24T00:00:00"/>
    <n v="30"/>
    <n v="16841.150000000001"/>
    <n v="16841.150000000001"/>
    <n v="0"/>
    <d v="2026-04-24T00:00:00"/>
    <s v="Paid"/>
    <s v="Check"/>
    <n v="30"/>
    <n v="0"/>
    <x v="0"/>
    <s v="No"/>
    <n v="0"/>
    <s v="No"/>
    <n v="0"/>
  </r>
  <r>
    <s v="AP-0031"/>
    <s v="VND-018"/>
    <s v="BuildFast Materials"/>
    <s v="Materials"/>
    <s v="East"/>
    <s v="Sofia Reyes"/>
    <d v="2025-04-29T00:00:00"/>
    <d v="2025-06-13T00:00:00"/>
    <n v="45"/>
    <n v="44706.21"/>
    <n v="44706.21"/>
    <n v="0"/>
    <d v="2025-06-13T00:00:00"/>
    <s v="Paid"/>
    <s v="Wire"/>
    <n v="45"/>
    <n v="0"/>
    <x v="0"/>
    <s v="No"/>
    <n v="0"/>
    <s v="No"/>
    <n v="0"/>
  </r>
  <r>
    <s v="AP-0032"/>
    <s v="VND-010"/>
    <s v="DataBridge IT"/>
    <s v="IT"/>
    <s v="Central"/>
    <s v="Marco Diaz"/>
    <d v="2025-09-28T00:00:00"/>
    <d v="2025-10-28T00:00:00"/>
    <n v="30"/>
    <n v="42905.68"/>
    <n v="0"/>
    <n v="42905.68"/>
    <m/>
    <s v="Overdue"/>
    <s v="Check"/>
    <m/>
    <n v="-215"/>
    <x v="1"/>
    <s v="Yes"/>
    <n v="0.01"/>
    <s v="No"/>
    <n v="0"/>
  </r>
  <r>
    <s v="AP-0033"/>
    <s v="VND-002"/>
    <s v="TechCore Solutions"/>
    <s v="IT"/>
    <s v="North"/>
    <s v="Pedro Alvarez"/>
    <d v="2025-01-04T00:00:00"/>
    <d v="2025-01-19T00:00:00"/>
    <n v="15"/>
    <n v="30016.74"/>
    <n v="0"/>
    <n v="30016.74"/>
    <m/>
    <s v="Overdue"/>
    <s v="Check"/>
    <m/>
    <n v="-497"/>
    <x v="1"/>
    <s v="Yes"/>
    <n v="0.02"/>
    <s v="No"/>
    <n v="0"/>
  </r>
  <r>
    <s v="AP-0034"/>
    <s v="VND-006"/>
    <s v="PowerGrid Utilities"/>
    <s v="Utilities"/>
    <s v="West"/>
    <s v="Ana Torres"/>
    <d v="2025-04-25T00:00:00"/>
    <d v="2025-05-10T00:00:00"/>
    <n v="15"/>
    <n v="1591.04"/>
    <n v="0"/>
    <n v="1591.04"/>
    <m/>
    <s v="Overdue"/>
    <s v="Credit Card"/>
    <m/>
    <n v="-386"/>
    <x v="1"/>
    <s v="No"/>
    <n v="0"/>
    <s v="No"/>
    <n v="0"/>
  </r>
  <r>
    <s v="AP-0035"/>
    <s v="VND-018"/>
    <s v="BuildFast Materials"/>
    <s v="Materials"/>
    <s v="North"/>
    <s v="Laura Chen"/>
    <d v="2025-05-11T00:00:00"/>
    <d v="2025-07-10T00:00:00"/>
    <n v="60"/>
    <n v="4007.79"/>
    <n v="0"/>
    <n v="4007.79"/>
    <m/>
    <s v="Overdue"/>
    <s v="Wire"/>
    <m/>
    <n v="-325"/>
    <x v="1"/>
    <s v="Yes"/>
    <n v="0.01"/>
    <s v="No"/>
    <n v="0"/>
  </r>
  <r>
    <s v="AP-0036"/>
    <s v="VND-002"/>
    <s v="TechCore Solutions"/>
    <s v="IT"/>
    <s v="East"/>
    <s v="Marco Diaz"/>
    <d v="2025-12-29T00:00:00"/>
    <d v="2026-01-28T00:00:00"/>
    <n v="30"/>
    <n v="63508.72"/>
    <n v="63508.72"/>
    <n v="0"/>
    <d v="2026-01-25T00:00:00"/>
    <s v="Paid"/>
    <s v="Wire"/>
    <n v="27"/>
    <n v="3"/>
    <x v="0"/>
    <s v="No"/>
    <n v="0"/>
    <s v="No"/>
    <n v="0"/>
  </r>
  <r>
    <s v="AP-0037"/>
    <s v="VND-008"/>
    <s v="GreenEnergy Corp."/>
    <s v="Utilities"/>
    <s v="South"/>
    <s v="Marco Diaz"/>
    <d v="2025-07-03T00:00:00"/>
    <d v="2025-07-18T00:00:00"/>
    <n v="15"/>
    <n v="11180.18"/>
    <n v="0"/>
    <n v="11180.18"/>
    <m/>
    <s v="Overdue"/>
    <s v="Credit Card"/>
    <m/>
    <n v="-317"/>
    <x v="1"/>
    <s v="Yes"/>
    <n v="0.02"/>
    <s v="No"/>
    <n v="0"/>
  </r>
  <r>
    <s v="AP-0038"/>
    <s v="VND-022"/>
    <s v="Apex Consulting"/>
    <s v="Services"/>
    <s v="South"/>
    <s v="Laura Chen"/>
    <d v="2026-01-27T00:00:00"/>
    <d v="2026-02-26T00:00:00"/>
    <n v="30"/>
    <n v="35270.17"/>
    <n v="35270.17"/>
    <n v="0"/>
    <d v="2026-02-23T00:00:00"/>
    <s v="Paid"/>
    <s v="Wire"/>
    <n v="27"/>
    <n v="3"/>
    <x v="0"/>
    <s v="No"/>
    <n v="0"/>
    <s v="No"/>
    <n v="0"/>
  </r>
  <r>
    <s v="AP-0039"/>
    <s v="VND-015"/>
    <s v="ExpressRoute Logistics"/>
    <s v="Logistics"/>
    <s v="East"/>
    <s v="Laura Chen"/>
    <d v="2025-01-25T00:00:00"/>
    <d v="2025-02-24T00:00:00"/>
    <n v="30"/>
    <n v="13540.63"/>
    <n v="13540.63"/>
    <n v="0"/>
    <d v="2025-03-08T00:00:00"/>
    <s v="Paid"/>
    <s v="Wire"/>
    <n v="42"/>
    <n v="-12"/>
    <x v="1"/>
    <s v="Yes"/>
    <n v="0.01"/>
    <s v="No"/>
    <n v="0"/>
  </r>
  <r>
    <s v="AP-0040"/>
    <s v="VND-012"/>
    <s v="FacilityPro Services"/>
    <s v="Facilities"/>
    <s v="Central"/>
    <s v="Pedro Alvarez"/>
    <d v="2025-04-29T00:00:00"/>
    <d v="2025-05-14T00:00:00"/>
    <n v="15"/>
    <n v="30942.27"/>
    <n v="30942.27"/>
    <n v="0"/>
    <d v="2025-05-19T00:00:00"/>
    <s v="Paid"/>
    <s v="Check"/>
    <n v="20"/>
    <n v="-5"/>
    <x v="1"/>
    <s v="Yes"/>
    <n v="0.02"/>
    <s v="No"/>
    <n v="0"/>
  </r>
  <r>
    <s v="AP-0041"/>
    <s v="VND-009"/>
    <s v="MetalWorks Ltd."/>
    <s v="Materials"/>
    <s v="North"/>
    <s v="Sofia Reyes"/>
    <d v="2025-11-18T00:00:00"/>
    <d v="2026-01-17T00:00:00"/>
    <n v="60"/>
    <n v="22946.91"/>
    <n v="22946.91"/>
    <n v="0"/>
    <d v="2026-01-21T00:00:00"/>
    <s v="Paid"/>
    <s v="Credit Card"/>
    <n v="64"/>
    <n v="-4"/>
    <x v="1"/>
    <s v="No"/>
    <n v="0"/>
    <s v="No"/>
    <n v="0"/>
  </r>
  <r>
    <s v="AP-0042"/>
    <s v="VND-002"/>
    <s v="TechCore Solutions"/>
    <s v="IT"/>
    <s v="West"/>
    <s v="Sofia Reyes"/>
    <d v="2026-03-18T00:00:00"/>
    <d v="2026-05-17T00:00:00"/>
    <n v="60"/>
    <n v="10248.040000000001"/>
    <n v="0"/>
    <n v="10248.040000000001"/>
    <m/>
    <s v="Pending"/>
    <s v="Wire"/>
    <m/>
    <m/>
    <x v="2"/>
    <s v="Yes"/>
    <n v="0.01"/>
    <s v="No"/>
    <n v="0"/>
  </r>
  <r>
    <s v="AP-0043"/>
    <s v="VND-004"/>
    <s v="BuildRight Materials"/>
    <s v="Materials"/>
    <s v="East"/>
    <s v="Ana Torres"/>
    <d v="2025-12-01T00:00:00"/>
    <d v="2026-01-30T00:00:00"/>
    <n v="60"/>
    <n v="21315.22"/>
    <n v="21315.22"/>
    <n v="0"/>
    <d v="2026-01-27T00:00:00"/>
    <s v="Paid"/>
    <s v="Check"/>
    <n v="57"/>
    <n v="3"/>
    <x v="0"/>
    <s v="Yes"/>
    <n v="0.01"/>
    <s v="No"/>
    <n v="0"/>
  </r>
  <r>
    <s v="AP-0044"/>
    <s v="VND-014"/>
    <s v="NetConnect Systems"/>
    <s v="IT"/>
    <s v="West"/>
    <s v="Marco Diaz"/>
    <d v="2025-01-01T00:00:00"/>
    <d v="2025-03-02T00:00:00"/>
    <n v="60"/>
    <n v="27790.62"/>
    <n v="16766.939999999999"/>
    <n v="11023.68"/>
    <d v="2025-03-07T00:00:00"/>
    <s v="Partial"/>
    <s v="Check"/>
    <n v="65"/>
    <n v="-5"/>
    <x v="1"/>
    <s v="Yes"/>
    <n v="0.01"/>
    <s v="No"/>
    <n v="0"/>
  </r>
  <r>
    <s v="AP-0045"/>
    <s v="VND-015"/>
    <s v="ExpressRoute Logistics"/>
    <s v="Logistics"/>
    <s v="West"/>
    <s v="Pedro Alvarez"/>
    <d v="2025-06-23T00:00:00"/>
    <d v="2025-09-21T00:00:00"/>
    <n v="90"/>
    <n v="13518.16"/>
    <n v="13518.16"/>
    <n v="0"/>
    <d v="2025-09-19T00:00:00"/>
    <s v="Paid"/>
    <s v="Wire"/>
    <n v="88"/>
    <n v="2"/>
    <x v="0"/>
    <s v="Yes"/>
    <n v="5.0000000000000001E-3"/>
    <s v="No"/>
    <n v="0"/>
  </r>
  <r>
    <s v="AP-0046"/>
    <s v="VND-025"/>
    <s v="RapidShip Co."/>
    <s v="Logistics"/>
    <s v="South"/>
    <s v="Laura Chen"/>
    <d v="2025-05-31T00:00:00"/>
    <d v="2025-06-30T00:00:00"/>
    <n v="30"/>
    <n v="1464.08"/>
    <n v="1464.08"/>
    <n v="0"/>
    <d v="2025-06-28T00:00:00"/>
    <s v="Paid"/>
    <s v="Wire"/>
    <n v="28"/>
    <n v="2"/>
    <x v="0"/>
    <s v="Yes"/>
    <n v="0.01"/>
    <s v="No"/>
    <n v="0"/>
  </r>
  <r>
    <s v="AP-0047"/>
    <s v="VND-025"/>
    <s v="RapidShip Co."/>
    <s v="Logistics"/>
    <s v="North"/>
    <s v="Pedro Alvarez"/>
    <d v="2026-01-29T00:00:00"/>
    <d v="2026-02-28T00:00:00"/>
    <n v="30"/>
    <n v="10393.17"/>
    <n v="10393.17"/>
    <n v="0"/>
    <d v="2026-03-13T00:00:00"/>
    <s v="Paid"/>
    <s v="Credit Card"/>
    <n v="43"/>
    <n v="-13"/>
    <x v="1"/>
    <s v="Yes"/>
    <n v="0.01"/>
    <s v="No"/>
    <n v="0"/>
  </r>
  <r>
    <s v="AP-0048"/>
    <s v="VND-025"/>
    <s v="RapidShip Co."/>
    <s v="Logistics"/>
    <s v="North"/>
    <s v="Pedro Alvarez"/>
    <d v="2026-04-21T00:00:00"/>
    <d v="2026-05-21T00:00:00"/>
    <n v="30"/>
    <n v="1954.15"/>
    <n v="1369.29"/>
    <n v="584.86"/>
    <d v="2026-05-31T00:00:00"/>
    <s v="Partial"/>
    <s v="Wire"/>
    <n v="40"/>
    <n v="-10"/>
    <x v="1"/>
    <s v="Yes"/>
    <n v="0.01"/>
    <s v="No"/>
    <n v="0"/>
  </r>
  <r>
    <s v="AP-0049"/>
    <s v="VND-017"/>
    <s v="OfficePro Services"/>
    <s v="Services"/>
    <s v="Central"/>
    <s v="Ana Torres"/>
    <d v="2026-03-13T00:00:00"/>
    <d v="2026-06-11T00:00:00"/>
    <n v="90"/>
    <n v="33731.06"/>
    <n v="18124.95"/>
    <n v="15606.11"/>
    <d v="2026-05-31T00:00:00"/>
    <s v="Partial"/>
    <s v="Check"/>
    <n v="79"/>
    <n v="11"/>
    <x v="0"/>
    <s v="Yes"/>
    <n v="5.0000000000000001E-3"/>
    <s v="No"/>
    <n v="0"/>
  </r>
  <r>
    <s v="AP-0050"/>
    <s v="VND-025"/>
    <s v="RapidShip Co."/>
    <s v="Logistics"/>
    <s v="South"/>
    <s v="Laura Chen"/>
    <d v="2025-10-09T00:00:00"/>
    <d v="2025-11-08T00:00:00"/>
    <n v="30"/>
    <n v="9357.58"/>
    <n v="9357.58"/>
    <n v="0"/>
    <d v="2025-11-08T00:00:00"/>
    <s v="Paid"/>
    <s v="Credit Card"/>
    <n v="30"/>
    <n v="0"/>
    <x v="0"/>
    <s v="No"/>
    <n v="0"/>
    <s v="No"/>
    <n v="0"/>
  </r>
  <r>
    <s v="AP-0051"/>
    <s v="VND-011"/>
    <s v="QuickFreight Inc."/>
    <s v="Logistics"/>
    <s v="East"/>
    <s v="Ana Torres"/>
    <d v="2025-06-04T00:00:00"/>
    <d v="2025-07-04T00:00:00"/>
    <n v="30"/>
    <n v="5393.97"/>
    <n v="5393.97"/>
    <n v="0"/>
    <d v="2025-07-11T00:00:00"/>
    <s v="Paid"/>
    <s v="ACH"/>
    <n v="37"/>
    <n v="-7"/>
    <x v="1"/>
    <s v="Yes"/>
    <n v="0.01"/>
    <s v="No"/>
    <n v="0"/>
  </r>
  <r>
    <s v="AP-0052"/>
    <s v="VND-018"/>
    <s v="BuildFast Materials"/>
    <s v="Materials"/>
    <s v="West"/>
    <s v="Pedro Alvarez"/>
    <d v="2026-03-07T00:00:00"/>
    <d v="2026-04-06T00:00:00"/>
    <n v="30"/>
    <n v="20694.89"/>
    <n v="0"/>
    <n v="20694.89"/>
    <m/>
    <s v="Pending"/>
    <s v="ACH"/>
    <m/>
    <m/>
    <x v="2"/>
    <s v="No"/>
    <n v="0"/>
    <s v="No"/>
    <n v="0"/>
  </r>
  <r>
    <s v="AP-0053"/>
    <s v="VND-025"/>
    <s v="RapidShip Co."/>
    <s v="Logistics"/>
    <s v="Central"/>
    <s v="Pedro Alvarez"/>
    <d v="2025-12-27T00:00:00"/>
    <d v="2026-01-11T00:00:00"/>
    <n v="15"/>
    <n v="6673.64"/>
    <n v="4790.7700000000004"/>
    <n v="1882.87"/>
    <d v="2026-01-23T00:00:00"/>
    <s v="Partial"/>
    <s v="Credit Card"/>
    <n v="27"/>
    <n v="-12"/>
    <x v="1"/>
    <s v="Yes"/>
    <n v="0.02"/>
    <s v="No"/>
    <n v="0"/>
  </r>
  <r>
    <s v="AP-0054"/>
    <s v="VND-024"/>
    <s v="EliteFacilities Corp."/>
    <s v="Facilities"/>
    <s v="Central"/>
    <s v="Ana Torres"/>
    <d v="2025-08-13T00:00:00"/>
    <d v="2025-11-11T00:00:00"/>
    <n v="90"/>
    <n v="11006.87"/>
    <n v="11006.87"/>
    <n v="0"/>
    <d v="2025-11-14T00:00:00"/>
    <s v="Paid"/>
    <s v="Wire"/>
    <n v="93"/>
    <n v="-3"/>
    <x v="1"/>
    <s v="Yes"/>
    <n v="5.0000000000000001E-3"/>
    <s v="No"/>
    <n v="0"/>
  </r>
  <r>
    <s v="AP-0055"/>
    <s v="VND-022"/>
    <s v="Apex Consulting"/>
    <s v="Services"/>
    <s v="West"/>
    <s v="Marco Diaz"/>
    <d v="2025-01-28T00:00:00"/>
    <d v="2025-02-27T00:00:00"/>
    <n v="30"/>
    <n v="36556.370000000003"/>
    <n v="36556.370000000003"/>
    <n v="0"/>
    <d v="2025-03-06T00:00:00"/>
    <s v="Paid"/>
    <s v="Credit Card"/>
    <n v="37"/>
    <n v="-7"/>
    <x v="1"/>
    <s v="Yes"/>
    <n v="0.01"/>
    <s v="No"/>
    <n v="0"/>
  </r>
  <r>
    <s v="AP-0056"/>
    <s v="VND-015"/>
    <s v="ExpressRoute Logistics"/>
    <s v="Logistics"/>
    <s v="South"/>
    <s v="Sofia Reyes"/>
    <d v="2025-12-02T00:00:00"/>
    <d v="2026-01-31T00:00:00"/>
    <n v="60"/>
    <n v="5021.55"/>
    <n v="5021.55"/>
    <n v="0"/>
    <d v="2026-02-04T00:00:00"/>
    <s v="Paid"/>
    <s v="Check"/>
    <n v="64"/>
    <n v="-4"/>
    <x v="1"/>
    <s v="Yes"/>
    <n v="0.01"/>
    <s v="No"/>
    <n v="0"/>
  </r>
  <r>
    <s v="AP-0057"/>
    <s v="VND-013"/>
    <s v="SafetyFirst Supplies"/>
    <s v="Materials"/>
    <s v="East"/>
    <s v="Pedro Alvarez"/>
    <d v="2026-04-27T00:00:00"/>
    <d v="2026-05-27T00:00:00"/>
    <n v="30"/>
    <n v="2930.4"/>
    <n v="0"/>
    <n v="2930.4"/>
    <m/>
    <s v="Pending"/>
    <s v="Check"/>
    <m/>
    <m/>
    <x v="2"/>
    <s v="Yes"/>
    <n v="0.01"/>
    <s v="No"/>
    <n v="0"/>
  </r>
  <r>
    <s v="AP-0058"/>
    <s v="VND-021"/>
    <s v="PrimePack Logistics"/>
    <s v="Logistics"/>
    <s v="North"/>
    <s v="Sofia Reyes"/>
    <d v="2025-07-24T00:00:00"/>
    <d v="2025-08-23T00:00:00"/>
    <n v="30"/>
    <n v="16945.349999999999"/>
    <n v="16945.349999999999"/>
    <n v="0"/>
    <d v="2025-08-20T00:00:00"/>
    <s v="Paid"/>
    <s v="ACH"/>
    <n v="27"/>
    <n v="3"/>
    <x v="0"/>
    <s v="Yes"/>
    <n v="0.01"/>
    <s v="No"/>
    <n v="0"/>
  </r>
  <r>
    <s v="AP-0059"/>
    <s v="VND-007"/>
    <s v="ProStaff Services"/>
    <s v="Services"/>
    <s v="West"/>
    <s v="Laura Chen"/>
    <d v="2025-04-28T00:00:00"/>
    <d v="2025-05-28T00:00:00"/>
    <n v="30"/>
    <n v="31778.3"/>
    <n v="31778.3"/>
    <n v="0"/>
    <d v="2025-05-28T00:00:00"/>
    <s v="Paid"/>
    <s v="Check"/>
    <n v="30"/>
    <n v="0"/>
    <x v="0"/>
    <s v="Yes"/>
    <n v="0.01"/>
    <s v="No"/>
    <n v="0"/>
  </r>
  <r>
    <s v="AP-0060"/>
    <s v="VND-019"/>
    <s v="SkyNet IT Solutions"/>
    <s v="IT"/>
    <s v="North"/>
    <s v="Laura Chen"/>
    <d v="2025-07-23T00:00:00"/>
    <d v="2025-09-21T00:00:00"/>
    <n v="60"/>
    <n v="10699.74"/>
    <n v="10699.74"/>
    <n v="0"/>
    <d v="2025-10-02T00:00:00"/>
    <s v="Paid"/>
    <s v="Credit Card"/>
    <n v="71"/>
    <n v="-11"/>
    <x v="1"/>
    <s v="Yes"/>
    <n v="0.01"/>
    <s v="No"/>
    <n v="0"/>
  </r>
  <r>
    <s v="AP-0061"/>
    <s v="VND-022"/>
    <s v="Apex Consulting"/>
    <s v="Services"/>
    <s v="Central"/>
    <s v="Sofia Reyes"/>
    <d v="2026-03-15T00:00:00"/>
    <d v="2026-05-14T00:00:00"/>
    <n v="60"/>
    <n v="27476.29"/>
    <n v="0"/>
    <n v="27476.29"/>
    <m/>
    <s v="Pending"/>
    <s v="ACH"/>
    <m/>
    <m/>
    <x v="2"/>
    <s v="Yes"/>
    <n v="0.01"/>
    <s v="No"/>
    <n v="0"/>
  </r>
  <r>
    <s v="AP-0062"/>
    <s v="VND-014"/>
    <s v="NetConnect Systems"/>
    <s v="IT"/>
    <s v="West"/>
    <s v="Sofia Reyes"/>
    <d v="2026-04-16T00:00:00"/>
    <d v="2026-06-15T00:00:00"/>
    <n v="60"/>
    <n v="58048.15"/>
    <n v="58048.15"/>
    <n v="0"/>
    <d v="2026-05-31T00:00:00"/>
    <s v="Paid"/>
    <s v="Credit Card"/>
    <n v="45"/>
    <n v="15"/>
    <x v="0"/>
    <s v="Yes"/>
    <n v="0.01"/>
    <s v="No"/>
    <n v="0"/>
  </r>
  <r>
    <s v="AP-0063"/>
    <s v="VND-009"/>
    <s v="MetalWorks Ltd."/>
    <s v="Materials"/>
    <s v="Central"/>
    <s v="Ana Torres"/>
    <d v="2026-03-23T00:00:00"/>
    <d v="2026-06-21T00:00:00"/>
    <n v="90"/>
    <n v="41635.26"/>
    <n v="0"/>
    <n v="41635.26"/>
    <m/>
    <s v="Pending"/>
    <s v="Credit Card"/>
    <m/>
    <m/>
    <x v="2"/>
    <s v="Yes"/>
    <n v="5.0000000000000001E-3"/>
    <s v="No"/>
    <n v="0"/>
  </r>
  <r>
    <s v="AP-0064"/>
    <s v="VND-003"/>
    <s v="FastShip Logistics"/>
    <s v="Logistics"/>
    <s v="East"/>
    <s v="Pedro Alvarez"/>
    <d v="2026-01-24T00:00:00"/>
    <d v="2026-04-24T00:00:00"/>
    <n v="90"/>
    <n v="7391.54"/>
    <n v="7391.54"/>
    <n v="0"/>
    <d v="2026-04-21T00:00:00"/>
    <s v="Paid"/>
    <s v="Wire"/>
    <n v="87"/>
    <n v="3"/>
    <x v="0"/>
    <s v="Yes"/>
    <n v="5.0000000000000001E-3"/>
    <s v="No"/>
    <n v="0"/>
  </r>
  <r>
    <s v="AP-0065"/>
    <s v="VND-009"/>
    <s v="MetalWorks Ltd."/>
    <s v="Materials"/>
    <s v="Central"/>
    <s v="Laura Chen"/>
    <d v="2025-03-29T00:00:00"/>
    <d v="2025-04-28T00:00:00"/>
    <n v="30"/>
    <n v="13585.09"/>
    <n v="13585.09"/>
    <n v="0"/>
    <d v="2025-05-02T00:00:00"/>
    <s v="Paid"/>
    <s v="ACH"/>
    <n v="34"/>
    <n v="-4"/>
    <x v="1"/>
    <s v="Yes"/>
    <n v="0.01"/>
    <s v="No"/>
    <n v="0"/>
  </r>
  <r>
    <s v="AP-0066"/>
    <s v="VND-008"/>
    <s v="GreenEnergy Corp."/>
    <s v="Utilities"/>
    <s v="West"/>
    <s v="Pedro Alvarez"/>
    <d v="2025-04-06T00:00:00"/>
    <d v="2025-04-21T00:00:00"/>
    <n v="15"/>
    <n v="4766.42"/>
    <n v="4766.42"/>
    <n v="0"/>
    <d v="2025-04-18T00:00:00"/>
    <s v="Paid"/>
    <s v="Credit Card"/>
    <n v="12"/>
    <n v="3"/>
    <x v="0"/>
    <s v="Yes"/>
    <n v="0.02"/>
    <s v="No"/>
    <n v="0"/>
  </r>
  <r>
    <s v="AP-0067"/>
    <s v="VND-018"/>
    <s v="BuildFast Materials"/>
    <s v="Materials"/>
    <s v="Central"/>
    <s v="Laura Chen"/>
    <d v="2025-12-27T00:00:00"/>
    <d v="2026-02-25T00:00:00"/>
    <n v="60"/>
    <n v="35737.040000000001"/>
    <n v="35737.040000000001"/>
    <n v="0"/>
    <d v="2026-02-19T00:00:00"/>
    <s v="Paid"/>
    <s v="Credit Card"/>
    <n v="54"/>
    <n v="6"/>
    <x v="0"/>
    <s v="Yes"/>
    <n v="0.01"/>
    <s v="No"/>
    <n v="0"/>
  </r>
  <r>
    <s v="AP-0068"/>
    <s v="VND-004"/>
    <s v="BuildRight Materials"/>
    <s v="Materials"/>
    <s v="South"/>
    <s v="Laura Chen"/>
    <d v="2025-07-16T00:00:00"/>
    <d v="2025-08-15T00:00:00"/>
    <n v="30"/>
    <n v="12386.46"/>
    <n v="12386.46"/>
    <n v="0"/>
    <d v="2025-08-24T00:00:00"/>
    <s v="Paid"/>
    <s v="ACH"/>
    <n v="39"/>
    <n v="-9"/>
    <x v="1"/>
    <s v="Yes"/>
    <n v="0.01"/>
    <s v="No"/>
    <n v="0"/>
  </r>
  <r>
    <s v="AP-0069"/>
    <s v="VND-010"/>
    <s v="DataBridge IT"/>
    <s v="IT"/>
    <s v="North"/>
    <s v="Marco Diaz"/>
    <d v="2026-01-05T00:00:00"/>
    <d v="2026-02-04T00:00:00"/>
    <n v="30"/>
    <n v="18458.12"/>
    <n v="18458.12"/>
    <n v="0"/>
    <d v="2026-02-03T00:00:00"/>
    <s v="Paid"/>
    <s v="Check"/>
    <n v="29"/>
    <n v="1"/>
    <x v="0"/>
    <s v="Yes"/>
    <n v="0.01"/>
    <s v="No"/>
    <n v="0"/>
  </r>
  <r>
    <s v="AP-0070"/>
    <s v="VND-009"/>
    <s v="MetalWorks Ltd."/>
    <s v="Materials"/>
    <s v="North"/>
    <s v="Sofia Reyes"/>
    <d v="2026-05-18T00:00:00"/>
    <d v="2026-06-17T00:00:00"/>
    <n v="30"/>
    <n v="6924.21"/>
    <n v="6924.21"/>
    <n v="0"/>
    <d v="2026-05-31T00:00:00"/>
    <s v="Paid"/>
    <s v="Check"/>
    <n v="13"/>
    <n v="17"/>
    <x v="0"/>
    <s v="Yes"/>
    <n v="0.01"/>
    <s v="No"/>
    <n v="0"/>
  </r>
  <r>
    <s v="AP-0071"/>
    <s v="VND-009"/>
    <s v="MetalWorks Ltd."/>
    <s v="Materials"/>
    <s v="West"/>
    <s v="Sofia Reyes"/>
    <d v="2026-05-19T00:00:00"/>
    <d v="2026-07-18T00:00:00"/>
    <n v="60"/>
    <n v="5555.94"/>
    <n v="0"/>
    <n v="5555.94"/>
    <m/>
    <s v="Pending"/>
    <s v="ACH"/>
    <m/>
    <m/>
    <x v="2"/>
    <s v="Yes"/>
    <n v="0.01"/>
    <s v="No"/>
    <n v="0"/>
  </r>
  <r>
    <s v="AP-0072"/>
    <s v="VND-019"/>
    <s v="SkyNet IT Solutions"/>
    <s v="IT"/>
    <s v="East"/>
    <s v="Sofia Reyes"/>
    <d v="2026-03-03T00:00:00"/>
    <d v="2026-04-02T00:00:00"/>
    <n v="30"/>
    <n v="50473.82"/>
    <n v="50473.82"/>
    <n v="0"/>
    <d v="2026-04-19T00:00:00"/>
    <s v="Paid"/>
    <s v="Wire"/>
    <n v="47"/>
    <n v="-17"/>
    <x v="1"/>
    <s v="No"/>
    <n v="0"/>
    <s v="No"/>
    <n v="0"/>
  </r>
  <r>
    <s v="AP-0073"/>
    <s v="VND-015"/>
    <s v="ExpressRoute Logistics"/>
    <s v="Logistics"/>
    <s v="West"/>
    <s v="Laura Chen"/>
    <d v="2025-03-03T00:00:00"/>
    <d v="2025-04-17T00:00:00"/>
    <n v="45"/>
    <n v="12582.99"/>
    <n v="0"/>
    <n v="12582.99"/>
    <m/>
    <s v="Overdue"/>
    <s v="Credit Card"/>
    <m/>
    <n v="-409"/>
    <x v="1"/>
    <s v="No"/>
    <n v="0"/>
    <s v="No"/>
    <n v="0"/>
  </r>
  <r>
    <s v="AP-0074"/>
    <s v="VND-007"/>
    <s v="ProStaff Services"/>
    <s v="Services"/>
    <s v="South"/>
    <s v="Laura Chen"/>
    <d v="2025-09-03T00:00:00"/>
    <d v="2025-10-03T00:00:00"/>
    <n v="30"/>
    <n v="9431.1"/>
    <n v="9431.1"/>
    <n v="0"/>
    <d v="2025-09-23T00:00:00"/>
    <s v="Paid"/>
    <s v="ACH"/>
    <n v="20"/>
    <n v="10"/>
    <x v="0"/>
    <s v="Yes"/>
    <n v="0.01"/>
    <s v="No"/>
    <n v="0"/>
  </r>
  <r>
    <s v="AP-0075"/>
    <s v="VND-010"/>
    <s v="DataBridge IT"/>
    <s v="IT"/>
    <s v="North"/>
    <s v="Marco Diaz"/>
    <d v="2026-04-10T00:00:00"/>
    <d v="2026-05-25T00:00:00"/>
    <n v="45"/>
    <n v="10338.48"/>
    <n v="10338.48"/>
    <n v="0"/>
    <d v="2026-05-28T00:00:00"/>
    <s v="Paid"/>
    <s v="Check"/>
    <n v="48"/>
    <n v="-3"/>
    <x v="1"/>
    <s v="Yes"/>
    <n v="1.4999999999999999E-2"/>
    <s v="No"/>
    <n v="0"/>
  </r>
  <r>
    <s v="AP-0076"/>
    <s v="VND-019"/>
    <s v="SkyNet IT Solutions"/>
    <s v="IT"/>
    <s v="South"/>
    <s v="Pedro Alvarez"/>
    <d v="2025-06-02T00:00:00"/>
    <d v="2025-07-02T00:00:00"/>
    <n v="30"/>
    <n v="73130.86"/>
    <n v="73130.86"/>
    <n v="0"/>
    <d v="2025-07-05T00:00:00"/>
    <s v="Paid"/>
    <s v="ACH"/>
    <n v="33"/>
    <n v="-3"/>
    <x v="1"/>
    <s v="No"/>
    <n v="0"/>
    <s v="No"/>
    <n v="0"/>
  </r>
  <r>
    <s v="AP-0077"/>
    <s v="VND-024"/>
    <s v="EliteFacilities Corp."/>
    <s v="Facilities"/>
    <s v="Central"/>
    <s v="Laura Chen"/>
    <d v="2026-04-25T00:00:00"/>
    <d v="2026-05-25T00:00:00"/>
    <n v="30"/>
    <n v="24726.37"/>
    <n v="0"/>
    <n v="24726.37"/>
    <m/>
    <s v="Overdue"/>
    <s v="Credit Card"/>
    <m/>
    <n v="-6"/>
    <x v="1"/>
    <s v="Yes"/>
    <n v="0.01"/>
    <s v="No"/>
    <n v="0"/>
  </r>
  <r>
    <s v="AP-0078"/>
    <s v="VND-016"/>
    <s v="CleanWater Utilities"/>
    <s v="Utilities"/>
    <s v="West"/>
    <s v="Sofia Reyes"/>
    <d v="2025-11-27T00:00:00"/>
    <d v="2026-01-26T00:00:00"/>
    <n v="60"/>
    <n v="9253.85"/>
    <n v="9253.85"/>
    <n v="0"/>
    <d v="2026-01-31T00:00:00"/>
    <s v="Paid"/>
    <s v="ACH"/>
    <n v="65"/>
    <n v="-5"/>
    <x v="1"/>
    <s v="Yes"/>
    <n v="0.01"/>
    <s v="No"/>
    <n v="0"/>
  </r>
  <r>
    <s v="AP-0079"/>
    <s v="VND-022"/>
    <s v="Apex Consulting"/>
    <s v="Services"/>
    <s v="Central"/>
    <s v="Ana Torres"/>
    <d v="2025-02-11T00:00:00"/>
    <d v="2025-03-28T00:00:00"/>
    <n v="45"/>
    <n v="31235.03"/>
    <n v="31235.03"/>
    <n v="0"/>
    <d v="2025-03-22T00:00:00"/>
    <s v="Paid"/>
    <s v="ACH"/>
    <n v="39"/>
    <n v="6"/>
    <x v="0"/>
    <s v="Yes"/>
    <n v="1.4999999999999999E-2"/>
    <s v="No"/>
    <n v="0"/>
  </r>
  <r>
    <s v="AP-0080"/>
    <s v="VND-019"/>
    <s v="SkyNet IT Solutions"/>
    <s v="IT"/>
    <s v="West"/>
    <s v="Pedro Alvarez"/>
    <d v="2025-12-23T00:00:00"/>
    <d v="2026-03-23T00:00:00"/>
    <n v="90"/>
    <n v="35626.11"/>
    <n v="35626.11"/>
    <n v="0"/>
    <d v="2026-03-25T00:00:00"/>
    <s v="Paid"/>
    <s v="ACH"/>
    <n v="92"/>
    <n v="-2"/>
    <x v="1"/>
    <s v="Yes"/>
    <n v="5.0000000000000001E-3"/>
    <s v="No"/>
    <n v="0"/>
  </r>
  <r>
    <s v="AP-0081"/>
    <s v="VND-006"/>
    <s v="PowerGrid Utilities"/>
    <s v="Utilities"/>
    <s v="East"/>
    <s v="Pedro Alvarez"/>
    <d v="2026-02-15T00:00:00"/>
    <d v="2026-04-01T00:00:00"/>
    <n v="45"/>
    <n v="12296.71"/>
    <n v="12296.71"/>
    <n v="0"/>
    <d v="2026-03-30T00:00:00"/>
    <s v="Paid"/>
    <s v="Credit Card"/>
    <n v="43"/>
    <n v="2"/>
    <x v="0"/>
    <s v="Yes"/>
    <n v="1.4999999999999999E-2"/>
    <s v="No"/>
    <n v="0"/>
  </r>
  <r>
    <s v="AP-0082"/>
    <s v="VND-025"/>
    <s v="RapidShip Co."/>
    <s v="Logistics"/>
    <s v="West"/>
    <s v="Ana Torres"/>
    <d v="2026-02-28T00:00:00"/>
    <d v="2026-05-29T00:00:00"/>
    <n v="90"/>
    <n v="2029.88"/>
    <n v="2029.88"/>
    <n v="0"/>
    <d v="2026-05-31T00:00:00"/>
    <s v="Paid"/>
    <s v="ACH"/>
    <n v="92"/>
    <n v="-2"/>
    <x v="1"/>
    <s v="Yes"/>
    <n v="5.0000000000000001E-3"/>
    <s v="No"/>
    <n v="0"/>
  </r>
  <r>
    <s v="AP-0083"/>
    <s v="VND-015"/>
    <s v="ExpressRoute Logistics"/>
    <s v="Logistics"/>
    <s v="North"/>
    <s v="Marco Diaz"/>
    <d v="2025-10-22T00:00:00"/>
    <d v="2025-11-21T00:00:00"/>
    <n v="30"/>
    <n v="9324.2099999999991"/>
    <n v="9324.2099999999991"/>
    <n v="0"/>
    <d v="2025-12-01T00:00:00"/>
    <s v="Paid"/>
    <s v="Check"/>
    <n v="40"/>
    <n v="-10"/>
    <x v="1"/>
    <s v="Yes"/>
    <n v="0.01"/>
    <s v="No"/>
    <n v="0"/>
  </r>
  <r>
    <s v="AP-0084"/>
    <s v="VND-008"/>
    <s v="GreenEnergy Corp."/>
    <s v="Utilities"/>
    <s v="South"/>
    <s v="Laura Chen"/>
    <d v="2025-04-06T00:00:00"/>
    <d v="2025-06-05T00:00:00"/>
    <n v="60"/>
    <n v="3758.16"/>
    <n v="3758.16"/>
    <n v="0"/>
    <d v="2025-06-04T00:00:00"/>
    <s v="Paid"/>
    <s v="ACH"/>
    <n v="59"/>
    <n v="1"/>
    <x v="0"/>
    <s v="No"/>
    <n v="0"/>
    <s v="No"/>
    <n v="0"/>
  </r>
  <r>
    <s v="AP-0085"/>
    <s v="VND-004"/>
    <s v="BuildRight Materials"/>
    <s v="Materials"/>
    <s v="South"/>
    <s v="Pedro Alvarez"/>
    <d v="2026-03-02T00:00:00"/>
    <d v="2026-04-16T00:00:00"/>
    <n v="45"/>
    <n v="42066.75"/>
    <n v="42066.75"/>
    <n v="0"/>
    <d v="2026-04-03T00:00:00"/>
    <s v="Paid"/>
    <s v="Check"/>
    <n v="32"/>
    <n v="13"/>
    <x v="0"/>
    <s v="No"/>
    <n v="0"/>
    <s v="No"/>
    <n v="0"/>
  </r>
  <r>
    <s v="AP-0086"/>
    <s v="VND-017"/>
    <s v="OfficePro Services"/>
    <s v="Services"/>
    <s v="South"/>
    <s v="Sofia Reyes"/>
    <d v="2025-12-15T00:00:00"/>
    <d v="2026-02-13T00:00:00"/>
    <n v="60"/>
    <n v="37567.19"/>
    <n v="16582.89"/>
    <n v="20984.3"/>
    <d v="2026-02-17T00:00:00"/>
    <s v="Partial"/>
    <s v="Check"/>
    <n v="64"/>
    <n v="-4"/>
    <x v="1"/>
    <s v="Yes"/>
    <n v="0.01"/>
    <s v="No"/>
    <n v="0"/>
  </r>
  <r>
    <s v="AP-0087"/>
    <s v="VND-019"/>
    <s v="SkyNet IT Solutions"/>
    <s v="IT"/>
    <s v="Central"/>
    <s v="Pedro Alvarez"/>
    <d v="2026-05-11T00:00:00"/>
    <d v="2026-08-09T00:00:00"/>
    <n v="90"/>
    <n v="30884.3"/>
    <n v="30884.3"/>
    <n v="0"/>
    <d v="2026-05-31T00:00:00"/>
    <s v="Paid"/>
    <s v="Wire"/>
    <n v="20"/>
    <n v="70"/>
    <x v="0"/>
    <s v="Yes"/>
    <n v="5.0000000000000001E-3"/>
    <s v="Yes"/>
    <n v="154.41999999999999"/>
  </r>
  <r>
    <s v="AP-0088"/>
    <s v="VND-011"/>
    <s v="QuickFreight Inc."/>
    <s v="Logistics"/>
    <s v="South"/>
    <s v="Marco Diaz"/>
    <d v="2026-02-25T00:00:00"/>
    <d v="2026-03-27T00:00:00"/>
    <n v="30"/>
    <n v="1829.3"/>
    <n v="1829.3"/>
    <n v="0"/>
    <d v="2026-03-29T00:00:00"/>
    <s v="Paid"/>
    <s v="Credit Card"/>
    <n v="32"/>
    <n v="-2"/>
    <x v="1"/>
    <s v="No"/>
    <n v="0"/>
    <s v="No"/>
    <n v="0"/>
  </r>
  <r>
    <s v="AP-0089"/>
    <s v="VND-022"/>
    <s v="Apex Consulting"/>
    <s v="Services"/>
    <s v="South"/>
    <s v="Pedro Alvarez"/>
    <d v="2026-05-30T00:00:00"/>
    <d v="2026-06-29T00:00:00"/>
    <n v="30"/>
    <n v="38718.080000000002"/>
    <n v="38718.080000000002"/>
    <n v="0"/>
    <d v="2026-05-31T00:00:00"/>
    <s v="Paid"/>
    <s v="ACH"/>
    <n v="1"/>
    <n v="29"/>
    <x v="0"/>
    <s v="Yes"/>
    <n v="0.01"/>
    <s v="Yes"/>
    <n v="387.18"/>
  </r>
  <r>
    <s v="AP-0090"/>
    <s v="VND-004"/>
    <s v="BuildRight Materials"/>
    <s v="Materials"/>
    <s v="Central"/>
    <s v="Pedro Alvarez"/>
    <d v="2026-02-24T00:00:00"/>
    <d v="2026-03-26T00:00:00"/>
    <n v="30"/>
    <n v="43804.78"/>
    <n v="43804.78"/>
    <n v="0"/>
    <d v="2026-03-27T00:00:00"/>
    <s v="Paid"/>
    <s v="ACH"/>
    <n v="31"/>
    <n v="-1"/>
    <x v="1"/>
    <s v="No"/>
    <n v="0"/>
    <s v="No"/>
    <n v="0"/>
  </r>
  <r>
    <s v="AP-0091"/>
    <s v="VND-020"/>
    <s v="TrustBuild Facilities"/>
    <s v="Facilities"/>
    <s v="West"/>
    <s v="Sofia Reyes"/>
    <d v="2025-11-21T00:00:00"/>
    <d v="2026-01-20T00:00:00"/>
    <n v="60"/>
    <n v="22684.37"/>
    <n v="22684.37"/>
    <n v="0"/>
    <d v="2026-01-14T00:00:00"/>
    <s v="Paid"/>
    <s v="Check"/>
    <n v="54"/>
    <n v="6"/>
    <x v="0"/>
    <s v="No"/>
    <n v="0"/>
    <s v="No"/>
    <n v="0"/>
  </r>
  <r>
    <s v="AP-0092"/>
    <s v="VND-018"/>
    <s v="BuildFast Materials"/>
    <s v="Materials"/>
    <s v="North"/>
    <s v="Ana Torres"/>
    <d v="2025-10-22T00:00:00"/>
    <d v="2025-11-21T00:00:00"/>
    <n v="30"/>
    <n v="49876.44"/>
    <n v="49876.44"/>
    <n v="0"/>
    <d v="2025-11-30T00:00:00"/>
    <s v="Paid"/>
    <s v="ACH"/>
    <n v="39"/>
    <n v="-9"/>
    <x v="1"/>
    <s v="No"/>
    <n v="0"/>
    <s v="No"/>
    <n v="0"/>
  </r>
  <r>
    <s v="AP-0093"/>
    <s v="VND-004"/>
    <s v="BuildRight Materials"/>
    <s v="Materials"/>
    <s v="West"/>
    <s v="Marco Diaz"/>
    <d v="2025-02-17T00:00:00"/>
    <d v="2025-03-04T00:00:00"/>
    <n v="15"/>
    <n v="17569.98"/>
    <n v="17569.98"/>
    <n v="0"/>
    <d v="2025-03-10T00:00:00"/>
    <s v="Paid"/>
    <s v="Check"/>
    <n v="21"/>
    <n v="-6"/>
    <x v="1"/>
    <s v="Yes"/>
    <n v="0.02"/>
    <s v="No"/>
    <n v="0"/>
  </r>
  <r>
    <s v="AP-0094"/>
    <s v="VND-014"/>
    <s v="NetConnect Systems"/>
    <s v="IT"/>
    <s v="South"/>
    <s v="Marco Diaz"/>
    <d v="2025-06-24T00:00:00"/>
    <d v="2025-07-24T00:00:00"/>
    <n v="30"/>
    <n v="18130.2"/>
    <n v="18130.2"/>
    <n v="0"/>
    <d v="2025-07-21T00:00:00"/>
    <s v="Paid"/>
    <s v="Credit Card"/>
    <n v="27"/>
    <n v="3"/>
    <x v="0"/>
    <s v="Yes"/>
    <n v="0.01"/>
    <s v="No"/>
    <n v="0"/>
  </r>
  <r>
    <s v="AP-0095"/>
    <s v="VND-019"/>
    <s v="SkyNet IT Solutions"/>
    <s v="IT"/>
    <s v="South"/>
    <s v="Marco Diaz"/>
    <d v="2026-04-16T00:00:00"/>
    <d v="2026-05-31T00:00:00"/>
    <n v="45"/>
    <n v="24149.5"/>
    <n v="15426.83"/>
    <n v="8722.67"/>
    <d v="2026-05-31T00:00:00"/>
    <s v="Partial"/>
    <s v="Credit Card"/>
    <n v="45"/>
    <n v="0"/>
    <x v="0"/>
    <s v="Yes"/>
    <n v="1.4999999999999999E-2"/>
    <s v="No"/>
    <n v="0"/>
  </r>
  <r>
    <s v="AP-0096"/>
    <s v="VND-003"/>
    <s v="FastShip Logistics"/>
    <s v="Logistics"/>
    <s v="West"/>
    <s v="Laura Chen"/>
    <d v="2025-09-14T00:00:00"/>
    <d v="2025-11-13T00:00:00"/>
    <n v="60"/>
    <n v="9679.8799999999992"/>
    <n v="0"/>
    <n v="9679.8799999999992"/>
    <m/>
    <s v="Overdue"/>
    <s v="Check"/>
    <m/>
    <n v="-199"/>
    <x v="1"/>
    <s v="Yes"/>
    <n v="0.01"/>
    <s v="No"/>
    <n v="0"/>
  </r>
  <r>
    <s v="AP-0097"/>
    <s v="VND-016"/>
    <s v="CleanWater Utilities"/>
    <s v="Utilities"/>
    <s v="North"/>
    <s v="Marco Diaz"/>
    <d v="2025-10-30T00:00:00"/>
    <d v="2025-12-29T00:00:00"/>
    <n v="60"/>
    <n v="14894.03"/>
    <n v="0"/>
    <n v="14894.03"/>
    <m/>
    <s v="Overdue"/>
    <s v="Credit Card"/>
    <m/>
    <n v="-153"/>
    <x v="1"/>
    <s v="Yes"/>
    <n v="0.01"/>
    <s v="No"/>
    <n v="0"/>
  </r>
  <r>
    <s v="AP-0098"/>
    <s v="VND-022"/>
    <s v="Apex Consulting"/>
    <s v="Services"/>
    <s v="West"/>
    <s v="Laura Chen"/>
    <d v="2026-05-24T00:00:00"/>
    <d v="2026-06-08T00:00:00"/>
    <n v="15"/>
    <n v="33815.040000000001"/>
    <n v="0"/>
    <n v="33815.040000000001"/>
    <m/>
    <s v="Pending"/>
    <s v="ACH"/>
    <m/>
    <m/>
    <x v="2"/>
    <s v="No"/>
    <n v="0"/>
    <s v="No"/>
    <n v="0"/>
  </r>
  <r>
    <s v="AP-0099"/>
    <s v="VND-012"/>
    <s v="FacilityPro Services"/>
    <s v="Facilities"/>
    <s v="South"/>
    <s v="Marco Diaz"/>
    <d v="2025-04-10T00:00:00"/>
    <d v="2025-05-10T00:00:00"/>
    <n v="30"/>
    <n v="31812.32"/>
    <n v="31812.32"/>
    <n v="0"/>
    <d v="2025-05-02T00:00:00"/>
    <s v="Paid"/>
    <s v="Check"/>
    <n v="22"/>
    <n v="8"/>
    <x v="0"/>
    <s v="Yes"/>
    <n v="0.01"/>
    <s v="No"/>
    <n v="0"/>
  </r>
  <r>
    <s v="AP-0100"/>
    <s v="VND-015"/>
    <s v="ExpressRoute Logistics"/>
    <s v="Logistics"/>
    <s v="North"/>
    <s v="Ana Torres"/>
    <d v="2025-04-03T00:00:00"/>
    <d v="2025-05-03T00:00:00"/>
    <n v="30"/>
    <n v="18282.93"/>
    <n v="18282.93"/>
    <n v="0"/>
    <d v="2025-05-07T00:00:00"/>
    <s v="Paid"/>
    <s v="Check"/>
    <n v="34"/>
    <n v="-4"/>
    <x v="1"/>
    <s v="Yes"/>
    <n v="0.01"/>
    <s v="No"/>
    <n v="0"/>
  </r>
  <r>
    <s v="AP-0101"/>
    <s v="VND-012"/>
    <s v="FacilityPro Services"/>
    <s v="Facilities"/>
    <s v="Central"/>
    <s v="Ana Torres"/>
    <d v="2025-09-21T00:00:00"/>
    <d v="2025-10-21T00:00:00"/>
    <n v="30"/>
    <n v="32163.62"/>
    <n v="0"/>
    <n v="32163.62"/>
    <m/>
    <s v="Overdue"/>
    <s v="Check"/>
    <m/>
    <n v="-222"/>
    <x v="1"/>
    <s v="No"/>
    <n v="0"/>
    <s v="No"/>
    <n v="0"/>
  </r>
  <r>
    <s v="AP-0102"/>
    <s v="VND-010"/>
    <s v="DataBridge IT"/>
    <s v="IT"/>
    <s v="East"/>
    <s v="Sofia Reyes"/>
    <d v="2025-05-25T00:00:00"/>
    <d v="2025-06-24T00:00:00"/>
    <n v="30"/>
    <n v="61561.36"/>
    <n v="61561.36"/>
    <n v="0"/>
    <d v="2025-07-07T00:00:00"/>
    <s v="Paid"/>
    <s v="Credit Card"/>
    <n v="43"/>
    <n v="-13"/>
    <x v="1"/>
    <s v="Yes"/>
    <n v="0.01"/>
    <s v="No"/>
    <n v="0"/>
  </r>
  <r>
    <s v="AP-0103"/>
    <s v="VND-022"/>
    <s v="Apex Consulting"/>
    <s v="Services"/>
    <s v="West"/>
    <s v="Ana Torres"/>
    <d v="2026-02-09T00:00:00"/>
    <d v="2026-03-11T00:00:00"/>
    <n v="30"/>
    <n v="3514.99"/>
    <n v="3514.99"/>
    <n v="0"/>
    <d v="2026-03-06T00:00:00"/>
    <s v="Paid"/>
    <s v="Check"/>
    <n v="25"/>
    <n v="5"/>
    <x v="0"/>
    <s v="Yes"/>
    <n v="0.01"/>
    <s v="No"/>
    <n v="0"/>
  </r>
  <r>
    <s v="AP-0104"/>
    <s v="VND-019"/>
    <s v="SkyNet IT Solutions"/>
    <s v="IT"/>
    <s v="West"/>
    <s v="Laura Chen"/>
    <d v="2026-04-28T00:00:00"/>
    <d v="2026-05-28T00:00:00"/>
    <n v="30"/>
    <n v="6876.85"/>
    <n v="6876.85"/>
    <n v="0"/>
    <d v="2026-05-18T00:00:00"/>
    <s v="Paid"/>
    <s v="ACH"/>
    <n v="20"/>
    <n v="10"/>
    <x v="0"/>
    <s v="No"/>
    <n v="0"/>
    <s v="No"/>
    <n v="0"/>
  </r>
  <r>
    <s v="AP-0105"/>
    <s v="VND-008"/>
    <s v="GreenEnergy Corp."/>
    <s v="Utilities"/>
    <s v="North"/>
    <s v="Pedro Alvarez"/>
    <d v="2025-04-30T00:00:00"/>
    <d v="2025-06-29T00:00:00"/>
    <n v="60"/>
    <n v="2526.77"/>
    <n v="2526.77"/>
    <n v="0"/>
    <d v="2025-06-26T00:00:00"/>
    <s v="Paid"/>
    <s v="Check"/>
    <n v="57"/>
    <n v="3"/>
    <x v="0"/>
    <s v="No"/>
    <n v="0"/>
    <s v="No"/>
    <n v="0"/>
  </r>
  <r>
    <s v="AP-0106"/>
    <s v="VND-018"/>
    <s v="BuildFast Materials"/>
    <s v="Materials"/>
    <s v="South"/>
    <s v="Pedro Alvarez"/>
    <d v="2026-03-06T00:00:00"/>
    <d v="2026-05-05T00:00:00"/>
    <n v="60"/>
    <n v="30192.34"/>
    <n v="21643.27"/>
    <n v="8549.07"/>
    <d v="2026-05-19T00:00:00"/>
    <s v="Partial"/>
    <s v="Credit Card"/>
    <n v="74"/>
    <n v="-14"/>
    <x v="1"/>
    <s v="No"/>
    <n v="0"/>
    <s v="No"/>
    <n v="0"/>
  </r>
  <r>
    <s v="AP-0107"/>
    <s v="VND-014"/>
    <s v="NetConnect Systems"/>
    <s v="IT"/>
    <s v="East"/>
    <s v="Sofia Reyes"/>
    <d v="2026-03-31T00:00:00"/>
    <d v="2026-04-30T00:00:00"/>
    <n v="30"/>
    <n v="38352.19"/>
    <n v="38352.19"/>
    <n v="0"/>
    <d v="2026-04-30T00:00:00"/>
    <s v="Paid"/>
    <s v="Check"/>
    <n v="30"/>
    <n v="0"/>
    <x v="0"/>
    <s v="Yes"/>
    <n v="0.01"/>
    <s v="No"/>
    <n v="0"/>
  </r>
  <r>
    <s v="AP-0108"/>
    <s v="VND-012"/>
    <s v="FacilityPro Services"/>
    <s v="Facilities"/>
    <s v="Central"/>
    <s v="Laura Chen"/>
    <d v="2025-10-10T00:00:00"/>
    <d v="2025-12-09T00:00:00"/>
    <n v="60"/>
    <n v="8263.68"/>
    <n v="4357.92"/>
    <n v="3905.76"/>
    <d v="2025-12-25T00:00:00"/>
    <s v="Partial"/>
    <s v="ACH"/>
    <n v="76"/>
    <n v="-16"/>
    <x v="1"/>
    <s v="Yes"/>
    <n v="0.01"/>
    <s v="No"/>
    <n v="0"/>
  </r>
  <r>
    <s v="AP-0109"/>
    <s v="VND-007"/>
    <s v="ProStaff Services"/>
    <s v="Services"/>
    <s v="Central"/>
    <s v="Sofia Reyes"/>
    <d v="2025-09-07T00:00:00"/>
    <d v="2025-11-06T00:00:00"/>
    <n v="60"/>
    <n v="39586.370000000003"/>
    <n v="39586.370000000003"/>
    <n v="0"/>
    <d v="2025-11-10T00:00:00"/>
    <s v="Paid"/>
    <s v="ACH"/>
    <n v="64"/>
    <n v="-4"/>
    <x v="1"/>
    <s v="No"/>
    <n v="0"/>
    <s v="No"/>
    <n v="0"/>
  </r>
  <r>
    <s v="AP-0110"/>
    <s v="VND-019"/>
    <s v="SkyNet IT Solutions"/>
    <s v="IT"/>
    <s v="South"/>
    <s v="Marco Diaz"/>
    <d v="2025-01-03T00:00:00"/>
    <d v="2025-02-02T00:00:00"/>
    <n v="30"/>
    <n v="25795.61"/>
    <n v="0"/>
    <n v="25795.61"/>
    <m/>
    <s v="Overdue"/>
    <s v="Check"/>
    <m/>
    <n v="-483"/>
    <x v="1"/>
    <s v="No"/>
    <n v="0"/>
    <s v="No"/>
    <n v="0"/>
  </r>
  <r>
    <s v="AP-0111"/>
    <s v="VND-018"/>
    <s v="BuildFast Materials"/>
    <s v="Materials"/>
    <s v="East"/>
    <s v="Marco Diaz"/>
    <d v="2025-05-15T00:00:00"/>
    <d v="2025-05-30T00:00:00"/>
    <n v="15"/>
    <n v="2713.3"/>
    <n v="2713.3"/>
    <n v="0"/>
    <d v="2025-05-22T00:00:00"/>
    <s v="Paid"/>
    <s v="ACH"/>
    <n v="7"/>
    <n v="8"/>
    <x v="0"/>
    <s v="No"/>
    <n v="0"/>
    <s v="No"/>
    <n v="0"/>
  </r>
  <r>
    <s v="AP-0112"/>
    <s v="VND-011"/>
    <s v="QuickFreight Inc."/>
    <s v="Logistics"/>
    <s v="North"/>
    <s v="Marco Diaz"/>
    <d v="2025-05-10T00:00:00"/>
    <d v="2025-05-25T00:00:00"/>
    <n v="15"/>
    <n v="15092.64"/>
    <n v="15092.64"/>
    <n v="0"/>
    <d v="2025-05-12T00:00:00"/>
    <s v="Paid"/>
    <s v="Check"/>
    <n v="2"/>
    <n v="13"/>
    <x v="0"/>
    <s v="Yes"/>
    <n v="0.02"/>
    <s v="Yes"/>
    <n v="301.85000000000002"/>
  </r>
  <r>
    <s v="AP-0113"/>
    <s v="VND-017"/>
    <s v="OfficePro Services"/>
    <s v="Services"/>
    <s v="Central"/>
    <s v="Sofia Reyes"/>
    <d v="2025-02-14T00:00:00"/>
    <d v="2025-03-16T00:00:00"/>
    <n v="30"/>
    <n v="29907.99"/>
    <n v="29907.99"/>
    <n v="0"/>
    <d v="2025-03-18T00:00:00"/>
    <s v="Paid"/>
    <s v="Credit Card"/>
    <n v="32"/>
    <n v="-2"/>
    <x v="1"/>
    <s v="No"/>
    <n v="0"/>
    <s v="No"/>
    <n v="0"/>
  </r>
  <r>
    <s v="AP-0114"/>
    <s v="VND-010"/>
    <s v="DataBridge IT"/>
    <s v="IT"/>
    <s v="West"/>
    <s v="Sofia Reyes"/>
    <d v="2026-02-16T00:00:00"/>
    <d v="2026-05-17T00:00:00"/>
    <n v="90"/>
    <n v="36970.519999999997"/>
    <n v="36970.519999999997"/>
    <n v="0"/>
    <d v="2026-05-22T00:00:00"/>
    <s v="Paid"/>
    <s v="ACH"/>
    <n v="95"/>
    <n v="-5"/>
    <x v="1"/>
    <s v="Yes"/>
    <n v="5.0000000000000001E-3"/>
    <s v="No"/>
    <n v="0"/>
  </r>
  <r>
    <s v="AP-0115"/>
    <s v="VND-005"/>
    <s v="CloudSys Inc."/>
    <s v="IT"/>
    <s v="North"/>
    <s v="Marco Diaz"/>
    <d v="2026-01-26T00:00:00"/>
    <d v="2026-03-27T00:00:00"/>
    <n v="60"/>
    <n v="79597.08"/>
    <n v="79597.08"/>
    <n v="0"/>
    <d v="2026-03-23T00:00:00"/>
    <s v="Paid"/>
    <s v="Check"/>
    <n v="56"/>
    <n v="4"/>
    <x v="0"/>
    <s v="Yes"/>
    <n v="0.01"/>
    <s v="No"/>
    <n v="0"/>
  </r>
  <r>
    <s v="AP-0116"/>
    <s v="VND-020"/>
    <s v="TrustBuild Facilities"/>
    <s v="Facilities"/>
    <s v="West"/>
    <s v="Sofia Reyes"/>
    <d v="2026-03-17T00:00:00"/>
    <d v="2026-04-16T00:00:00"/>
    <n v="30"/>
    <n v="16901.310000000001"/>
    <n v="16901.310000000001"/>
    <n v="0"/>
    <d v="2026-04-13T00:00:00"/>
    <s v="Paid"/>
    <s v="ACH"/>
    <n v="27"/>
    <n v="3"/>
    <x v="0"/>
    <s v="Yes"/>
    <n v="0.01"/>
    <s v="No"/>
    <n v="0"/>
  </r>
  <r>
    <s v="AP-0117"/>
    <s v="VND-014"/>
    <s v="NetConnect Systems"/>
    <s v="IT"/>
    <s v="East"/>
    <s v="Laura Chen"/>
    <d v="2026-05-01T00:00:00"/>
    <d v="2026-05-31T00:00:00"/>
    <n v="30"/>
    <n v="10035"/>
    <n v="0"/>
    <n v="10035"/>
    <m/>
    <s v="Pending"/>
    <s v="Check"/>
    <m/>
    <m/>
    <x v="2"/>
    <s v="No"/>
    <n v="0"/>
    <s v="No"/>
    <n v="0"/>
  </r>
  <r>
    <s v="AP-0118"/>
    <s v="VND-024"/>
    <s v="EliteFacilities Corp."/>
    <s v="Facilities"/>
    <s v="East"/>
    <s v="Marco Diaz"/>
    <d v="2025-05-06T00:00:00"/>
    <d v="2025-07-05T00:00:00"/>
    <n v="60"/>
    <n v="15556.68"/>
    <n v="0"/>
    <n v="15556.68"/>
    <m/>
    <s v="Overdue"/>
    <s v="ACH"/>
    <m/>
    <n v="-330"/>
    <x v="1"/>
    <s v="No"/>
    <n v="0"/>
    <s v="No"/>
    <n v="0"/>
  </r>
  <r>
    <s v="AP-0119"/>
    <s v="VND-014"/>
    <s v="NetConnect Systems"/>
    <s v="IT"/>
    <s v="North"/>
    <s v="Laura Chen"/>
    <d v="2025-04-17T00:00:00"/>
    <d v="2025-06-16T00:00:00"/>
    <n v="60"/>
    <n v="48343.89"/>
    <n v="48343.89"/>
    <n v="0"/>
    <d v="2025-06-17T00:00:00"/>
    <s v="Paid"/>
    <s v="Check"/>
    <n v="61"/>
    <n v="-1"/>
    <x v="1"/>
    <s v="Yes"/>
    <n v="0.01"/>
    <s v="No"/>
    <n v="0"/>
  </r>
  <r>
    <s v="AP-0120"/>
    <s v="VND-008"/>
    <s v="GreenEnergy Corp."/>
    <s v="Utilities"/>
    <s v="North"/>
    <s v="Laura Chen"/>
    <d v="2025-10-13T00:00:00"/>
    <d v="2025-11-12T00:00:00"/>
    <n v="30"/>
    <n v="8824.4500000000007"/>
    <n v="6947.25"/>
    <n v="1877.2"/>
    <d v="2025-11-26T00:00:00"/>
    <s v="Partial"/>
    <s v="Check"/>
    <n v="44"/>
    <n v="-14"/>
    <x v="1"/>
    <s v="No"/>
    <n v="0"/>
    <s v="No"/>
    <n v="0"/>
  </r>
  <r>
    <s v="AP-0121"/>
    <s v="VND-020"/>
    <s v="TrustBuild Facilities"/>
    <s v="Facilities"/>
    <s v="Central"/>
    <s v="Sofia Reyes"/>
    <d v="2025-07-04T00:00:00"/>
    <d v="2025-07-19T00:00:00"/>
    <n v="15"/>
    <n v="11017.92"/>
    <n v="0"/>
    <n v="11017.92"/>
    <m/>
    <s v="Overdue"/>
    <s v="Check"/>
    <m/>
    <n v="-316"/>
    <x v="1"/>
    <s v="No"/>
    <n v="0"/>
    <s v="No"/>
    <n v="0"/>
  </r>
  <r>
    <s v="AP-0122"/>
    <s v="VND-012"/>
    <s v="FacilityPro Services"/>
    <s v="Facilities"/>
    <s v="North"/>
    <s v="Marco Diaz"/>
    <d v="2025-03-13T00:00:00"/>
    <d v="2025-05-12T00:00:00"/>
    <n v="60"/>
    <n v="6681.86"/>
    <n v="6681.86"/>
    <n v="0"/>
    <d v="2025-05-12T00:00:00"/>
    <s v="Paid"/>
    <s v="Wire"/>
    <n v="60"/>
    <n v="0"/>
    <x v="0"/>
    <s v="Yes"/>
    <n v="0.01"/>
    <s v="No"/>
    <n v="0"/>
  </r>
  <r>
    <s v="AP-0123"/>
    <s v="VND-014"/>
    <s v="NetConnect Systems"/>
    <s v="IT"/>
    <s v="West"/>
    <s v="Laura Chen"/>
    <d v="2025-11-16T00:00:00"/>
    <d v="2026-01-15T00:00:00"/>
    <n v="60"/>
    <n v="59119.7"/>
    <n v="59119.7"/>
    <n v="0"/>
    <d v="2026-01-10T00:00:00"/>
    <s v="Paid"/>
    <s v="Wire"/>
    <n v="55"/>
    <n v="5"/>
    <x v="0"/>
    <s v="No"/>
    <n v="0"/>
    <s v="No"/>
    <n v="0"/>
  </r>
  <r>
    <s v="AP-0124"/>
    <s v="VND-003"/>
    <s v="FastShip Logistics"/>
    <s v="Logistics"/>
    <s v="North"/>
    <s v="Marco Diaz"/>
    <d v="2025-03-25T00:00:00"/>
    <d v="2025-04-09T00:00:00"/>
    <n v="15"/>
    <n v="6169.95"/>
    <n v="6169.95"/>
    <n v="0"/>
    <d v="2025-04-04T00:00:00"/>
    <s v="Paid"/>
    <s v="Wire"/>
    <n v="10"/>
    <n v="5"/>
    <x v="0"/>
    <s v="Yes"/>
    <n v="0.02"/>
    <s v="No"/>
    <n v="0"/>
  </r>
  <r>
    <s v="AP-0125"/>
    <s v="VND-025"/>
    <s v="RapidShip Co."/>
    <s v="Logistics"/>
    <s v="Central"/>
    <s v="Sofia Reyes"/>
    <d v="2025-04-24T00:00:00"/>
    <d v="2025-06-23T00:00:00"/>
    <n v="60"/>
    <n v="6381.68"/>
    <n v="6381.68"/>
    <n v="0"/>
    <d v="2025-06-25T00:00:00"/>
    <s v="Paid"/>
    <s v="Check"/>
    <n v="62"/>
    <n v="-2"/>
    <x v="1"/>
    <s v="Yes"/>
    <n v="0.01"/>
    <s v="No"/>
    <n v="0"/>
  </r>
  <r>
    <s v="AP-0126"/>
    <s v="VND-022"/>
    <s v="Apex Consulting"/>
    <s v="Services"/>
    <s v="East"/>
    <s v="Sofia Reyes"/>
    <d v="2025-02-26T00:00:00"/>
    <d v="2025-04-27T00:00:00"/>
    <n v="60"/>
    <n v="3284.42"/>
    <n v="3284.42"/>
    <n v="0"/>
    <d v="2025-04-30T00:00:00"/>
    <s v="Paid"/>
    <s v="Wire"/>
    <n v="63"/>
    <n v="-3"/>
    <x v="1"/>
    <s v="Yes"/>
    <n v="0.01"/>
    <s v="No"/>
    <n v="0"/>
  </r>
  <r>
    <s v="AP-0127"/>
    <s v="VND-011"/>
    <s v="QuickFreight Inc."/>
    <s v="Logistics"/>
    <s v="North"/>
    <s v="Sofia Reyes"/>
    <d v="2025-06-29T00:00:00"/>
    <d v="2025-08-28T00:00:00"/>
    <n v="60"/>
    <n v="3454.53"/>
    <n v="3454.53"/>
    <n v="0"/>
    <d v="2025-09-01T00:00:00"/>
    <s v="Paid"/>
    <s v="Credit Card"/>
    <n v="64"/>
    <n v="-4"/>
    <x v="1"/>
    <s v="Yes"/>
    <n v="0.01"/>
    <s v="No"/>
    <n v="0"/>
  </r>
  <r>
    <s v="AP-0128"/>
    <s v="VND-018"/>
    <s v="BuildFast Materials"/>
    <s v="Materials"/>
    <s v="East"/>
    <s v="Sofia Reyes"/>
    <d v="2026-03-23T00:00:00"/>
    <d v="2026-04-07T00:00:00"/>
    <n v="15"/>
    <n v="2899.59"/>
    <n v="1701.19"/>
    <n v="1198.4000000000001"/>
    <d v="2026-04-24T00:00:00"/>
    <s v="Partial"/>
    <s v="Credit Card"/>
    <n v="32"/>
    <n v="-17"/>
    <x v="1"/>
    <s v="No"/>
    <n v="0"/>
    <s v="No"/>
    <n v="0"/>
  </r>
  <r>
    <s v="AP-0129"/>
    <s v="VND-021"/>
    <s v="PrimePack Logistics"/>
    <s v="Logistics"/>
    <s v="West"/>
    <s v="Laura Chen"/>
    <d v="2025-01-22T00:00:00"/>
    <d v="2025-03-23T00:00:00"/>
    <n v="60"/>
    <n v="19357.79"/>
    <n v="0"/>
    <n v="19357.79"/>
    <m/>
    <s v="Overdue"/>
    <s v="ACH"/>
    <m/>
    <n v="-434"/>
    <x v="1"/>
    <s v="Yes"/>
    <n v="0.01"/>
    <s v="No"/>
    <n v="0"/>
  </r>
  <r>
    <s v="AP-0130"/>
    <s v="VND-015"/>
    <s v="ExpressRoute Logistics"/>
    <s v="Logistics"/>
    <s v="East"/>
    <s v="Sofia Reyes"/>
    <d v="2025-09-07T00:00:00"/>
    <d v="2025-10-07T00:00:00"/>
    <n v="30"/>
    <n v="9277.85"/>
    <n v="9277.85"/>
    <n v="0"/>
    <d v="2025-10-16T00:00:00"/>
    <s v="Paid"/>
    <s v="Credit Card"/>
    <n v="39"/>
    <n v="-9"/>
    <x v="1"/>
    <s v="Yes"/>
    <n v="0.01"/>
    <s v="No"/>
    <n v="0"/>
  </r>
  <r>
    <s v="AP-0131"/>
    <s v="VND-008"/>
    <s v="GreenEnergy Corp."/>
    <s v="Utilities"/>
    <s v="East"/>
    <s v="Marco Diaz"/>
    <d v="2025-07-18T00:00:00"/>
    <d v="2025-08-17T00:00:00"/>
    <n v="30"/>
    <n v="13635.88"/>
    <n v="13635.88"/>
    <n v="0"/>
    <d v="2025-08-08T00:00:00"/>
    <s v="Paid"/>
    <s v="ACH"/>
    <n v="21"/>
    <n v="9"/>
    <x v="0"/>
    <s v="Yes"/>
    <n v="0.01"/>
    <s v="No"/>
    <n v="0"/>
  </r>
  <r>
    <s v="AP-0132"/>
    <s v="VND-021"/>
    <s v="PrimePack Logistics"/>
    <s v="Logistics"/>
    <s v="South"/>
    <s v="Marco Diaz"/>
    <d v="2025-09-20T00:00:00"/>
    <d v="2025-10-20T00:00:00"/>
    <n v="30"/>
    <n v="4748.16"/>
    <n v="4748.16"/>
    <n v="0"/>
    <d v="2025-10-18T00:00:00"/>
    <s v="Paid"/>
    <s v="ACH"/>
    <n v="28"/>
    <n v="2"/>
    <x v="0"/>
    <s v="Yes"/>
    <n v="0.01"/>
    <s v="No"/>
    <n v="0"/>
  </r>
  <r>
    <s v="AP-0133"/>
    <s v="VND-025"/>
    <s v="RapidShip Co."/>
    <s v="Logistics"/>
    <s v="West"/>
    <s v="Pedro Alvarez"/>
    <d v="2025-11-20T00:00:00"/>
    <d v="2026-01-19T00:00:00"/>
    <n v="60"/>
    <n v="3868.19"/>
    <n v="3868.19"/>
    <n v="0"/>
    <d v="2026-01-15T00:00:00"/>
    <s v="Paid"/>
    <s v="Credit Card"/>
    <n v="56"/>
    <n v="4"/>
    <x v="0"/>
    <s v="Yes"/>
    <n v="0.01"/>
    <s v="No"/>
    <n v="0"/>
  </r>
  <r>
    <s v="AP-0134"/>
    <s v="VND-010"/>
    <s v="DataBridge IT"/>
    <s v="IT"/>
    <s v="East"/>
    <s v="Ana Torres"/>
    <d v="2025-03-17T00:00:00"/>
    <d v="2025-05-16T00:00:00"/>
    <n v="60"/>
    <n v="28280.59"/>
    <n v="28280.59"/>
    <n v="0"/>
    <d v="2025-05-17T00:00:00"/>
    <s v="Paid"/>
    <s v="ACH"/>
    <n v="61"/>
    <n v="-1"/>
    <x v="1"/>
    <s v="Yes"/>
    <n v="0.01"/>
    <s v="No"/>
    <n v="0"/>
  </r>
  <r>
    <s v="AP-0135"/>
    <s v="VND-003"/>
    <s v="FastShip Logistics"/>
    <s v="Logistics"/>
    <s v="Central"/>
    <s v="Ana Torres"/>
    <d v="2025-02-12T00:00:00"/>
    <d v="2025-05-13T00:00:00"/>
    <n v="90"/>
    <n v="9544.94"/>
    <n v="9544.94"/>
    <n v="0"/>
    <d v="2025-05-11T00:00:00"/>
    <s v="Paid"/>
    <s v="Credit Card"/>
    <n v="88"/>
    <n v="2"/>
    <x v="0"/>
    <s v="No"/>
    <n v="0"/>
    <s v="No"/>
    <n v="0"/>
  </r>
  <r>
    <s v="AP-0136"/>
    <s v="VND-011"/>
    <s v="QuickFreight Inc."/>
    <s v="Logistics"/>
    <s v="Central"/>
    <s v="Pedro Alvarez"/>
    <d v="2026-04-07T00:00:00"/>
    <d v="2026-04-22T00:00:00"/>
    <n v="15"/>
    <n v="2966.54"/>
    <n v="2966.54"/>
    <n v="0"/>
    <d v="2026-04-18T00:00:00"/>
    <s v="Paid"/>
    <s v="Wire"/>
    <n v="11"/>
    <n v="4"/>
    <x v="0"/>
    <s v="No"/>
    <n v="0"/>
    <s v="No"/>
    <n v="0"/>
  </r>
  <r>
    <s v="AP-0137"/>
    <s v="VND-008"/>
    <s v="GreenEnergy Corp."/>
    <s v="Utilities"/>
    <s v="West"/>
    <s v="Pedro Alvarez"/>
    <d v="2026-01-17T00:00:00"/>
    <d v="2026-03-18T00:00:00"/>
    <n v="60"/>
    <n v="13810.08"/>
    <n v="13810.08"/>
    <n v="0"/>
    <d v="2026-03-18T00:00:00"/>
    <s v="Paid"/>
    <s v="Wire"/>
    <n v="60"/>
    <n v="0"/>
    <x v="0"/>
    <s v="Yes"/>
    <n v="0.01"/>
    <s v="No"/>
    <n v="0"/>
  </r>
  <r>
    <s v="AP-0138"/>
    <s v="VND-022"/>
    <s v="Apex Consulting"/>
    <s v="Services"/>
    <s v="Central"/>
    <s v="Sofia Reyes"/>
    <d v="2025-12-04T00:00:00"/>
    <d v="2026-01-03T00:00:00"/>
    <n v="30"/>
    <n v="6496.72"/>
    <n v="6496.72"/>
    <n v="0"/>
    <d v="2026-01-02T00:00:00"/>
    <s v="Paid"/>
    <s v="Check"/>
    <n v="29"/>
    <n v="1"/>
    <x v="0"/>
    <s v="Yes"/>
    <n v="0.01"/>
    <s v="No"/>
    <n v="0"/>
  </r>
  <r>
    <s v="AP-0139"/>
    <s v="VND-020"/>
    <s v="TrustBuild Facilities"/>
    <s v="Facilities"/>
    <s v="South"/>
    <s v="Laura Chen"/>
    <d v="2025-12-25T00:00:00"/>
    <d v="2026-01-24T00:00:00"/>
    <n v="30"/>
    <n v="12237.65"/>
    <n v="12237.65"/>
    <n v="0"/>
    <d v="2026-01-13T00:00:00"/>
    <s v="Paid"/>
    <s v="ACH"/>
    <n v="19"/>
    <n v="11"/>
    <x v="0"/>
    <s v="Yes"/>
    <n v="0.01"/>
    <s v="No"/>
    <n v="0"/>
  </r>
  <r>
    <s v="AP-0140"/>
    <s v="VND-005"/>
    <s v="CloudSys Inc."/>
    <s v="IT"/>
    <s v="Central"/>
    <s v="Sofia Reyes"/>
    <d v="2025-12-03T00:00:00"/>
    <d v="2026-02-01T00:00:00"/>
    <n v="60"/>
    <n v="65988.86"/>
    <n v="44172.11"/>
    <n v="21816.75"/>
    <d v="2026-02-17T00:00:00"/>
    <s v="Partial"/>
    <s v="Check"/>
    <n v="76"/>
    <n v="-16"/>
    <x v="1"/>
    <s v="Yes"/>
    <n v="0.01"/>
    <s v="No"/>
    <n v="0"/>
  </r>
  <r>
    <s v="AP-0141"/>
    <s v="VND-017"/>
    <s v="OfficePro Services"/>
    <s v="Services"/>
    <s v="North"/>
    <s v="Pedro Alvarez"/>
    <d v="2026-01-07T00:00:00"/>
    <d v="2026-01-22T00:00:00"/>
    <n v="15"/>
    <n v="14428.04"/>
    <n v="14428.04"/>
    <n v="0"/>
    <d v="2026-01-22T00:00:00"/>
    <s v="Paid"/>
    <s v="Check"/>
    <n v="15"/>
    <n v="0"/>
    <x v="0"/>
    <s v="No"/>
    <n v="0"/>
    <s v="No"/>
    <n v="0"/>
  </r>
  <r>
    <s v="AP-0142"/>
    <s v="VND-005"/>
    <s v="CloudSys Inc."/>
    <s v="IT"/>
    <s v="South"/>
    <s v="Sofia Reyes"/>
    <d v="2025-02-08T00:00:00"/>
    <d v="2025-03-10T00:00:00"/>
    <n v="30"/>
    <n v="54644.69"/>
    <n v="54644.69"/>
    <n v="0"/>
    <d v="2025-03-05T00:00:00"/>
    <s v="Paid"/>
    <s v="Check"/>
    <n v="25"/>
    <n v="5"/>
    <x v="0"/>
    <s v="No"/>
    <n v="0"/>
    <s v="No"/>
    <n v="0"/>
  </r>
  <r>
    <s v="AP-0143"/>
    <s v="VND-020"/>
    <s v="TrustBuild Facilities"/>
    <s v="Facilities"/>
    <s v="West"/>
    <s v="Marco Diaz"/>
    <d v="2025-06-19T00:00:00"/>
    <d v="2025-07-19T00:00:00"/>
    <n v="30"/>
    <n v="25799.040000000001"/>
    <n v="25799.040000000001"/>
    <n v="0"/>
    <d v="2025-07-15T00:00:00"/>
    <s v="Paid"/>
    <s v="Wire"/>
    <n v="26"/>
    <n v="4"/>
    <x v="0"/>
    <s v="Yes"/>
    <n v="0.01"/>
    <s v="No"/>
    <n v="0"/>
  </r>
  <r>
    <s v="AP-0144"/>
    <s v="VND-020"/>
    <s v="TrustBuild Facilities"/>
    <s v="Facilities"/>
    <s v="East"/>
    <s v="Pedro Alvarez"/>
    <d v="2025-11-13T00:00:00"/>
    <d v="2025-12-13T00:00:00"/>
    <n v="30"/>
    <n v="33864.69"/>
    <n v="0"/>
    <n v="33864.69"/>
    <m/>
    <s v="Overdue"/>
    <s v="Wire"/>
    <m/>
    <n v="-169"/>
    <x v="1"/>
    <s v="No"/>
    <n v="0"/>
    <s v="No"/>
    <n v="0"/>
  </r>
  <r>
    <s v="AP-0145"/>
    <s v="VND-007"/>
    <s v="ProStaff Services"/>
    <s v="Services"/>
    <s v="East"/>
    <s v="Ana Torres"/>
    <d v="2025-10-16T00:00:00"/>
    <d v="2026-01-14T00:00:00"/>
    <n v="90"/>
    <n v="31790.59"/>
    <n v="31790.59"/>
    <n v="0"/>
    <d v="2025-12-25T00:00:00"/>
    <s v="Paid"/>
    <s v="Credit Card"/>
    <n v="70"/>
    <n v="20"/>
    <x v="0"/>
    <s v="Yes"/>
    <n v="5.0000000000000001E-3"/>
    <s v="No"/>
    <n v="0"/>
  </r>
  <r>
    <s v="AP-0146"/>
    <s v="VND-006"/>
    <s v="PowerGrid Utilities"/>
    <s v="Utilities"/>
    <s v="South"/>
    <s v="Ana Torres"/>
    <d v="2025-02-23T00:00:00"/>
    <d v="2025-04-09T00:00:00"/>
    <n v="45"/>
    <n v="9797.1"/>
    <n v="9797.1"/>
    <n v="0"/>
    <d v="2025-04-21T00:00:00"/>
    <s v="Paid"/>
    <s v="Wire"/>
    <n v="57"/>
    <n v="-12"/>
    <x v="1"/>
    <s v="No"/>
    <n v="0"/>
    <s v="No"/>
    <n v="0"/>
  </r>
  <r>
    <s v="AP-0147"/>
    <s v="VND-004"/>
    <s v="BuildRight Materials"/>
    <s v="Materials"/>
    <s v="East"/>
    <s v="Sofia Reyes"/>
    <d v="2026-04-06T00:00:00"/>
    <d v="2026-05-21T00:00:00"/>
    <n v="45"/>
    <n v="45454.7"/>
    <n v="45454.7"/>
    <n v="0"/>
    <d v="2026-05-30T00:00:00"/>
    <s v="Paid"/>
    <s v="Wire"/>
    <n v="54"/>
    <n v="-9"/>
    <x v="1"/>
    <s v="Yes"/>
    <n v="1.4999999999999999E-2"/>
    <s v="No"/>
    <n v="0"/>
  </r>
  <r>
    <s v="AP-0148"/>
    <s v="VND-008"/>
    <s v="GreenEnergy Corp."/>
    <s v="Utilities"/>
    <s v="West"/>
    <s v="Laura Chen"/>
    <d v="2025-02-24T00:00:00"/>
    <d v="2025-04-25T00:00:00"/>
    <n v="60"/>
    <n v="6248.58"/>
    <n v="6248.58"/>
    <n v="0"/>
    <d v="2025-04-29T00:00:00"/>
    <s v="Paid"/>
    <s v="ACH"/>
    <n v="64"/>
    <n v="-4"/>
    <x v="1"/>
    <s v="Yes"/>
    <n v="0.01"/>
    <s v="No"/>
    <n v="0"/>
  </r>
  <r>
    <s v="AP-0149"/>
    <s v="VND-011"/>
    <s v="QuickFreight Inc."/>
    <s v="Logistics"/>
    <s v="North"/>
    <s v="Laura Chen"/>
    <d v="2025-02-09T00:00:00"/>
    <d v="2025-03-11T00:00:00"/>
    <n v="30"/>
    <n v="6450.71"/>
    <n v="6450.71"/>
    <n v="0"/>
    <d v="2025-03-13T00:00:00"/>
    <s v="Paid"/>
    <s v="Wire"/>
    <n v="32"/>
    <n v="-2"/>
    <x v="1"/>
    <s v="No"/>
    <n v="0"/>
    <s v="No"/>
    <n v="0"/>
  </r>
  <r>
    <s v="AP-0150"/>
    <s v="VND-005"/>
    <s v="CloudSys Inc."/>
    <s v="IT"/>
    <s v="West"/>
    <s v="Pedro Alvarez"/>
    <d v="2025-01-20T00:00:00"/>
    <d v="2025-02-19T00:00:00"/>
    <n v="30"/>
    <n v="24194.29"/>
    <n v="24194.29"/>
    <n v="0"/>
    <d v="2025-02-18T00:00:00"/>
    <s v="Paid"/>
    <s v="ACH"/>
    <n v="29"/>
    <n v="1"/>
    <x v="0"/>
    <s v="No"/>
    <n v="0"/>
    <s v="No"/>
    <n v="0"/>
  </r>
  <r>
    <s v="AP-0151"/>
    <s v="VND-004"/>
    <s v="BuildRight Materials"/>
    <s v="Materials"/>
    <s v="East"/>
    <s v="Marco Diaz"/>
    <d v="2025-02-18T00:00:00"/>
    <d v="2025-03-20T00:00:00"/>
    <n v="30"/>
    <n v="13445.1"/>
    <n v="13445.1"/>
    <n v="0"/>
    <d v="2025-03-11T00:00:00"/>
    <s v="Paid"/>
    <s v="Check"/>
    <n v="21"/>
    <n v="9"/>
    <x v="0"/>
    <s v="Yes"/>
    <n v="0.01"/>
    <s v="No"/>
    <n v="0"/>
  </r>
  <r>
    <s v="AP-0152"/>
    <s v="VND-003"/>
    <s v="FastShip Logistics"/>
    <s v="Logistics"/>
    <s v="North"/>
    <s v="Pedro Alvarez"/>
    <d v="2025-05-28T00:00:00"/>
    <d v="2025-06-27T00:00:00"/>
    <n v="30"/>
    <n v="6534.17"/>
    <n v="6534.17"/>
    <n v="0"/>
    <d v="2025-06-23T00:00:00"/>
    <s v="Paid"/>
    <s v="ACH"/>
    <n v="26"/>
    <n v="4"/>
    <x v="0"/>
    <s v="Yes"/>
    <n v="0.01"/>
    <s v="No"/>
    <n v="0"/>
  </r>
  <r>
    <s v="AP-0153"/>
    <s v="VND-022"/>
    <s v="Apex Consulting"/>
    <s v="Services"/>
    <s v="North"/>
    <s v="Ana Torres"/>
    <d v="2025-01-21T00:00:00"/>
    <d v="2025-02-20T00:00:00"/>
    <n v="30"/>
    <n v="17446.79"/>
    <n v="17446.79"/>
    <n v="0"/>
    <d v="2025-02-18T00:00:00"/>
    <s v="Paid"/>
    <s v="Check"/>
    <n v="28"/>
    <n v="2"/>
    <x v="0"/>
    <s v="Yes"/>
    <n v="0.01"/>
    <s v="No"/>
    <n v="0"/>
  </r>
  <r>
    <s v="AP-0154"/>
    <s v="VND-012"/>
    <s v="FacilityPro Services"/>
    <s v="Facilities"/>
    <s v="East"/>
    <s v="Sofia Reyes"/>
    <d v="2025-12-20T00:00:00"/>
    <d v="2026-01-19T00:00:00"/>
    <n v="30"/>
    <n v="9957.16"/>
    <n v="9957.16"/>
    <n v="0"/>
    <d v="2026-01-08T00:00:00"/>
    <s v="Paid"/>
    <s v="Check"/>
    <n v="19"/>
    <n v="11"/>
    <x v="0"/>
    <s v="Yes"/>
    <n v="0.01"/>
    <s v="No"/>
    <n v="0"/>
  </r>
  <r>
    <s v="AP-0155"/>
    <s v="VND-005"/>
    <s v="CloudSys Inc."/>
    <s v="IT"/>
    <s v="North"/>
    <s v="Laura Chen"/>
    <d v="2026-04-21T00:00:00"/>
    <d v="2026-05-21T00:00:00"/>
    <n v="30"/>
    <n v="78561.440000000002"/>
    <n v="0"/>
    <n v="78561.440000000002"/>
    <m/>
    <s v="Pending"/>
    <s v="Check"/>
    <m/>
    <m/>
    <x v="2"/>
    <s v="Yes"/>
    <n v="0.01"/>
    <s v="No"/>
    <n v="0"/>
  </r>
  <r>
    <s v="AP-0156"/>
    <s v="VND-023"/>
    <s v="CoolTech Systems"/>
    <s v="IT"/>
    <s v="West"/>
    <s v="Sofia Reyes"/>
    <d v="2025-02-14T00:00:00"/>
    <d v="2025-03-16T00:00:00"/>
    <n v="30"/>
    <n v="64333.19"/>
    <n v="64333.19"/>
    <n v="0"/>
    <d v="2025-03-10T00:00:00"/>
    <s v="Paid"/>
    <s v="Check"/>
    <n v="24"/>
    <n v="6"/>
    <x v="0"/>
    <s v="No"/>
    <n v="0"/>
    <s v="No"/>
    <n v="0"/>
  </r>
  <r>
    <s v="AP-0157"/>
    <s v="VND-010"/>
    <s v="DataBridge IT"/>
    <s v="IT"/>
    <s v="Central"/>
    <s v="Pedro Alvarez"/>
    <d v="2025-02-07T00:00:00"/>
    <d v="2025-03-24T00:00:00"/>
    <n v="45"/>
    <n v="61496.82"/>
    <n v="61496.82"/>
    <n v="0"/>
    <d v="2025-03-27T00:00:00"/>
    <s v="Paid"/>
    <s v="Credit Card"/>
    <n v="48"/>
    <n v="-3"/>
    <x v="1"/>
    <s v="Yes"/>
    <n v="1.4999999999999999E-2"/>
    <s v="No"/>
    <n v="0"/>
  </r>
  <r>
    <s v="AP-0158"/>
    <s v="VND-011"/>
    <s v="QuickFreight Inc."/>
    <s v="Logistics"/>
    <s v="East"/>
    <s v="Sofia Reyes"/>
    <d v="2026-02-14T00:00:00"/>
    <d v="2026-04-15T00:00:00"/>
    <n v="60"/>
    <n v="15122.85"/>
    <n v="15122.85"/>
    <n v="0"/>
    <d v="2026-03-31T00:00:00"/>
    <s v="Paid"/>
    <s v="Check"/>
    <n v="45"/>
    <n v="15"/>
    <x v="0"/>
    <s v="No"/>
    <n v="0"/>
    <s v="No"/>
    <n v="0"/>
  </r>
  <r>
    <s v="AP-0159"/>
    <s v="VND-016"/>
    <s v="CleanWater Utilities"/>
    <s v="Utilities"/>
    <s v="West"/>
    <s v="Laura Chen"/>
    <d v="2026-03-11T00:00:00"/>
    <d v="2026-04-10T00:00:00"/>
    <n v="30"/>
    <n v="1644.44"/>
    <n v="757.44"/>
    <n v="887"/>
    <d v="2026-04-07T00:00:00"/>
    <s v="Partial"/>
    <s v="Check"/>
    <n v="27"/>
    <n v="3"/>
    <x v="0"/>
    <s v="Yes"/>
    <n v="0.01"/>
    <s v="No"/>
    <n v="0"/>
  </r>
  <r>
    <s v="AP-0160"/>
    <s v="VND-011"/>
    <s v="QuickFreight Inc."/>
    <s v="Logistics"/>
    <s v="East"/>
    <s v="Laura Chen"/>
    <d v="2025-06-20T00:00:00"/>
    <d v="2025-08-19T00:00:00"/>
    <n v="60"/>
    <n v="14105.53"/>
    <n v="14105.53"/>
    <n v="0"/>
    <d v="2025-08-24T00:00:00"/>
    <s v="Paid"/>
    <s v="Credit Card"/>
    <n v="65"/>
    <n v="-5"/>
    <x v="1"/>
    <s v="Yes"/>
    <n v="0.01"/>
    <s v="No"/>
    <n v="0"/>
  </r>
  <r>
    <s v="AP-0161"/>
    <s v="VND-014"/>
    <s v="NetConnect Systems"/>
    <s v="IT"/>
    <s v="East"/>
    <s v="Sofia Reyes"/>
    <d v="2026-01-08T00:00:00"/>
    <d v="2026-03-09T00:00:00"/>
    <n v="60"/>
    <n v="43481.45"/>
    <n v="43481.45"/>
    <n v="0"/>
    <d v="2026-03-04T00:00:00"/>
    <s v="Paid"/>
    <s v="ACH"/>
    <n v="55"/>
    <n v="5"/>
    <x v="0"/>
    <s v="No"/>
    <n v="0"/>
    <s v="No"/>
    <n v="0"/>
  </r>
  <r>
    <s v="AP-0162"/>
    <s v="VND-001"/>
    <s v="Acme Supplies Co."/>
    <s v="Materials"/>
    <s v="South"/>
    <s v="Ana Torres"/>
    <d v="2025-05-10T00:00:00"/>
    <d v="2025-05-25T00:00:00"/>
    <n v="15"/>
    <n v="5227.2"/>
    <n v="5227.2"/>
    <n v="0"/>
    <d v="2025-05-18T00:00:00"/>
    <s v="Paid"/>
    <s v="Credit Card"/>
    <n v="8"/>
    <n v="7"/>
    <x v="0"/>
    <s v="No"/>
    <n v="0"/>
    <s v="No"/>
    <n v="0"/>
  </r>
  <r>
    <s v="AP-0163"/>
    <s v="VND-020"/>
    <s v="TrustBuild Facilities"/>
    <s v="Facilities"/>
    <s v="South"/>
    <s v="Pedro Alvarez"/>
    <d v="2026-03-31T00:00:00"/>
    <d v="2026-05-30T00:00:00"/>
    <n v="60"/>
    <n v="27181.79"/>
    <n v="0"/>
    <n v="27181.79"/>
    <m/>
    <s v="Pending"/>
    <s v="Check"/>
    <m/>
    <m/>
    <x v="2"/>
    <s v="Yes"/>
    <n v="0.01"/>
    <s v="No"/>
    <n v="0"/>
  </r>
  <r>
    <s v="AP-0164"/>
    <s v="VND-021"/>
    <s v="PrimePack Logistics"/>
    <s v="Logistics"/>
    <s v="East"/>
    <s v="Marco Diaz"/>
    <d v="2025-07-10T00:00:00"/>
    <d v="2025-07-25T00:00:00"/>
    <n v="15"/>
    <n v="10481.84"/>
    <n v="10481.84"/>
    <n v="0"/>
    <d v="2025-07-31T00:00:00"/>
    <s v="Paid"/>
    <s v="ACH"/>
    <n v="21"/>
    <n v="-6"/>
    <x v="1"/>
    <s v="Yes"/>
    <n v="0.02"/>
    <s v="No"/>
    <n v="0"/>
  </r>
  <r>
    <s v="AP-0165"/>
    <s v="VND-009"/>
    <s v="MetalWorks Ltd."/>
    <s v="Materials"/>
    <s v="East"/>
    <s v="Pedro Alvarez"/>
    <d v="2026-05-18T00:00:00"/>
    <d v="2026-07-02T00:00:00"/>
    <n v="45"/>
    <n v="11608.56"/>
    <n v="0"/>
    <n v="11608.56"/>
    <m/>
    <s v="Pending"/>
    <s v="Wire"/>
    <m/>
    <m/>
    <x v="2"/>
    <s v="Yes"/>
    <n v="1.4999999999999999E-2"/>
    <s v="No"/>
    <n v="0"/>
  </r>
  <r>
    <s v="AP-0166"/>
    <s v="VND-023"/>
    <s v="CoolTech Systems"/>
    <s v="IT"/>
    <s v="West"/>
    <s v="Sofia Reyes"/>
    <d v="2025-03-08T00:00:00"/>
    <d v="2025-05-07T00:00:00"/>
    <n v="60"/>
    <n v="46249.79"/>
    <n v="46249.79"/>
    <n v="0"/>
    <d v="2025-05-13T00:00:00"/>
    <s v="Paid"/>
    <s v="Check"/>
    <n v="66"/>
    <n v="-6"/>
    <x v="1"/>
    <s v="Yes"/>
    <n v="0.01"/>
    <s v="No"/>
    <n v="0"/>
  </r>
  <r>
    <s v="AP-0167"/>
    <s v="VND-023"/>
    <s v="CoolTech Systems"/>
    <s v="IT"/>
    <s v="South"/>
    <s v="Laura Chen"/>
    <d v="2025-07-25T00:00:00"/>
    <d v="2025-08-24T00:00:00"/>
    <n v="30"/>
    <n v="64404.93"/>
    <n v="64404.93"/>
    <n v="0"/>
    <d v="2025-09-03T00:00:00"/>
    <s v="Paid"/>
    <s v="Wire"/>
    <n v="40"/>
    <n v="-10"/>
    <x v="1"/>
    <s v="Yes"/>
    <n v="0.01"/>
    <s v="No"/>
    <n v="0"/>
  </r>
  <r>
    <s v="AP-0168"/>
    <s v="VND-012"/>
    <s v="FacilityPro Services"/>
    <s v="Facilities"/>
    <s v="Central"/>
    <s v="Ana Torres"/>
    <d v="2025-05-13T00:00:00"/>
    <d v="2025-08-11T00:00:00"/>
    <n v="90"/>
    <n v="22194.3"/>
    <n v="22194.3"/>
    <n v="0"/>
    <d v="2025-08-23T00:00:00"/>
    <s v="Paid"/>
    <s v="Check"/>
    <n v="102"/>
    <n v="-12"/>
    <x v="1"/>
    <s v="Yes"/>
    <n v="5.0000000000000001E-3"/>
    <s v="No"/>
    <n v="0"/>
  </r>
  <r>
    <s v="AP-0169"/>
    <s v="VND-017"/>
    <s v="OfficePro Services"/>
    <s v="Services"/>
    <s v="West"/>
    <s v="Pedro Alvarez"/>
    <d v="2025-11-21T00:00:00"/>
    <d v="2025-12-21T00:00:00"/>
    <n v="30"/>
    <n v="26766.53"/>
    <n v="26766.53"/>
    <n v="0"/>
    <d v="2025-12-21T00:00:00"/>
    <s v="Paid"/>
    <s v="ACH"/>
    <n v="30"/>
    <n v="0"/>
    <x v="0"/>
    <s v="Yes"/>
    <n v="0.01"/>
    <s v="No"/>
    <n v="0"/>
  </r>
  <r>
    <s v="AP-0170"/>
    <s v="VND-012"/>
    <s v="FacilityPro Services"/>
    <s v="Facilities"/>
    <s v="South"/>
    <s v="Ana Torres"/>
    <d v="2026-03-20T00:00:00"/>
    <d v="2026-04-19T00:00:00"/>
    <n v="30"/>
    <n v="18594.5"/>
    <n v="8405.8700000000008"/>
    <n v="10188.629999999999"/>
    <d v="2026-04-19T00:00:00"/>
    <s v="Partial"/>
    <s v="Wire"/>
    <n v="30"/>
    <n v="0"/>
    <x v="0"/>
    <s v="No"/>
    <n v="0"/>
    <s v="No"/>
    <n v="0"/>
  </r>
  <r>
    <s v="AP-0171"/>
    <s v="VND-011"/>
    <s v="QuickFreight Inc."/>
    <s v="Logistics"/>
    <s v="South"/>
    <s v="Laura Chen"/>
    <d v="2025-09-14T00:00:00"/>
    <d v="2025-10-14T00:00:00"/>
    <n v="30"/>
    <n v="4729.74"/>
    <n v="4729.74"/>
    <n v="0"/>
    <d v="2025-10-07T00:00:00"/>
    <s v="Paid"/>
    <s v="Check"/>
    <n v="23"/>
    <n v="7"/>
    <x v="0"/>
    <s v="No"/>
    <n v="0"/>
    <s v="No"/>
    <n v="0"/>
  </r>
  <r>
    <s v="AP-0172"/>
    <s v="VND-003"/>
    <s v="FastShip Logistics"/>
    <s v="Logistics"/>
    <s v="Central"/>
    <s v="Marco Diaz"/>
    <d v="2025-12-12T00:00:00"/>
    <d v="2026-01-11T00:00:00"/>
    <n v="30"/>
    <n v="17008.07"/>
    <n v="5343.71"/>
    <n v="11664.36"/>
    <d v="2026-01-07T00:00:00"/>
    <s v="Partial"/>
    <s v="Wire"/>
    <n v="26"/>
    <n v="4"/>
    <x v="0"/>
    <s v="Yes"/>
    <n v="0.01"/>
    <s v="No"/>
    <n v="0"/>
  </r>
  <r>
    <s v="AP-0173"/>
    <s v="VND-021"/>
    <s v="PrimePack Logistics"/>
    <s v="Logistics"/>
    <s v="Central"/>
    <s v="Laura Chen"/>
    <d v="2025-02-01T00:00:00"/>
    <d v="2025-04-02T00:00:00"/>
    <n v="60"/>
    <n v="10462.719999999999"/>
    <n v="10462.719999999999"/>
    <n v="0"/>
    <d v="2025-03-26T00:00:00"/>
    <s v="Paid"/>
    <s v="Wire"/>
    <n v="53"/>
    <n v="7"/>
    <x v="0"/>
    <s v="Yes"/>
    <n v="0.01"/>
    <s v="No"/>
    <n v="0"/>
  </r>
  <r>
    <s v="AP-0174"/>
    <s v="VND-010"/>
    <s v="DataBridge IT"/>
    <s v="IT"/>
    <s v="West"/>
    <s v="Marco Diaz"/>
    <d v="2026-04-10T00:00:00"/>
    <d v="2026-05-25T00:00:00"/>
    <n v="45"/>
    <n v="10472.98"/>
    <n v="10472.98"/>
    <n v="0"/>
    <d v="2026-05-28T00:00:00"/>
    <s v="Paid"/>
    <s v="Credit Card"/>
    <n v="48"/>
    <n v="-3"/>
    <x v="1"/>
    <s v="Yes"/>
    <n v="1.4999999999999999E-2"/>
    <s v="No"/>
    <n v="0"/>
  </r>
  <r>
    <s v="AP-0175"/>
    <s v="VND-011"/>
    <s v="QuickFreight Inc."/>
    <s v="Logistics"/>
    <s v="East"/>
    <s v="Laura Chen"/>
    <d v="2026-01-15T00:00:00"/>
    <d v="2026-02-14T00:00:00"/>
    <n v="30"/>
    <n v="10784.62"/>
    <n v="10784.62"/>
    <n v="0"/>
    <d v="2026-02-24T00:00:00"/>
    <s v="Paid"/>
    <s v="Credit Card"/>
    <n v="40"/>
    <n v="-10"/>
    <x v="1"/>
    <s v="Yes"/>
    <n v="0.01"/>
    <s v="No"/>
    <n v="0"/>
  </r>
  <r>
    <s v="AP-0176"/>
    <s v="VND-004"/>
    <s v="BuildRight Materials"/>
    <s v="Materials"/>
    <s v="East"/>
    <s v="Pedro Alvarez"/>
    <d v="2025-04-10T00:00:00"/>
    <d v="2025-05-10T00:00:00"/>
    <n v="30"/>
    <n v="4429.05"/>
    <n v="2254.6799999999998"/>
    <n v="2174.37"/>
    <d v="2025-05-10T00:00:00"/>
    <s v="Partial"/>
    <s v="Wire"/>
    <n v="30"/>
    <n v="0"/>
    <x v="0"/>
    <s v="No"/>
    <n v="0"/>
    <s v="No"/>
    <n v="0"/>
  </r>
  <r>
    <s v="AP-0177"/>
    <s v="VND-011"/>
    <s v="QuickFreight Inc."/>
    <s v="Logistics"/>
    <s v="Central"/>
    <s v="Laura Chen"/>
    <d v="2026-05-26T00:00:00"/>
    <d v="2026-06-25T00:00:00"/>
    <n v="30"/>
    <n v="19923.419999999998"/>
    <n v="6874.07"/>
    <n v="13049.35"/>
    <d v="2026-05-31T00:00:00"/>
    <s v="Partial"/>
    <s v="Wire"/>
    <n v="5"/>
    <n v="25"/>
    <x v="0"/>
    <s v="Yes"/>
    <n v="0.01"/>
    <s v="No"/>
    <n v="0"/>
  </r>
  <r>
    <s v="AP-0178"/>
    <s v="VND-017"/>
    <s v="OfficePro Services"/>
    <s v="Services"/>
    <s v="West"/>
    <s v="Marco Diaz"/>
    <d v="2025-02-19T00:00:00"/>
    <d v="2025-04-20T00:00:00"/>
    <n v="60"/>
    <n v="4869.99"/>
    <n v="3054.12"/>
    <n v="1815.87"/>
    <d v="2025-04-30T00:00:00"/>
    <s v="Partial"/>
    <s v="Wire"/>
    <n v="70"/>
    <n v="-10"/>
    <x v="1"/>
    <s v="Yes"/>
    <n v="0.01"/>
    <s v="No"/>
    <n v="0"/>
  </r>
  <r>
    <s v="AP-0179"/>
    <s v="VND-010"/>
    <s v="DataBridge IT"/>
    <s v="IT"/>
    <s v="Central"/>
    <s v="Sofia Reyes"/>
    <d v="2025-05-18T00:00:00"/>
    <d v="2025-07-17T00:00:00"/>
    <n v="60"/>
    <n v="71184.179999999993"/>
    <n v="71184.179999999993"/>
    <n v="0"/>
    <d v="2025-07-12T00:00:00"/>
    <s v="Paid"/>
    <s v="ACH"/>
    <n v="55"/>
    <n v="5"/>
    <x v="0"/>
    <s v="No"/>
    <n v="0"/>
    <s v="No"/>
    <n v="0"/>
  </r>
  <r>
    <s v="AP-0180"/>
    <s v="VND-019"/>
    <s v="SkyNet IT Solutions"/>
    <s v="IT"/>
    <s v="Central"/>
    <s v="Marco Diaz"/>
    <d v="2025-03-17T00:00:00"/>
    <d v="2025-05-01T00:00:00"/>
    <n v="45"/>
    <n v="33976.160000000003"/>
    <n v="33976.160000000003"/>
    <n v="0"/>
    <d v="2025-05-07T00:00:00"/>
    <s v="Paid"/>
    <s v="Check"/>
    <n v="51"/>
    <n v="-6"/>
    <x v="1"/>
    <s v="Yes"/>
    <n v="1.4999999999999999E-2"/>
    <s v="No"/>
    <n v="0"/>
  </r>
  <r>
    <s v="AP-0181"/>
    <s v="VND-020"/>
    <s v="TrustBuild Facilities"/>
    <s v="Facilities"/>
    <s v="Central"/>
    <s v="Sofia Reyes"/>
    <d v="2026-02-08T00:00:00"/>
    <d v="2026-03-10T00:00:00"/>
    <n v="30"/>
    <n v="14315.55"/>
    <n v="14315.55"/>
    <n v="0"/>
    <d v="2026-03-08T00:00:00"/>
    <s v="Paid"/>
    <s v="Wire"/>
    <n v="28"/>
    <n v="2"/>
    <x v="0"/>
    <s v="No"/>
    <n v="0"/>
    <s v="No"/>
    <n v="0"/>
  </r>
  <r>
    <s v="AP-0182"/>
    <s v="VND-020"/>
    <s v="TrustBuild Facilities"/>
    <s v="Facilities"/>
    <s v="Central"/>
    <s v="Pedro Alvarez"/>
    <d v="2025-02-09T00:00:00"/>
    <d v="2025-02-24T00:00:00"/>
    <n v="15"/>
    <n v="6522.2"/>
    <n v="6522.2"/>
    <n v="0"/>
    <d v="2025-02-27T00:00:00"/>
    <s v="Paid"/>
    <s v="ACH"/>
    <n v="18"/>
    <n v="-3"/>
    <x v="1"/>
    <s v="Yes"/>
    <n v="0.02"/>
    <s v="No"/>
    <n v="0"/>
  </r>
  <r>
    <s v="AP-0183"/>
    <s v="VND-015"/>
    <s v="ExpressRoute Logistics"/>
    <s v="Logistics"/>
    <s v="South"/>
    <s v="Ana Torres"/>
    <d v="2025-11-23T00:00:00"/>
    <d v="2026-01-22T00:00:00"/>
    <n v="60"/>
    <n v="4087.54"/>
    <n v="4087.54"/>
    <n v="0"/>
    <d v="2026-01-20T00:00:00"/>
    <s v="Paid"/>
    <s v="Wire"/>
    <n v="58"/>
    <n v="2"/>
    <x v="0"/>
    <s v="No"/>
    <n v="0"/>
    <s v="No"/>
    <n v="0"/>
  </r>
  <r>
    <s v="AP-0184"/>
    <s v="VND-017"/>
    <s v="OfficePro Services"/>
    <s v="Services"/>
    <s v="Central"/>
    <s v="Pedro Alvarez"/>
    <d v="2025-01-18T00:00:00"/>
    <d v="2025-04-18T00:00:00"/>
    <n v="90"/>
    <n v="16629.240000000002"/>
    <n v="0"/>
    <n v="16629.240000000002"/>
    <m/>
    <s v="Overdue"/>
    <s v="Check"/>
    <m/>
    <n v="-408"/>
    <x v="1"/>
    <s v="Yes"/>
    <n v="5.0000000000000001E-3"/>
    <s v="No"/>
    <n v="0"/>
  </r>
  <r>
    <s v="AP-0185"/>
    <s v="VND-019"/>
    <s v="SkyNet IT Solutions"/>
    <s v="IT"/>
    <s v="East"/>
    <s v="Sofia Reyes"/>
    <d v="2025-08-22T00:00:00"/>
    <d v="2025-10-06T00:00:00"/>
    <n v="45"/>
    <n v="59105.01"/>
    <n v="59105.01"/>
    <n v="0"/>
    <d v="2025-10-12T00:00:00"/>
    <s v="Paid"/>
    <s v="Credit Card"/>
    <n v="51"/>
    <n v="-6"/>
    <x v="1"/>
    <s v="Yes"/>
    <n v="1.4999999999999999E-2"/>
    <s v="No"/>
    <n v="0"/>
  </r>
  <r>
    <s v="AP-0186"/>
    <s v="VND-021"/>
    <s v="PrimePack Logistics"/>
    <s v="Logistics"/>
    <s v="Central"/>
    <s v="Pedro Alvarez"/>
    <d v="2025-02-02T00:00:00"/>
    <d v="2025-03-04T00:00:00"/>
    <n v="30"/>
    <n v="11878.84"/>
    <n v="11878.84"/>
    <n v="0"/>
    <d v="2025-02-25T00:00:00"/>
    <s v="Paid"/>
    <s v="Wire"/>
    <n v="23"/>
    <n v="7"/>
    <x v="0"/>
    <s v="No"/>
    <n v="0"/>
    <s v="No"/>
    <n v="0"/>
  </r>
  <r>
    <s v="AP-0187"/>
    <s v="VND-014"/>
    <s v="NetConnect Systems"/>
    <s v="IT"/>
    <s v="South"/>
    <s v="Pedro Alvarez"/>
    <d v="2025-05-22T00:00:00"/>
    <d v="2025-06-06T00:00:00"/>
    <n v="15"/>
    <n v="43901.24"/>
    <n v="0"/>
    <n v="43901.24"/>
    <m/>
    <s v="Overdue"/>
    <s v="Credit Card"/>
    <m/>
    <n v="-359"/>
    <x v="1"/>
    <s v="Yes"/>
    <n v="0.02"/>
    <s v="No"/>
    <n v="0"/>
  </r>
  <r>
    <s v="AP-0188"/>
    <s v="VND-016"/>
    <s v="CleanWater Utilities"/>
    <s v="Utilities"/>
    <s v="Central"/>
    <s v="Pedro Alvarez"/>
    <d v="2026-04-16T00:00:00"/>
    <d v="2026-05-16T00:00:00"/>
    <n v="30"/>
    <n v="13725.8"/>
    <n v="13725.8"/>
    <n v="0"/>
    <d v="2026-05-19T00:00:00"/>
    <s v="Paid"/>
    <s v="Check"/>
    <n v="33"/>
    <n v="-3"/>
    <x v="1"/>
    <s v="Yes"/>
    <n v="0.01"/>
    <s v="No"/>
    <n v="0"/>
  </r>
  <r>
    <s v="AP-0189"/>
    <s v="VND-024"/>
    <s v="EliteFacilities Corp."/>
    <s v="Facilities"/>
    <s v="East"/>
    <s v="Ana Torres"/>
    <d v="2025-09-10T00:00:00"/>
    <d v="2025-10-10T00:00:00"/>
    <n v="30"/>
    <n v="11207.21"/>
    <n v="0"/>
    <n v="11207.21"/>
    <m/>
    <s v="Overdue"/>
    <s v="Credit Card"/>
    <m/>
    <n v="-233"/>
    <x v="1"/>
    <s v="Yes"/>
    <n v="0.01"/>
    <s v="No"/>
    <n v="0"/>
  </r>
  <r>
    <s v="AP-0190"/>
    <s v="VND-010"/>
    <s v="DataBridge IT"/>
    <s v="IT"/>
    <s v="East"/>
    <s v="Marco Diaz"/>
    <d v="2026-05-07T00:00:00"/>
    <d v="2026-07-06T00:00:00"/>
    <n v="60"/>
    <n v="31160.240000000002"/>
    <n v="0"/>
    <n v="31160.240000000002"/>
    <m/>
    <s v="Pending"/>
    <s v="Credit Card"/>
    <m/>
    <m/>
    <x v="2"/>
    <s v="No"/>
    <n v="0"/>
    <s v="No"/>
    <n v="0"/>
  </r>
  <r>
    <s v="AP-0191"/>
    <s v="VND-004"/>
    <s v="BuildRight Materials"/>
    <s v="Materials"/>
    <s v="Central"/>
    <s v="Ana Torres"/>
    <d v="2025-12-20T00:00:00"/>
    <d v="2026-02-18T00:00:00"/>
    <n v="60"/>
    <n v="47821.23"/>
    <n v="47821.23"/>
    <n v="0"/>
    <d v="2026-02-16T00:00:00"/>
    <s v="Paid"/>
    <s v="Credit Card"/>
    <n v="58"/>
    <n v="2"/>
    <x v="0"/>
    <s v="No"/>
    <n v="0"/>
    <s v="No"/>
    <n v="0"/>
  </r>
  <r>
    <s v="AP-0192"/>
    <s v="VND-012"/>
    <s v="FacilityPro Services"/>
    <s v="Facilities"/>
    <s v="West"/>
    <s v="Laura Chen"/>
    <d v="2025-07-26T00:00:00"/>
    <d v="2025-08-25T00:00:00"/>
    <n v="30"/>
    <n v="29322.41"/>
    <n v="29322.41"/>
    <n v="0"/>
    <d v="2025-09-06T00:00:00"/>
    <s v="Paid"/>
    <s v="Credit Card"/>
    <n v="42"/>
    <n v="-12"/>
    <x v="1"/>
    <s v="Yes"/>
    <n v="0.01"/>
    <s v="No"/>
    <n v="0"/>
  </r>
  <r>
    <s v="AP-0193"/>
    <s v="VND-009"/>
    <s v="MetalWorks Ltd."/>
    <s v="Materials"/>
    <s v="South"/>
    <s v="Sofia Reyes"/>
    <d v="2025-02-21T00:00:00"/>
    <d v="2025-03-23T00:00:00"/>
    <n v="30"/>
    <n v="34152.03"/>
    <n v="34152.03"/>
    <n v="0"/>
    <d v="2025-03-30T00:00:00"/>
    <s v="Paid"/>
    <s v="Wire"/>
    <n v="37"/>
    <n v="-7"/>
    <x v="1"/>
    <s v="Yes"/>
    <n v="0.01"/>
    <s v="No"/>
    <n v="0"/>
  </r>
  <r>
    <s v="AP-0194"/>
    <s v="VND-023"/>
    <s v="CoolTech Systems"/>
    <s v="IT"/>
    <s v="West"/>
    <s v="Sofia Reyes"/>
    <d v="2025-06-11T00:00:00"/>
    <d v="2025-06-26T00:00:00"/>
    <n v="15"/>
    <n v="35518.06"/>
    <n v="19134.439999999999"/>
    <n v="16383.62"/>
    <d v="2025-06-27T00:00:00"/>
    <s v="Partial"/>
    <s v="Wire"/>
    <n v="16"/>
    <n v="-1"/>
    <x v="1"/>
    <s v="No"/>
    <n v="0"/>
    <s v="No"/>
    <n v="0"/>
  </r>
  <r>
    <s v="AP-0195"/>
    <s v="VND-025"/>
    <s v="RapidShip Co."/>
    <s v="Logistics"/>
    <s v="East"/>
    <s v="Laura Chen"/>
    <d v="2025-04-02T00:00:00"/>
    <d v="2025-04-17T00:00:00"/>
    <n v="15"/>
    <n v="13393.68"/>
    <n v="13393.68"/>
    <n v="0"/>
    <d v="2025-04-19T00:00:00"/>
    <s v="Paid"/>
    <s v="Check"/>
    <n v="17"/>
    <n v="-2"/>
    <x v="1"/>
    <s v="Yes"/>
    <n v="0.02"/>
    <s v="No"/>
    <n v="0"/>
  </r>
  <r>
    <s v="AP-0196"/>
    <s v="VND-002"/>
    <s v="TechCore Solutions"/>
    <s v="IT"/>
    <s v="South"/>
    <s v="Pedro Alvarez"/>
    <d v="2026-02-11T00:00:00"/>
    <d v="2026-02-26T00:00:00"/>
    <n v="15"/>
    <n v="64097.05"/>
    <n v="64097.05"/>
    <n v="0"/>
    <d v="2026-03-02T00:00:00"/>
    <s v="Paid"/>
    <s v="Wire"/>
    <n v="19"/>
    <n v="-4"/>
    <x v="1"/>
    <s v="Yes"/>
    <n v="0.02"/>
    <s v="No"/>
    <n v="0"/>
  </r>
  <r>
    <s v="AP-0197"/>
    <s v="VND-002"/>
    <s v="TechCore Solutions"/>
    <s v="IT"/>
    <s v="North"/>
    <s v="Laura Chen"/>
    <d v="2025-10-19T00:00:00"/>
    <d v="2025-12-18T00:00:00"/>
    <n v="60"/>
    <n v="39076.18"/>
    <n v="39076.18"/>
    <n v="0"/>
    <d v="2025-12-14T00:00:00"/>
    <s v="Paid"/>
    <s v="ACH"/>
    <n v="56"/>
    <n v="4"/>
    <x v="0"/>
    <s v="Yes"/>
    <n v="0.01"/>
    <s v="No"/>
    <n v="0"/>
  </r>
  <r>
    <s v="AP-0198"/>
    <s v="VND-005"/>
    <s v="CloudSys Inc."/>
    <s v="IT"/>
    <s v="Central"/>
    <s v="Pedro Alvarez"/>
    <d v="2025-04-26T00:00:00"/>
    <d v="2025-05-26T00:00:00"/>
    <n v="30"/>
    <n v="29801.31"/>
    <n v="29801.31"/>
    <n v="0"/>
    <d v="2025-05-26T00:00:00"/>
    <s v="Paid"/>
    <s v="Check"/>
    <n v="30"/>
    <n v="0"/>
    <x v="0"/>
    <s v="No"/>
    <n v="0"/>
    <s v="No"/>
    <n v="0"/>
  </r>
  <r>
    <s v="AP-0199"/>
    <s v="VND-011"/>
    <s v="QuickFreight Inc."/>
    <s v="Logistics"/>
    <s v="East"/>
    <s v="Ana Torres"/>
    <d v="2026-02-20T00:00:00"/>
    <d v="2026-03-22T00:00:00"/>
    <n v="30"/>
    <n v="16712.810000000001"/>
    <n v="16712.810000000001"/>
    <n v="0"/>
    <d v="2026-03-21T00:00:00"/>
    <s v="Paid"/>
    <s v="Wire"/>
    <n v="29"/>
    <n v="1"/>
    <x v="0"/>
    <s v="Yes"/>
    <n v="0.01"/>
    <s v="No"/>
    <n v="0"/>
  </r>
  <r>
    <s v="AP-0200"/>
    <s v="VND-022"/>
    <s v="Apex Consulting"/>
    <s v="Services"/>
    <s v="North"/>
    <s v="Marco Diaz"/>
    <d v="2025-11-28T00:00:00"/>
    <d v="2026-02-26T00:00:00"/>
    <n v="90"/>
    <n v="37625.54"/>
    <n v="37625.54"/>
    <n v="0"/>
    <d v="2026-02-21T00:00:00"/>
    <s v="Paid"/>
    <s v="Wire"/>
    <n v="85"/>
    <n v="5"/>
    <x v="0"/>
    <s v="Yes"/>
    <n v="5.0000000000000001E-3"/>
    <s v="No"/>
    <n v="0"/>
  </r>
  <r>
    <s v="AP-0201"/>
    <s v="VND-011"/>
    <s v="QuickFreight Inc."/>
    <s v="Logistics"/>
    <s v="East"/>
    <s v="Ana Torres"/>
    <d v="2026-01-04T00:00:00"/>
    <d v="2026-02-18T00:00:00"/>
    <n v="45"/>
    <n v="14162.6"/>
    <n v="14162.6"/>
    <n v="0"/>
    <d v="2026-02-20T00:00:00"/>
    <s v="Paid"/>
    <s v="ACH"/>
    <n v="47"/>
    <n v="-2"/>
    <x v="1"/>
    <s v="Yes"/>
    <n v="1.4999999999999999E-2"/>
    <s v="No"/>
    <n v="0"/>
  </r>
  <r>
    <s v="AP-0202"/>
    <s v="VND-010"/>
    <s v="DataBridge IT"/>
    <s v="IT"/>
    <s v="South"/>
    <s v="Pedro Alvarez"/>
    <d v="2025-10-30T00:00:00"/>
    <d v="2025-11-29T00:00:00"/>
    <n v="30"/>
    <n v="32565.79"/>
    <n v="0"/>
    <n v="32565.79"/>
    <m/>
    <s v="Overdue"/>
    <s v="Check"/>
    <m/>
    <n v="-183"/>
    <x v="1"/>
    <s v="Yes"/>
    <n v="0.01"/>
    <s v="No"/>
    <n v="0"/>
  </r>
  <r>
    <s v="AP-0203"/>
    <s v="VND-016"/>
    <s v="CleanWater Utilities"/>
    <s v="Utilities"/>
    <s v="South"/>
    <s v="Pedro Alvarez"/>
    <d v="2026-04-28T00:00:00"/>
    <d v="2026-06-27T00:00:00"/>
    <n v="60"/>
    <n v="11481.58"/>
    <n v="7350.17"/>
    <n v="4131.41"/>
    <d v="2026-05-31T00:00:00"/>
    <s v="Partial"/>
    <s v="Check"/>
    <n v="33"/>
    <n v="27"/>
    <x v="0"/>
    <s v="No"/>
    <n v="0"/>
    <s v="No"/>
    <n v="0"/>
  </r>
  <r>
    <s v="AP-0204"/>
    <s v="VND-003"/>
    <s v="FastShip Logistics"/>
    <s v="Logistics"/>
    <s v="Central"/>
    <s v="Pedro Alvarez"/>
    <d v="2025-04-25T00:00:00"/>
    <d v="2025-05-25T00:00:00"/>
    <n v="30"/>
    <n v="2173.4"/>
    <n v="2173.4"/>
    <n v="0"/>
    <d v="2025-05-21T00:00:00"/>
    <s v="Paid"/>
    <s v="Check"/>
    <n v="26"/>
    <n v="4"/>
    <x v="0"/>
    <s v="Yes"/>
    <n v="0.01"/>
    <s v="No"/>
    <n v="0"/>
  </r>
  <r>
    <s v="AP-0205"/>
    <s v="VND-011"/>
    <s v="QuickFreight Inc."/>
    <s v="Logistics"/>
    <s v="Central"/>
    <s v="Pedro Alvarez"/>
    <d v="2026-05-16T00:00:00"/>
    <d v="2026-06-15T00:00:00"/>
    <n v="30"/>
    <n v="2727.89"/>
    <n v="1518.41"/>
    <n v="1209.48"/>
    <d v="2026-05-31T00:00:00"/>
    <s v="Partial"/>
    <s v="ACH"/>
    <n v="15"/>
    <n v="15"/>
    <x v="0"/>
    <s v="Yes"/>
    <n v="0.01"/>
    <s v="No"/>
    <n v="0"/>
  </r>
  <r>
    <s v="AP-0206"/>
    <s v="VND-019"/>
    <s v="SkyNet IT Solutions"/>
    <s v="IT"/>
    <s v="North"/>
    <s v="Ana Torres"/>
    <d v="2025-01-23T00:00:00"/>
    <d v="2025-03-09T00:00:00"/>
    <n v="45"/>
    <n v="34696.15"/>
    <n v="34696.15"/>
    <n v="0"/>
    <d v="2025-03-07T00:00:00"/>
    <s v="Paid"/>
    <s v="Credit Card"/>
    <n v="43"/>
    <n v="2"/>
    <x v="0"/>
    <s v="No"/>
    <n v="0"/>
    <s v="No"/>
    <n v="0"/>
  </r>
  <r>
    <s v="AP-0207"/>
    <s v="VND-019"/>
    <s v="SkyNet IT Solutions"/>
    <s v="IT"/>
    <s v="North"/>
    <s v="Sofia Reyes"/>
    <d v="2025-03-07T00:00:00"/>
    <d v="2025-05-06T00:00:00"/>
    <n v="60"/>
    <n v="45587.26"/>
    <n v="36153.83"/>
    <n v="9433.43"/>
    <d v="2025-05-16T00:00:00"/>
    <s v="Partial"/>
    <s v="Credit Card"/>
    <n v="70"/>
    <n v="-10"/>
    <x v="1"/>
    <s v="Yes"/>
    <n v="0.01"/>
    <s v="No"/>
    <n v="0"/>
  </r>
  <r>
    <s v="AP-0208"/>
    <s v="VND-002"/>
    <s v="TechCore Solutions"/>
    <s v="IT"/>
    <s v="East"/>
    <s v="Pedro Alvarez"/>
    <d v="2026-03-07T00:00:00"/>
    <d v="2026-04-06T00:00:00"/>
    <n v="30"/>
    <n v="33084.57"/>
    <n v="33084.57"/>
    <n v="0"/>
    <d v="2026-04-04T00:00:00"/>
    <s v="Paid"/>
    <s v="Wire"/>
    <n v="28"/>
    <n v="2"/>
    <x v="0"/>
    <s v="No"/>
    <n v="0"/>
    <s v="No"/>
    <n v="0"/>
  </r>
  <r>
    <s v="AP-0209"/>
    <s v="VND-022"/>
    <s v="Apex Consulting"/>
    <s v="Services"/>
    <s v="Central"/>
    <s v="Marco Diaz"/>
    <d v="2025-07-02T00:00:00"/>
    <d v="2025-08-01T00:00:00"/>
    <n v="30"/>
    <n v="39735.33"/>
    <n v="39735.33"/>
    <n v="0"/>
    <d v="2025-08-03T00:00:00"/>
    <s v="Paid"/>
    <s v="Check"/>
    <n v="32"/>
    <n v="-2"/>
    <x v="1"/>
    <s v="Yes"/>
    <n v="0.01"/>
    <s v="No"/>
    <n v="0"/>
  </r>
  <r>
    <s v="AP-0210"/>
    <s v="VND-008"/>
    <s v="GreenEnergy Corp."/>
    <s v="Utilities"/>
    <s v="North"/>
    <s v="Sofia Reyes"/>
    <d v="2026-03-11T00:00:00"/>
    <d v="2026-06-09T00:00:00"/>
    <n v="90"/>
    <n v="8213.0400000000009"/>
    <n v="0"/>
    <n v="8213.0400000000009"/>
    <m/>
    <s v="Pending"/>
    <s v="Check"/>
    <m/>
    <m/>
    <x v="2"/>
    <s v="No"/>
    <n v="0"/>
    <s v="No"/>
    <n v="0"/>
  </r>
  <r>
    <s v="AP-0211"/>
    <s v="VND-009"/>
    <s v="MetalWorks Ltd."/>
    <s v="Materials"/>
    <s v="South"/>
    <s v="Sofia Reyes"/>
    <d v="2025-01-17T00:00:00"/>
    <d v="2025-03-18T00:00:00"/>
    <n v="60"/>
    <n v="13551.98"/>
    <n v="13551.98"/>
    <n v="0"/>
    <d v="2025-03-07T00:00:00"/>
    <s v="Paid"/>
    <s v="ACH"/>
    <n v="49"/>
    <n v="11"/>
    <x v="0"/>
    <s v="Yes"/>
    <n v="0.01"/>
    <s v="No"/>
    <n v="0"/>
  </r>
  <r>
    <s v="AP-0212"/>
    <s v="VND-002"/>
    <s v="TechCore Solutions"/>
    <s v="IT"/>
    <s v="South"/>
    <s v="Sofia Reyes"/>
    <d v="2025-08-28T00:00:00"/>
    <d v="2025-11-26T00:00:00"/>
    <n v="90"/>
    <n v="45481.99"/>
    <n v="45481.99"/>
    <n v="0"/>
    <d v="2025-11-29T00:00:00"/>
    <s v="Paid"/>
    <s v="Credit Card"/>
    <n v="93"/>
    <n v="-3"/>
    <x v="1"/>
    <s v="No"/>
    <n v="0"/>
    <s v="No"/>
    <n v="0"/>
  </r>
  <r>
    <s v="AP-0213"/>
    <s v="VND-005"/>
    <s v="CloudSys Inc."/>
    <s v="IT"/>
    <s v="Central"/>
    <s v="Laura Chen"/>
    <d v="2025-11-25T00:00:00"/>
    <d v="2026-01-24T00:00:00"/>
    <n v="60"/>
    <n v="22767.8"/>
    <n v="0"/>
    <n v="22767.8"/>
    <m/>
    <s v="Overdue"/>
    <s v="Wire"/>
    <m/>
    <n v="-127"/>
    <x v="1"/>
    <s v="No"/>
    <n v="0"/>
    <s v="No"/>
    <n v="0"/>
  </r>
  <r>
    <s v="AP-0214"/>
    <s v="VND-017"/>
    <s v="OfficePro Services"/>
    <s v="Services"/>
    <s v="South"/>
    <s v="Pedro Alvarez"/>
    <d v="2025-03-04T00:00:00"/>
    <d v="2025-04-18T00:00:00"/>
    <n v="45"/>
    <n v="23598.57"/>
    <n v="23598.57"/>
    <n v="0"/>
    <d v="2025-04-23T00:00:00"/>
    <s v="Paid"/>
    <s v="Check"/>
    <n v="50"/>
    <n v="-5"/>
    <x v="1"/>
    <s v="Yes"/>
    <n v="1.4999999999999999E-2"/>
    <s v="No"/>
    <n v="0"/>
  </r>
  <r>
    <s v="AP-0215"/>
    <s v="VND-018"/>
    <s v="BuildFast Materials"/>
    <s v="Materials"/>
    <s v="West"/>
    <s v="Sofia Reyes"/>
    <d v="2025-11-23T00:00:00"/>
    <d v="2026-01-22T00:00:00"/>
    <n v="60"/>
    <n v="35422.800000000003"/>
    <n v="35422.800000000003"/>
    <n v="0"/>
    <d v="2026-02-01T00:00:00"/>
    <s v="Paid"/>
    <s v="Check"/>
    <n v="70"/>
    <n v="-10"/>
    <x v="1"/>
    <s v="Yes"/>
    <n v="0.01"/>
    <s v="No"/>
    <n v="0"/>
  </r>
  <r>
    <s v="AP-0216"/>
    <s v="VND-006"/>
    <s v="PowerGrid Utilities"/>
    <s v="Utilities"/>
    <s v="Central"/>
    <s v="Pedro Alvarez"/>
    <d v="2025-11-04T00:00:00"/>
    <d v="2025-12-04T00:00:00"/>
    <n v="30"/>
    <n v="12934.35"/>
    <n v="12934.35"/>
    <n v="0"/>
    <d v="2025-12-11T00:00:00"/>
    <s v="Paid"/>
    <s v="Wire"/>
    <n v="37"/>
    <n v="-7"/>
    <x v="1"/>
    <s v="Yes"/>
    <n v="0.01"/>
    <s v="No"/>
    <n v="0"/>
  </r>
  <r>
    <s v="AP-0217"/>
    <s v="VND-014"/>
    <s v="NetConnect Systems"/>
    <s v="IT"/>
    <s v="Central"/>
    <s v="Ana Torres"/>
    <d v="2025-09-06T00:00:00"/>
    <d v="2025-11-05T00:00:00"/>
    <n v="60"/>
    <n v="24124.67"/>
    <n v="24124.67"/>
    <n v="0"/>
    <d v="2025-11-07T00:00:00"/>
    <s v="Paid"/>
    <s v="Wire"/>
    <n v="62"/>
    <n v="-2"/>
    <x v="1"/>
    <s v="Yes"/>
    <n v="0.01"/>
    <s v="No"/>
    <n v="0"/>
  </r>
  <r>
    <s v="AP-0218"/>
    <s v="VND-015"/>
    <s v="ExpressRoute Logistics"/>
    <s v="Logistics"/>
    <s v="East"/>
    <s v="Sofia Reyes"/>
    <d v="2025-10-02T00:00:00"/>
    <d v="2025-10-17T00:00:00"/>
    <n v="15"/>
    <n v="8166.19"/>
    <n v="8166.19"/>
    <n v="0"/>
    <d v="2025-10-29T00:00:00"/>
    <s v="Paid"/>
    <s v="Wire"/>
    <n v="27"/>
    <n v="-12"/>
    <x v="1"/>
    <s v="Yes"/>
    <n v="0.02"/>
    <s v="No"/>
    <n v="0"/>
  </r>
  <r>
    <s v="AP-0219"/>
    <s v="VND-019"/>
    <s v="SkyNet IT Solutions"/>
    <s v="IT"/>
    <s v="Central"/>
    <s v="Marco Diaz"/>
    <d v="2025-12-07T00:00:00"/>
    <d v="2026-01-06T00:00:00"/>
    <n v="30"/>
    <n v="27739.1"/>
    <n v="27739.1"/>
    <n v="0"/>
    <d v="2026-01-12T00:00:00"/>
    <s v="Paid"/>
    <s v="Credit Card"/>
    <n v="36"/>
    <n v="-6"/>
    <x v="1"/>
    <s v="No"/>
    <n v="0"/>
    <s v="No"/>
    <n v="0"/>
  </r>
  <r>
    <s v="AP-0220"/>
    <s v="VND-007"/>
    <s v="ProStaff Services"/>
    <s v="Services"/>
    <s v="North"/>
    <s v="Pedro Alvarez"/>
    <d v="2026-02-11T00:00:00"/>
    <d v="2026-03-13T00:00:00"/>
    <n v="30"/>
    <n v="36859.68"/>
    <n v="36859.68"/>
    <n v="0"/>
    <d v="2026-03-06T00:00:00"/>
    <s v="Paid"/>
    <s v="Wire"/>
    <n v="23"/>
    <n v="7"/>
    <x v="0"/>
    <s v="Yes"/>
    <n v="0.01"/>
    <s v="No"/>
    <n v="0"/>
  </r>
  <r>
    <s v="AP-0221"/>
    <s v="VND-012"/>
    <s v="FacilityPro Services"/>
    <s v="Facilities"/>
    <s v="East"/>
    <s v="Laura Chen"/>
    <d v="2026-04-23T00:00:00"/>
    <d v="2026-07-22T00:00:00"/>
    <n v="90"/>
    <n v="5254.07"/>
    <n v="5254.07"/>
    <n v="0"/>
    <d v="2026-05-31T00:00:00"/>
    <s v="Paid"/>
    <s v="Check"/>
    <n v="38"/>
    <n v="52"/>
    <x v="0"/>
    <s v="No"/>
    <n v="0"/>
    <s v="No"/>
    <n v="0"/>
  </r>
  <r>
    <s v="AP-0222"/>
    <s v="VND-007"/>
    <s v="ProStaff Services"/>
    <s v="Services"/>
    <s v="East"/>
    <s v="Laura Chen"/>
    <d v="2025-08-15T00:00:00"/>
    <d v="2025-08-30T00:00:00"/>
    <n v="15"/>
    <n v="30426.34"/>
    <n v="30426.34"/>
    <n v="0"/>
    <d v="2025-08-19T00:00:00"/>
    <s v="Paid"/>
    <s v="Credit Card"/>
    <n v="4"/>
    <n v="11"/>
    <x v="0"/>
    <s v="Yes"/>
    <n v="0.02"/>
    <s v="Yes"/>
    <n v="608.53"/>
  </r>
  <r>
    <s v="AP-0223"/>
    <s v="VND-010"/>
    <s v="DataBridge IT"/>
    <s v="IT"/>
    <s v="South"/>
    <s v="Marco Diaz"/>
    <d v="2026-01-24T00:00:00"/>
    <d v="2026-02-23T00:00:00"/>
    <n v="30"/>
    <n v="47734.21"/>
    <n v="47734.21"/>
    <n v="0"/>
    <d v="2026-02-17T00:00:00"/>
    <s v="Paid"/>
    <s v="Check"/>
    <n v="24"/>
    <n v="6"/>
    <x v="0"/>
    <s v="Yes"/>
    <n v="0.01"/>
    <s v="No"/>
    <n v="0"/>
  </r>
  <r>
    <s v="AP-0224"/>
    <s v="VND-022"/>
    <s v="Apex Consulting"/>
    <s v="Services"/>
    <s v="East"/>
    <s v="Laura Chen"/>
    <d v="2026-04-17T00:00:00"/>
    <d v="2026-07-16T00:00:00"/>
    <n v="90"/>
    <n v="9224.64"/>
    <n v="9224.64"/>
    <n v="0"/>
    <d v="2026-05-31T00:00:00"/>
    <s v="Paid"/>
    <s v="Credit Card"/>
    <n v="44"/>
    <n v="46"/>
    <x v="0"/>
    <s v="No"/>
    <n v="0"/>
    <s v="No"/>
    <n v="0"/>
  </r>
  <r>
    <s v="AP-0225"/>
    <s v="VND-018"/>
    <s v="BuildFast Materials"/>
    <s v="Materials"/>
    <s v="North"/>
    <s v="Ana Torres"/>
    <d v="2025-02-19T00:00:00"/>
    <d v="2025-03-21T00:00:00"/>
    <n v="30"/>
    <n v="38688.26"/>
    <n v="16083.36"/>
    <n v="22604.9"/>
    <d v="2025-04-07T00:00:00"/>
    <s v="Partial"/>
    <s v="ACH"/>
    <n v="47"/>
    <n v="-17"/>
    <x v="1"/>
    <s v="Yes"/>
    <n v="0.01"/>
    <s v="No"/>
    <n v="0"/>
  </r>
  <r>
    <s v="AP-0226"/>
    <s v="VND-005"/>
    <s v="CloudSys Inc."/>
    <s v="IT"/>
    <s v="North"/>
    <s v="Marco Diaz"/>
    <d v="2025-03-03T00:00:00"/>
    <d v="2025-05-02T00:00:00"/>
    <n v="60"/>
    <n v="51337.64"/>
    <n v="51337.64"/>
    <n v="0"/>
    <d v="2025-05-03T00:00:00"/>
    <s v="Paid"/>
    <s v="Credit Card"/>
    <n v="61"/>
    <n v="-1"/>
    <x v="1"/>
    <s v="Yes"/>
    <n v="0.01"/>
    <s v="No"/>
    <n v="0"/>
  </r>
  <r>
    <s v="AP-0227"/>
    <s v="VND-016"/>
    <s v="CleanWater Utilities"/>
    <s v="Utilities"/>
    <s v="West"/>
    <s v="Sofia Reyes"/>
    <d v="2025-01-13T00:00:00"/>
    <d v="2025-03-14T00:00:00"/>
    <n v="60"/>
    <n v="742.53"/>
    <n v="742.53"/>
    <n v="0"/>
    <d v="2025-03-12T00:00:00"/>
    <s v="Paid"/>
    <s v="ACH"/>
    <n v="58"/>
    <n v="2"/>
    <x v="0"/>
    <s v="No"/>
    <n v="0"/>
    <s v="No"/>
    <n v="0"/>
  </r>
  <r>
    <s v="AP-0228"/>
    <s v="VND-023"/>
    <s v="CoolTech Systems"/>
    <s v="IT"/>
    <s v="West"/>
    <s v="Marco Diaz"/>
    <d v="2025-06-02T00:00:00"/>
    <d v="2025-07-02T00:00:00"/>
    <n v="30"/>
    <n v="23072.66"/>
    <n v="23072.66"/>
    <n v="0"/>
    <d v="2025-07-11T00:00:00"/>
    <s v="Paid"/>
    <s v="ACH"/>
    <n v="39"/>
    <n v="-9"/>
    <x v="1"/>
    <s v="Yes"/>
    <n v="0.01"/>
    <s v="No"/>
    <n v="0"/>
  </r>
  <r>
    <s v="AP-0229"/>
    <s v="VND-012"/>
    <s v="FacilityPro Services"/>
    <s v="Facilities"/>
    <s v="East"/>
    <s v="Pedro Alvarez"/>
    <d v="2026-02-20T00:00:00"/>
    <d v="2026-04-21T00:00:00"/>
    <n v="60"/>
    <n v="17146.93"/>
    <n v="0"/>
    <n v="17146.93"/>
    <m/>
    <s v="Pending"/>
    <s v="ACH"/>
    <m/>
    <m/>
    <x v="2"/>
    <s v="Yes"/>
    <n v="0.01"/>
    <s v="No"/>
    <n v="0"/>
  </r>
  <r>
    <s v="AP-0230"/>
    <s v="VND-003"/>
    <s v="FastShip Logistics"/>
    <s v="Logistics"/>
    <s v="North"/>
    <s v="Sofia Reyes"/>
    <d v="2026-01-22T00:00:00"/>
    <d v="2026-03-23T00:00:00"/>
    <n v="60"/>
    <n v="11501.33"/>
    <n v="11501.33"/>
    <n v="0"/>
    <d v="2026-03-27T00:00:00"/>
    <s v="Paid"/>
    <s v="Credit Card"/>
    <n v="64"/>
    <n v="-4"/>
    <x v="1"/>
    <s v="Yes"/>
    <n v="0.01"/>
    <s v="No"/>
    <n v="0"/>
  </r>
  <r>
    <s v="AP-0231"/>
    <s v="VND-014"/>
    <s v="NetConnect Systems"/>
    <s v="IT"/>
    <s v="East"/>
    <s v="Ana Torres"/>
    <d v="2025-08-24T00:00:00"/>
    <d v="2025-09-08T00:00:00"/>
    <n v="15"/>
    <n v="20856.28"/>
    <n v="11215.47"/>
    <n v="9640.81"/>
    <d v="2025-09-04T00:00:00"/>
    <s v="Partial"/>
    <s v="ACH"/>
    <n v="11"/>
    <n v="4"/>
    <x v="0"/>
    <s v="No"/>
    <n v="0"/>
    <s v="No"/>
    <n v="0"/>
  </r>
  <r>
    <s v="AP-0232"/>
    <s v="VND-003"/>
    <s v="FastShip Logistics"/>
    <s v="Logistics"/>
    <s v="East"/>
    <s v="Ana Torres"/>
    <d v="2025-11-19T00:00:00"/>
    <d v="2025-12-19T00:00:00"/>
    <n v="30"/>
    <n v="1297.5"/>
    <n v="1297.5"/>
    <n v="0"/>
    <d v="2025-12-27T00:00:00"/>
    <s v="Paid"/>
    <s v="ACH"/>
    <n v="38"/>
    <n v="-8"/>
    <x v="1"/>
    <s v="Yes"/>
    <n v="0.01"/>
    <s v="No"/>
    <n v="0"/>
  </r>
  <r>
    <s v="AP-0233"/>
    <s v="VND-023"/>
    <s v="CoolTech Systems"/>
    <s v="IT"/>
    <s v="West"/>
    <s v="Sofia Reyes"/>
    <d v="2025-09-04T00:00:00"/>
    <d v="2025-10-04T00:00:00"/>
    <n v="30"/>
    <n v="47502.19"/>
    <n v="47502.19"/>
    <n v="0"/>
    <d v="2025-09-27T00:00:00"/>
    <s v="Paid"/>
    <s v="Check"/>
    <n v="23"/>
    <n v="7"/>
    <x v="0"/>
    <s v="No"/>
    <n v="0"/>
    <s v="No"/>
    <n v="0"/>
  </r>
  <r>
    <s v="AP-0234"/>
    <s v="VND-024"/>
    <s v="EliteFacilities Corp."/>
    <s v="Facilities"/>
    <s v="South"/>
    <s v="Sofia Reyes"/>
    <d v="2025-04-11T00:00:00"/>
    <d v="2025-04-26T00:00:00"/>
    <n v="15"/>
    <n v="16423.91"/>
    <n v="16423.91"/>
    <n v="0"/>
    <d v="2025-04-25T00:00:00"/>
    <s v="Paid"/>
    <s v="Check"/>
    <n v="14"/>
    <n v="1"/>
    <x v="0"/>
    <s v="No"/>
    <n v="0"/>
    <s v="No"/>
    <n v="0"/>
  </r>
  <r>
    <s v="AP-0235"/>
    <s v="VND-025"/>
    <s v="RapidShip Co."/>
    <s v="Logistics"/>
    <s v="Central"/>
    <s v="Ana Torres"/>
    <d v="2025-01-31T00:00:00"/>
    <d v="2025-04-01T00:00:00"/>
    <n v="60"/>
    <n v="13048.34"/>
    <n v="13048.34"/>
    <n v="0"/>
    <d v="2025-04-02T00:00:00"/>
    <s v="Paid"/>
    <s v="Credit Card"/>
    <n v="61"/>
    <n v="-1"/>
    <x v="1"/>
    <s v="No"/>
    <n v="0"/>
    <s v="No"/>
    <n v="0"/>
  </r>
  <r>
    <s v="AP-0236"/>
    <s v="VND-013"/>
    <s v="SafetyFirst Supplies"/>
    <s v="Materials"/>
    <s v="West"/>
    <s v="Marco Diaz"/>
    <d v="2025-10-30T00:00:00"/>
    <d v="2025-11-29T00:00:00"/>
    <n v="30"/>
    <n v="40306.65"/>
    <n v="40306.65"/>
    <n v="0"/>
    <d v="2025-12-09T00:00:00"/>
    <s v="Paid"/>
    <s v="Credit Card"/>
    <n v="40"/>
    <n v="-10"/>
    <x v="1"/>
    <s v="No"/>
    <n v="0"/>
    <s v="No"/>
    <n v="0"/>
  </r>
  <r>
    <s v="AP-0237"/>
    <s v="VND-005"/>
    <s v="CloudSys Inc."/>
    <s v="IT"/>
    <s v="West"/>
    <s v="Marco Diaz"/>
    <d v="2026-01-05T00:00:00"/>
    <d v="2026-03-06T00:00:00"/>
    <n v="60"/>
    <n v="12991.32"/>
    <n v="12991.32"/>
    <n v="0"/>
    <d v="2026-03-02T00:00:00"/>
    <s v="Paid"/>
    <s v="Credit Card"/>
    <n v="56"/>
    <n v="4"/>
    <x v="0"/>
    <s v="Yes"/>
    <n v="0.01"/>
    <s v="No"/>
    <n v="0"/>
  </r>
  <r>
    <s v="AP-0238"/>
    <s v="VND-005"/>
    <s v="CloudSys Inc."/>
    <s v="IT"/>
    <s v="North"/>
    <s v="Marco Diaz"/>
    <d v="2026-02-22T00:00:00"/>
    <d v="2026-05-23T00:00:00"/>
    <n v="90"/>
    <n v="12746.97"/>
    <n v="12746.97"/>
    <n v="0"/>
    <d v="2026-05-27T00:00:00"/>
    <s v="Paid"/>
    <s v="Credit Card"/>
    <n v="94"/>
    <n v="-4"/>
    <x v="1"/>
    <s v="Yes"/>
    <n v="5.0000000000000001E-3"/>
    <s v="No"/>
    <n v="0"/>
  </r>
  <r>
    <s v="AP-0239"/>
    <s v="VND-011"/>
    <s v="QuickFreight Inc."/>
    <s v="Logistics"/>
    <s v="West"/>
    <s v="Sofia Reyes"/>
    <d v="2026-02-02T00:00:00"/>
    <d v="2026-04-03T00:00:00"/>
    <n v="60"/>
    <n v="15804.21"/>
    <n v="15804.21"/>
    <n v="0"/>
    <d v="2026-04-03T00:00:00"/>
    <s v="Paid"/>
    <s v="Check"/>
    <n v="60"/>
    <n v="0"/>
    <x v="0"/>
    <s v="No"/>
    <n v="0"/>
    <s v="No"/>
    <n v="0"/>
  </r>
  <r>
    <s v="AP-0240"/>
    <s v="VND-022"/>
    <s v="Apex Consulting"/>
    <s v="Services"/>
    <s v="West"/>
    <s v="Marco Diaz"/>
    <d v="2025-11-05T00:00:00"/>
    <d v="2025-12-20T00:00:00"/>
    <n v="45"/>
    <n v="12931.05"/>
    <n v="12931.05"/>
    <n v="0"/>
    <d v="2025-12-29T00:00:00"/>
    <s v="Paid"/>
    <s v="Wire"/>
    <n v="54"/>
    <n v="-9"/>
    <x v="1"/>
    <s v="Yes"/>
    <n v="1.4999999999999999E-2"/>
    <s v="No"/>
    <n v="0"/>
  </r>
  <r>
    <s v="AP-0241"/>
    <s v="VND-009"/>
    <s v="MetalWorks Ltd."/>
    <s v="Materials"/>
    <s v="West"/>
    <s v="Laura Chen"/>
    <d v="2026-01-05T00:00:00"/>
    <d v="2026-02-04T00:00:00"/>
    <n v="30"/>
    <n v="14081.59"/>
    <n v="14081.59"/>
    <n v="0"/>
    <d v="2026-01-31T00:00:00"/>
    <s v="Paid"/>
    <s v="Credit Card"/>
    <n v="26"/>
    <n v="4"/>
    <x v="0"/>
    <s v="Yes"/>
    <n v="0.01"/>
    <s v="No"/>
    <n v="0"/>
  </r>
  <r>
    <s v="AP-0242"/>
    <s v="VND-004"/>
    <s v="BuildRight Materials"/>
    <s v="Materials"/>
    <s v="South"/>
    <s v="Laura Chen"/>
    <d v="2025-12-07T00:00:00"/>
    <d v="2026-02-05T00:00:00"/>
    <n v="60"/>
    <n v="42397.440000000002"/>
    <n v="22051.39"/>
    <n v="20346.05"/>
    <d v="2026-02-13T00:00:00"/>
    <s v="Partial"/>
    <s v="ACH"/>
    <n v="68"/>
    <n v="-8"/>
    <x v="1"/>
    <s v="Yes"/>
    <n v="0.01"/>
    <s v="No"/>
    <n v="0"/>
  </r>
  <r>
    <s v="AP-0243"/>
    <s v="VND-021"/>
    <s v="PrimePack Logistics"/>
    <s v="Logistics"/>
    <s v="Central"/>
    <s v="Marco Diaz"/>
    <d v="2025-07-25T00:00:00"/>
    <d v="2025-09-23T00:00:00"/>
    <n v="60"/>
    <n v="10101.19"/>
    <n v="10101.19"/>
    <n v="0"/>
    <d v="2025-09-21T00:00:00"/>
    <s v="Paid"/>
    <s v="Check"/>
    <n v="58"/>
    <n v="2"/>
    <x v="0"/>
    <s v="Yes"/>
    <n v="0.01"/>
    <s v="No"/>
    <n v="0"/>
  </r>
  <r>
    <s v="AP-0244"/>
    <s v="VND-011"/>
    <s v="QuickFreight Inc."/>
    <s v="Logistics"/>
    <s v="East"/>
    <s v="Pedro Alvarez"/>
    <d v="2026-01-21T00:00:00"/>
    <d v="2026-03-22T00:00:00"/>
    <n v="60"/>
    <n v="6325.7"/>
    <n v="6325.7"/>
    <n v="0"/>
    <d v="2026-03-26T00:00:00"/>
    <s v="Paid"/>
    <s v="Wire"/>
    <n v="64"/>
    <n v="-4"/>
    <x v="1"/>
    <s v="No"/>
    <n v="0"/>
    <s v="No"/>
    <n v="0"/>
  </r>
  <r>
    <s v="AP-0245"/>
    <s v="VND-018"/>
    <s v="BuildFast Materials"/>
    <s v="Materials"/>
    <s v="South"/>
    <s v="Ana Torres"/>
    <d v="2025-08-03T00:00:00"/>
    <d v="2025-11-01T00:00:00"/>
    <n v="90"/>
    <n v="23045.84"/>
    <n v="23045.84"/>
    <n v="0"/>
    <d v="2025-10-30T00:00:00"/>
    <s v="Paid"/>
    <s v="ACH"/>
    <n v="88"/>
    <n v="2"/>
    <x v="0"/>
    <s v="Yes"/>
    <n v="5.0000000000000001E-3"/>
    <s v="No"/>
    <n v="0"/>
  </r>
  <r>
    <s v="AP-0246"/>
    <s v="VND-014"/>
    <s v="NetConnect Systems"/>
    <s v="IT"/>
    <s v="West"/>
    <s v="Marco Diaz"/>
    <d v="2025-09-16T00:00:00"/>
    <d v="2025-10-16T00:00:00"/>
    <n v="30"/>
    <n v="54399.72"/>
    <n v="18331.759999999998"/>
    <n v="36067.96"/>
    <d v="2025-10-30T00:00:00"/>
    <s v="Partial"/>
    <s v="Check"/>
    <n v="44"/>
    <n v="-14"/>
    <x v="1"/>
    <s v="No"/>
    <n v="0"/>
    <s v="No"/>
    <n v="0"/>
  </r>
  <r>
    <s v="AP-0247"/>
    <s v="VND-016"/>
    <s v="CleanWater Utilities"/>
    <s v="Utilities"/>
    <s v="Central"/>
    <s v="Pedro Alvarez"/>
    <d v="2026-01-04T00:00:00"/>
    <d v="2026-01-19T00:00:00"/>
    <n v="15"/>
    <n v="10673.7"/>
    <n v="10673.7"/>
    <n v="0"/>
    <d v="2026-01-22T00:00:00"/>
    <s v="Paid"/>
    <s v="Credit Card"/>
    <n v="18"/>
    <n v="-3"/>
    <x v="1"/>
    <s v="No"/>
    <n v="0"/>
    <s v="No"/>
    <n v="0"/>
  </r>
  <r>
    <s v="AP-0248"/>
    <s v="VND-008"/>
    <s v="GreenEnergy Corp."/>
    <s v="Utilities"/>
    <s v="East"/>
    <s v="Marco Diaz"/>
    <d v="2025-12-06T00:00:00"/>
    <d v="2026-02-04T00:00:00"/>
    <n v="60"/>
    <n v="14502.89"/>
    <n v="14502.89"/>
    <n v="0"/>
    <d v="2026-02-03T00:00:00"/>
    <s v="Paid"/>
    <s v="ACH"/>
    <n v="59"/>
    <n v="1"/>
    <x v="0"/>
    <s v="Yes"/>
    <n v="0.01"/>
    <s v="No"/>
    <n v="0"/>
  </r>
  <r>
    <s v="AP-0249"/>
    <s v="VND-009"/>
    <s v="MetalWorks Ltd."/>
    <s v="Materials"/>
    <s v="South"/>
    <s v="Ana Torres"/>
    <d v="2026-01-19T00:00:00"/>
    <d v="2026-04-19T00:00:00"/>
    <n v="90"/>
    <n v="20774.439999999999"/>
    <n v="20774.439999999999"/>
    <n v="0"/>
    <d v="2026-04-18T00:00:00"/>
    <s v="Paid"/>
    <s v="Wire"/>
    <n v="89"/>
    <n v="1"/>
    <x v="0"/>
    <s v="No"/>
    <n v="0"/>
    <s v="No"/>
    <n v="0"/>
  </r>
  <r>
    <s v="AP-0250"/>
    <s v="VND-004"/>
    <s v="BuildRight Materials"/>
    <s v="Materials"/>
    <s v="East"/>
    <s v="Pedro Alvarez"/>
    <d v="2025-05-26T00:00:00"/>
    <d v="2025-06-25T00:00:00"/>
    <n v="30"/>
    <n v="18719.78"/>
    <n v="10493.51"/>
    <n v="8226.27"/>
    <d v="2025-07-01T00:00:00"/>
    <s v="Partial"/>
    <s v="ACH"/>
    <n v="36"/>
    <n v="-6"/>
    <x v="1"/>
    <s v="Yes"/>
    <n v="0.01"/>
    <s v="No"/>
    <n v="0"/>
  </r>
  <r>
    <s v="AP-0251"/>
    <s v="VND-016"/>
    <s v="CleanWater Utilities"/>
    <s v="Utilities"/>
    <s v="North"/>
    <s v="Pedro Alvarez"/>
    <d v="2025-03-10T00:00:00"/>
    <d v="2025-05-09T00:00:00"/>
    <n v="60"/>
    <n v="4853.83"/>
    <n v="4853.83"/>
    <n v="0"/>
    <d v="2025-05-10T00:00:00"/>
    <s v="Paid"/>
    <s v="Credit Card"/>
    <n v="61"/>
    <n v="-1"/>
    <x v="1"/>
    <s v="No"/>
    <n v="0"/>
    <s v="No"/>
    <n v="0"/>
  </r>
  <r>
    <s v="AP-0252"/>
    <s v="VND-011"/>
    <s v="QuickFreight Inc."/>
    <s v="Logistics"/>
    <s v="North"/>
    <s v="Marco Diaz"/>
    <d v="2025-06-13T00:00:00"/>
    <d v="2025-07-13T00:00:00"/>
    <n v="30"/>
    <n v="7288.8"/>
    <n v="7288.8"/>
    <n v="0"/>
    <d v="2025-07-16T00:00:00"/>
    <s v="Paid"/>
    <s v="Wire"/>
    <n v="33"/>
    <n v="-3"/>
    <x v="1"/>
    <s v="Yes"/>
    <n v="0.01"/>
    <s v="No"/>
    <n v="0"/>
  </r>
  <r>
    <s v="AP-0253"/>
    <s v="VND-006"/>
    <s v="PowerGrid Utilities"/>
    <s v="Utilities"/>
    <s v="West"/>
    <s v="Pedro Alvarez"/>
    <d v="2026-04-06T00:00:00"/>
    <d v="2026-05-06T00:00:00"/>
    <n v="30"/>
    <n v="9086.9500000000007"/>
    <n v="0"/>
    <n v="9086.9500000000007"/>
    <m/>
    <s v="Pending"/>
    <s v="ACH"/>
    <m/>
    <m/>
    <x v="2"/>
    <s v="Yes"/>
    <n v="0.01"/>
    <s v="No"/>
    <n v="0"/>
  </r>
  <r>
    <s v="AP-0254"/>
    <s v="VND-025"/>
    <s v="RapidShip Co."/>
    <s v="Logistics"/>
    <s v="North"/>
    <s v="Ana Torres"/>
    <d v="2026-01-10T00:00:00"/>
    <d v="2026-02-09T00:00:00"/>
    <n v="30"/>
    <n v="7193.71"/>
    <n v="7193.71"/>
    <n v="0"/>
    <d v="2026-01-30T00:00:00"/>
    <s v="Paid"/>
    <s v="ACH"/>
    <n v="20"/>
    <n v="10"/>
    <x v="0"/>
    <s v="Yes"/>
    <n v="0.01"/>
    <s v="No"/>
    <n v="0"/>
  </r>
  <r>
    <s v="AP-0255"/>
    <s v="VND-016"/>
    <s v="CleanWater Utilities"/>
    <s v="Utilities"/>
    <s v="Central"/>
    <s v="Laura Chen"/>
    <d v="2025-04-27T00:00:00"/>
    <d v="2025-06-26T00:00:00"/>
    <n v="60"/>
    <n v="5544.91"/>
    <n v="5544.91"/>
    <n v="0"/>
    <d v="2025-06-30T00:00:00"/>
    <s v="Paid"/>
    <s v="Credit Card"/>
    <n v="64"/>
    <n v="-4"/>
    <x v="1"/>
    <s v="No"/>
    <n v="0"/>
    <s v="No"/>
    <n v="0"/>
  </r>
  <r>
    <s v="AP-0256"/>
    <s v="VND-010"/>
    <s v="DataBridge IT"/>
    <s v="IT"/>
    <s v="Central"/>
    <s v="Ana Torres"/>
    <d v="2025-11-17T00:00:00"/>
    <d v="2025-12-17T00:00:00"/>
    <n v="30"/>
    <n v="13839.62"/>
    <n v="13839.62"/>
    <n v="0"/>
    <d v="2025-12-06T00:00:00"/>
    <s v="Paid"/>
    <s v="ACH"/>
    <n v="19"/>
    <n v="11"/>
    <x v="0"/>
    <s v="Yes"/>
    <n v="0.01"/>
    <s v="No"/>
    <n v="0"/>
  </r>
  <r>
    <s v="AP-0257"/>
    <s v="VND-023"/>
    <s v="CoolTech Systems"/>
    <s v="IT"/>
    <s v="South"/>
    <s v="Ana Torres"/>
    <d v="2025-05-22T00:00:00"/>
    <d v="2025-07-21T00:00:00"/>
    <n v="60"/>
    <n v="48110.45"/>
    <n v="48110.45"/>
    <n v="0"/>
    <d v="2025-07-04T00:00:00"/>
    <s v="Paid"/>
    <s v="Credit Card"/>
    <n v="43"/>
    <n v="17"/>
    <x v="0"/>
    <s v="Yes"/>
    <n v="0.01"/>
    <s v="No"/>
    <n v="0"/>
  </r>
  <r>
    <s v="AP-0258"/>
    <s v="VND-006"/>
    <s v="PowerGrid Utilities"/>
    <s v="Utilities"/>
    <s v="Central"/>
    <s v="Marco Diaz"/>
    <d v="2025-05-24T00:00:00"/>
    <d v="2025-07-08T00:00:00"/>
    <n v="45"/>
    <n v="3212.93"/>
    <n v="3212.93"/>
    <n v="0"/>
    <d v="2025-07-04T00:00:00"/>
    <s v="Paid"/>
    <s v="Credit Card"/>
    <n v="41"/>
    <n v="4"/>
    <x v="0"/>
    <s v="No"/>
    <n v="0"/>
    <s v="No"/>
    <n v="0"/>
  </r>
  <r>
    <s v="AP-0259"/>
    <s v="VND-012"/>
    <s v="FacilityPro Services"/>
    <s v="Facilities"/>
    <s v="North"/>
    <s v="Pedro Alvarez"/>
    <d v="2026-01-29T00:00:00"/>
    <d v="2026-02-28T00:00:00"/>
    <n v="30"/>
    <n v="33806.36"/>
    <n v="33806.36"/>
    <n v="0"/>
    <d v="2026-02-25T00:00:00"/>
    <s v="Paid"/>
    <s v="Wire"/>
    <n v="27"/>
    <n v="3"/>
    <x v="0"/>
    <s v="Yes"/>
    <n v="0.01"/>
    <s v="No"/>
    <n v="0"/>
  </r>
  <r>
    <s v="AP-0260"/>
    <s v="VND-015"/>
    <s v="ExpressRoute Logistics"/>
    <s v="Logistics"/>
    <s v="West"/>
    <s v="Marco Diaz"/>
    <d v="2025-08-14T00:00:00"/>
    <d v="2025-08-29T00:00:00"/>
    <n v="15"/>
    <n v="6549.71"/>
    <n v="6549.71"/>
    <n v="0"/>
    <d v="2025-08-22T00:00:00"/>
    <s v="Paid"/>
    <s v="ACH"/>
    <n v="8"/>
    <n v="7"/>
    <x v="0"/>
    <s v="Yes"/>
    <n v="0.02"/>
    <s v="No"/>
    <n v="0"/>
  </r>
  <r>
    <s v="AP-0261"/>
    <s v="VND-006"/>
    <s v="PowerGrid Utilities"/>
    <s v="Utilities"/>
    <s v="West"/>
    <s v="Ana Torres"/>
    <d v="2025-04-27T00:00:00"/>
    <d v="2025-05-27T00:00:00"/>
    <n v="30"/>
    <n v="4384.3900000000003"/>
    <n v="0"/>
    <n v="4384.3900000000003"/>
    <m/>
    <s v="Overdue"/>
    <s v="Credit Card"/>
    <m/>
    <n v="-369"/>
    <x v="1"/>
    <s v="Yes"/>
    <n v="0.01"/>
    <s v="No"/>
    <n v="0"/>
  </r>
  <r>
    <s v="AP-0262"/>
    <s v="VND-018"/>
    <s v="BuildFast Materials"/>
    <s v="Materials"/>
    <s v="North"/>
    <s v="Pedro Alvarez"/>
    <d v="2025-04-15T00:00:00"/>
    <d v="2025-06-14T00:00:00"/>
    <n v="60"/>
    <n v="37327.46"/>
    <n v="37327.46"/>
    <n v="0"/>
    <d v="2025-06-15T00:00:00"/>
    <s v="Paid"/>
    <s v="Wire"/>
    <n v="61"/>
    <n v="-1"/>
    <x v="1"/>
    <s v="Yes"/>
    <n v="0.01"/>
    <s v="No"/>
    <n v="0"/>
  </r>
  <r>
    <s v="AP-0263"/>
    <s v="VND-009"/>
    <s v="MetalWorks Ltd."/>
    <s v="Materials"/>
    <s v="East"/>
    <s v="Sofia Reyes"/>
    <d v="2025-08-31T00:00:00"/>
    <d v="2025-09-30T00:00:00"/>
    <n v="30"/>
    <n v="12074.15"/>
    <n v="12074.15"/>
    <n v="0"/>
    <d v="2025-09-29T00:00:00"/>
    <s v="Paid"/>
    <s v="Credit Card"/>
    <n v="29"/>
    <n v="1"/>
    <x v="0"/>
    <s v="No"/>
    <n v="0"/>
    <s v="No"/>
    <n v="0"/>
  </r>
  <r>
    <s v="AP-0264"/>
    <s v="VND-023"/>
    <s v="CoolTech Systems"/>
    <s v="IT"/>
    <s v="Central"/>
    <s v="Pedro Alvarez"/>
    <d v="2025-07-31T00:00:00"/>
    <d v="2025-08-30T00:00:00"/>
    <n v="30"/>
    <n v="66014.740000000005"/>
    <n v="66014.740000000005"/>
    <n v="0"/>
    <d v="2025-08-20T00:00:00"/>
    <s v="Paid"/>
    <s v="Wire"/>
    <n v="20"/>
    <n v="10"/>
    <x v="0"/>
    <s v="No"/>
    <n v="0"/>
    <s v="No"/>
    <n v="0"/>
  </r>
  <r>
    <s v="AP-0265"/>
    <s v="VND-006"/>
    <s v="PowerGrid Utilities"/>
    <s v="Utilities"/>
    <s v="East"/>
    <s v="Laura Chen"/>
    <d v="2025-04-08T00:00:00"/>
    <d v="2025-05-23T00:00:00"/>
    <n v="45"/>
    <n v="2466.04"/>
    <n v="2466.04"/>
    <n v="0"/>
    <d v="2025-05-21T00:00:00"/>
    <s v="Paid"/>
    <s v="Check"/>
    <n v="43"/>
    <n v="2"/>
    <x v="0"/>
    <s v="No"/>
    <n v="0"/>
    <s v="No"/>
    <n v="0"/>
  </r>
  <r>
    <s v="AP-0266"/>
    <s v="VND-002"/>
    <s v="TechCore Solutions"/>
    <s v="IT"/>
    <s v="East"/>
    <s v="Marco Diaz"/>
    <d v="2025-05-30T00:00:00"/>
    <d v="2025-06-29T00:00:00"/>
    <n v="30"/>
    <n v="58354.61"/>
    <n v="58354.61"/>
    <n v="0"/>
    <d v="2025-06-25T00:00:00"/>
    <s v="Paid"/>
    <s v="Wire"/>
    <n v="26"/>
    <n v="4"/>
    <x v="0"/>
    <s v="No"/>
    <n v="0"/>
    <s v="No"/>
    <n v="0"/>
  </r>
  <r>
    <s v="AP-0267"/>
    <s v="VND-019"/>
    <s v="SkyNet IT Solutions"/>
    <s v="IT"/>
    <s v="East"/>
    <s v="Pedro Alvarez"/>
    <d v="2025-03-19T00:00:00"/>
    <d v="2025-06-17T00:00:00"/>
    <n v="90"/>
    <n v="52522.080000000002"/>
    <n v="52522.080000000002"/>
    <n v="0"/>
    <d v="2025-06-09T00:00:00"/>
    <s v="Paid"/>
    <s v="Credit Card"/>
    <n v="82"/>
    <n v="8"/>
    <x v="0"/>
    <s v="No"/>
    <n v="0"/>
    <s v="No"/>
    <n v="0"/>
  </r>
  <r>
    <s v="AP-0268"/>
    <s v="VND-017"/>
    <s v="OfficePro Services"/>
    <s v="Services"/>
    <s v="East"/>
    <s v="Laura Chen"/>
    <d v="2025-12-02T00:00:00"/>
    <d v="2026-03-02T00:00:00"/>
    <n v="90"/>
    <n v="24532.36"/>
    <n v="8502.2000000000007"/>
    <n v="16030.16"/>
    <d v="2026-03-11T00:00:00"/>
    <s v="Partial"/>
    <s v="Credit Card"/>
    <n v="99"/>
    <n v="-9"/>
    <x v="1"/>
    <s v="No"/>
    <n v="0"/>
    <s v="No"/>
    <n v="0"/>
  </r>
  <r>
    <s v="AP-0269"/>
    <s v="VND-021"/>
    <s v="PrimePack Logistics"/>
    <s v="Logistics"/>
    <s v="East"/>
    <s v="Sofia Reyes"/>
    <d v="2026-03-16T00:00:00"/>
    <d v="2026-04-15T00:00:00"/>
    <n v="30"/>
    <n v="16672.11"/>
    <n v="0"/>
    <n v="16672.11"/>
    <m/>
    <s v="Pending"/>
    <s v="Credit Card"/>
    <m/>
    <m/>
    <x v="2"/>
    <s v="Yes"/>
    <n v="0.01"/>
    <s v="No"/>
    <n v="0"/>
  </r>
  <r>
    <s v="AP-0270"/>
    <s v="VND-018"/>
    <s v="BuildFast Materials"/>
    <s v="Materials"/>
    <s v="Central"/>
    <s v="Marco Diaz"/>
    <d v="2025-02-19T00:00:00"/>
    <d v="2025-04-20T00:00:00"/>
    <n v="60"/>
    <n v="4205.26"/>
    <n v="1295.81"/>
    <n v="2909.45"/>
    <d v="2025-04-20T00:00:00"/>
    <s v="Partial"/>
    <s v="Credit Card"/>
    <n v="60"/>
    <n v="0"/>
    <x v="0"/>
    <s v="Yes"/>
    <n v="0.01"/>
    <s v="No"/>
    <n v="0"/>
  </r>
  <r>
    <s v="AP-0271"/>
    <s v="VND-015"/>
    <s v="ExpressRoute Logistics"/>
    <s v="Logistics"/>
    <s v="West"/>
    <s v="Sofia Reyes"/>
    <d v="2025-05-16T00:00:00"/>
    <d v="2025-06-15T00:00:00"/>
    <n v="30"/>
    <n v="17760.810000000001"/>
    <n v="13112.76"/>
    <n v="4648.05"/>
    <d v="2025-06-12T00:00:00"/>
    <s v="Partial"/>
    <s v="Credit Card"/>
    <n v="27"/>
    <n v="3"/>
    <x v="0"/>
    <s v="Yes"/>
    <n v="0.01"/>
    <s v="No"/>
    <n v="0"/>
  </r>
  <r>
    <s v="AP-0272"/>
    <s v="VND-021"/>
    <s v="PrimePack Logistics"/>
    <s v="Logistics"/>
    <s v="East"/>
    <s v="Laura Chen"/>
    <d v="2025-06-19T00:00:00"/>
    <d v="2025-08-18T00:00:00"/>
    <n v="60"/>
    <n v="1983.96"/>
    <n v="1983.96"/>
    <n v="0"/>
    <d v="2025-08-18T00:00:00"/>
    <s v="Paid"/>
    <s v="ACH"/>
    <n v="60"/>
    <n v="0"/>
    <x v="0"/>
    <s v="Yes"/>
    <n v="0.01"/>
    <s v="No"/>
    <n v="0"/>
  </r>
  <r>
    <s v="AP-0273"/>
    <s v="VND-003"/>
    <s v="FastShip Logistics"/>
    <s v="Logistics"/>
    <s v="North"/>
    <s v="Sofia Reyes"/>
    <d v="2025-03-21T00:00:00"/>
    <d v="2025-06-19T00:00:00"/>
    <n v="90"/>
    <n v="3521.3"/>
    <n v="3521.3"/>
    <n v="0"/>
    <d v="2025-06-11T00:00:00"/>
    <s v="Paid"/>
    <s v="Wire"/>
    <n v="82"/>
    <n v="8"/>
    <x v="0"/>
    <s v="Yes"/>
    <n v="5.0000000000000001E-3"/>
    <s v="No"/>
    <n v="0"/>
  </r>
  <r>
    <s v="AP-0274"/>
    <s v="VND-001"/>
    <s v="Acme Supplies Co."/>
    <s v="Materials"/>
    <s v="North"/>
    <s v="Laura Chen"/>
    <d v="2025-05-16T00:00:00"/>
    <d v="2025-07-15T00:00:00"/>
    <n v="60"/>
    <n v="24929.61"/>
    <n v="24929.61"/>
    <n v="0"/>
    <d v="2025-07-16T00:00:00"/>
    <s v="Paid"/>
    <s v="ACH"/>
    <n v="61"/>
    <n v="-1"/>
    <x v="1"/>
    <s v="Yes"/>
    <n v="0.01"/>
    <s v="No"/>
    <n v="0"/>
  </r>
  <r>
    <s v="AP-0275"/>
    <s v="VND-012"/>
    <s v="FacilityPro Services"/>
    <s v="Facilities"/>
    <s v="East"/>
    <s v="Marco Diaz"/>
    <d v="2025-05-27T00:00:00"/>
    <d v="2025-06-26T00:00:00"/>
    <n v="30"/>
    <n v="4257.58"/>
    <n v="4257.58"/>
    <n v="0"/>
    <d v="2025-06-23T00:00:00"/>
    <s v="Paid"/>
    <s v="Credit Card"/>
    <n v="27"/>
    <n v="3"/>
    <x v="0"/>
    <s v="Yes"/>
    <n v="0.01"/>
    <s v="No"/>
    <n v="0"/>
  </r>
  <r>
    <s v="AP-0276"/>
    <s v="VND-006"/>
    <s v="PowerGrid Utilities"/>
    <s v="Utilities"/>
    <s v="West"/>
    <s v="Laura Chen"/>
    <d v="2026-02-26T00:00:00"/>
    <d v="2026-03-28T00:00:00"/>
    <n v="30"/>
    <n v="9433.1"/>
    <n v="9433.1"/>
    <n v="0"/>
    <d v="2026-03-31T00:00:00"/>
    <s v="Paid"/>
    <s v="Wire"/>
    <n v="33"/>
    <n v="-3"/>
    <x v="1"/>
    <s v="Yes"/>
    <n v="0.01"/>
    <s v="No"/>
    <n v="0"/>
  </r>
  <r>
    <s v="AP-0277"/>
    <s v="VND-004"/>
    <s v="BuildRight Materials"/>
    <s v="Materials"/>
    <s v="Central"/>
    <s v="Pedro Alvarez"/>
    <d v="2025-11-19T00:00:00"/>
    <d v="2026-01-18T00:00:00"/>
    <n v="60"/>
    <n v="39971.68"/>
    <n v="39971.68"/>
    <n v="0"/>
    <d v="2026-01-16T00:00:00"/>
    <s v="Paid"/>
    <s v="Check"/>
    <n v="58"/>
    <n v="2"/>
    <x v="0"/>
    <s v="Yes"/>
    <n v="0.01"/>
    <s v="No"/>
    <n v="0"/>
  </r>
  <r>
    <s v="AP-0278"/>
    <s v="VND-008"/>
    <s v="GreenEnergy Corp."/>
    <s v="Utilities"/>
    <s v="Central"/>
    <s v="Ana Torres"/>
    <d v="2025-11-05T00:00:00"/>
    <d v="2025-11-20T00:00:00"/>
    <n v="15"/>
    <n v="3478.96"/>
    <n v="3478.96"/>
    <n v="0"/>
    <d v="2025-11-12T00:00:00"/>
    <s v="Paid"/>
    <s v="Check"/>
    <n v="7"/>
    <n v="8"/>
    <x v="0"/>
    <s v="Yes"/>
    <n v="0.02"/>
    <s v="No"/>
    <n v="0"/>
  </r>
  <r>
    <s v="AP-0279"/>
    <s v="VND-008"/>
    <s v="GreenEnergy Corp."/>
    <s v="Utilities"/>
    <s v="West"/>
    <s v="Pedro Alvarez"/>
    <d v="2026-05-27T00:00:00"/>
    <d v="2026-06-26T00:00:00"/>
    <n v="30"/>
    <n v="9752.19"/>
    <n v="0"/>
    <n v="9752.19"/>
    <m/>
    <s v="Pending"/>
    <s v="ACH"/>
    <m/>
    <m/>
    <x v="2"/>
    <s v="Yes"/>
    <n v="0.01"/>
    <s v="No"/>
    <n v="0"/>
  </r>
  <r>
    <s v="AP-0280"/>
    <s v="VND-012"/>
    <s v="FacilityPro Services"/>
    <s v="Facilities"/>
    <s v="East"/>
    <s v="Marco Diaz"/>
    <d v="2026-01-10T00:00:00"/>
    <d v="2026-03-11T00:00:00"/>
    <n v="60"/>
    <n v="20029.759999999998"/>
    <n v="20029.759999999998"/>
    <n v="0"/>
    <d v="2026-03-18T00:00:00"/>
    <s v="Paid"/>
    <s v="Credit Card"/>
    <n v="67"/>
    <n v="-7"/>
    <x v="1"/>
    <s v="Yes"/>
    <n v="0.01"/>
    <s v="No"/>
    <n v="0"/>
  </r>
  <r>
    <s v="AP-0281"/>
    <s v="VND-025"/>
    <s v="RapidShip Co."/>
    <s v="Logistics"/>
    <s v="North"/>
    <s v="Sofia Reyes"/>
    <d v="2025-09-26T00:00:00"/>
    <d v="2025-10-11T00:00:00"/>
    <n v="15"/>
    <n v="5099.12"/>
    <n v="0"/>
    <n v="5099.12"/>
    <m/>
    <s v="Overdue"/>
    <s v="ACH"/>
    <m/>
    <n v="-232"/>
    <x v="1"/>
    <s v="No"/>
    <n v="0"/>
    <s v="No"/>
    <n v="0"/>
  </r>
  <r>
    <s v="AP-0282"/>
    <s v="VND-013"/>
    <s v="SafetyFirst Supplies"/>
    <s v="Materials"/>
    <s v="Central"/>
    <s v="Laura Chen"/>
    <d v="2026-02-16T00:00:00"/>
    <d v="2026-04-17T00:00:00"/>
    <n v="60"/>
    <n v="5956.53"/>
    <n v="0"/>
    <n v="5956.53"/>
    <m/>
    <s v="Pending"/>
    <s v="Credit Card"/>
    <m/>
    <m/>
    <x v="2"/>
    <s v="Yes"/>
    <n v="0.01"/>
    <s v="No"/>
    <n v="0"/>
  </r>
  <r>
    <s v="AP-0283"/>
    <s v="VND-010"/>
    <s v="DataBridge IT"/>
    <s v="IT"/>
    <s v="North"/>
    <s v="Ana Torres"/>
    <d v="2025-12-01T00:00:00"/>
    <d v="2025-12-31T00:00:00"/>
    <n v="30"/>
    <n v="34304.86"/>
    <n v="21973.22"/>
    <n v="12331.64"/>
    <d v="2025-12-28T00:00:00"/>
    <s v="Partial"/>
    <s v="Wire"/>
    <n v="27"/>
    <n v="3"/>
    <x v="0"/>
    <s v="Yes"/>
    <n v="0.01"/>
    <s v="No"/>
    <n v="0"/>
  </r>
  <r>
    <s v="AP-0284"/>
    <s v="VND-010"/>
    <s v="DataBridge IT"/>
    <s v="IT"/>
    <s v="West"/>
    <s v="Marco Diaz"/>
    <d v="2025-03-30T00:00:00"/>
    <d v="2025-04-29T00:00:00"/>
    <n v="30"/>
    <n v="74347.08"/>
    <n v="74347.08"/>
    <n v="0"/>
    <d v="2025-05-10T00:00:00"/>
    <s v="Paid"/>
    <s v="ACH"/>
    <n v="41"/>
    <n v="-11"/>
    <x v="1"/>
    <s v="Yes"/>
    <n v="0.01"/>
    <s v="No"/>
    <n v="0"/>
  </r>
  <r>
    <s v="AP-0285"/>
    <s v="VND-022"/>
    <s v="Apex Consulting"/>
    <s v="Services"/>
    <s v="South"/>
    <s v="Sofia Reyes"/>
    <d v="2025-01-12T00:00:00"/>
    <d v="2025-02-11T00:00:00"/>
    <n v="30"/>
    <n v="9061.81"/>
    <n v="9061.81"/>
    <n v="0"/>
    <d v="2025-02-15T00:00:00"/>
    <s v="Paid"/>
    <s v="ACH"/>
    <n v="34"/>
    <n v="-4"/>
    <x v="1"/>
    <s v="No"/>
    <n v="0"/>
    <s v="No"/>
    <n v="0"/>
  </r>
  <r>
    <s v="AP-0286"/>
    <s v="VND-024"/>
    <s v="EliteFacilities Corp."/>
    <s v="Facilities"/>
    <s v="East"/>
    <s v="Marco Diaz"/>
    <d v="2025-10-03T00:00:00"/>
    <d v="2025-11-02T00:00:00"/>
    <n v="30"/>
    <n v="26186.880000000001"/>
    <n v="12242.51"/>
    <n v="13944.37"/>
    <d v="2025-11-10T00:00:00"/>
    <s v="Partial"/>
    <s v="Check"/>
    <n v="38"/>
    <n v="-8"/>
    <x v="1"/>
    <s v="Yes"/>
    <n v="0.01"/>
    <s v="No"/>
    <n v="0"/>
  </r>
  <r>
    <s v="AP-0287"/>
    <s v="VND-009"/>
    <s v="MetalWorks Ltd."/>
    <s v="Materials"/>
    <s v="Central"/>
    <s v="Sofia Reyes"/>
    <d v="2026-05-24T00:00:00"/>
    <d v="2026-06-23T00:00:00"/>
    <n v="30"/>
    <n v="23849.49"/>
    <n v="23849.49"/>
    <n v="0"/>
    <d v="2026-05-31T00:00:00"/>
    <s v="Paid"/>
    <s v="Check"/>
    <n v="7"/>
    <n v="23"/>
    <x v="0"/>
    <s v="Yes"/>
    <n v="0.01"/>
    <s v="Yes"/>
    <n v="238.49"/>
  </r>
  <r>
    <s v="AP-0288"/>
    <s v="VND-004"/>
    <s v="BuildRight Materials"/>
    <s v="Materials"/>
    <s v="Central"/>
    <s v="Sofia Reyes"/>
    <d v="2025-02-15T00:00:00"/>
    <d v="2025-03-02T00:00:00"/>
    <n v="15"/>
    <n v="43217.07"/>
    <n v="43217.07"/>
    <n v="0"/>
    <d v="2025-03-06T00:00:00"/>
    <s v="Paid"/>
    <s v="Wire"/>
    <n v="19"/>
    <n v="-4"/>
    <x v="1"/>
    <s v="Yes"/>
    <n v="0.02"/>
    <s v="No"/>
    <n v="0"/>
  </r>
  <r>
    <s v="AP-0289"/>
    <s v="VND-012"/>
    <s v="FacilityPro Services"/>
    <s v="Facilities"/>
    <s v="West"/>
    <s v="Marco Diaz"/>
    <d v="2026-03-06T00:00:00"/>
    <d v="2026-03-21T00:00:00"/>
    <n v="15"/>
    <n v="9409.01"/>
    <n v="0"/>
    <n v="9409.01"/>
    <m/>
    <s v="Overdue"/>
    <s v="Wire"/>
    <m/>
    <n v="-71"/>
    <x v="1"/>
    <s v="Yes"/>
    <n v="0.02"/>
    <s v="No"/>
    <n v="0"/>
  </r>
  <r>
    <s v="AP-0290"/>
    <s v="VND-011"/>
    <s v="QuickFreight Inc."/>
    <s v="Logistics"/>
    <s v="East"/>
    <s v="Sofia Reyes"/>
    <d v="2026-05-30T00:00:00"/>
    <d v="2026-06-29T00:00:00"/>
    <n v="30"/>
    <n v="13793.19"/>
    <n v="13793.19"/>
    <n v="0"/>
    <d v="2026-05-31T00:00:00"/>
    <s v="Paid"/>
    <s v="Check"/>
    <n v="1"/>
    <n v="29"/>
    <x v="0"/>
    <s v="Yes"/>
    <n v="0.01"/>
    <s v="Yes"/>
    <n v="137.93"/>
  </r>
  <r>
    <s v="AP-0291"/>
    <s v="VND-015"/>
    <s v="ExpressRoute Logistics"/>
    <s v="Logistics"/>
    <s v="East"/>
    <s v="Laura Chen"/>
    <d v="2026-04-13T00:00:00"/>
    <d v="2026-05-13T00:00:00"/>
    <n v="30"/>
    <n v="1151.4100000000001"/>
    <n v="0"/>
    <n v="1151.4100000000001"/>
    <m/>
    <s v="Pending"/>
    <s v="Check"/>
    <m/>
    <m/>
    <x v="2"/>
    <s v="Yes"/>
    <n v="0.01"/>
    <s v="No"/>
    <n v="0"/>
  </r>
  <r>
    <s v="AP-0292"/>
    <s v="VND-020"/>
    <s v="TrustBuild Facilities"/>
    <s v="Facilities"/>
    <s v="South"/>
    <s v="Pedro Alvarez"/>
    <d v="2025-07-20T00:00:00"/>
    <d v="2025-10-18T00:00:00"/>
    <n v="90"/>
    <n v="26171.29"/>
    <n v="9821.65"/>
    <n v="16349.64"/>
    <d v="2025-10-26T00:00:00"/>
    <s v="Partial"/>
    <s v="Check"/>
    <n v="98"/>
    <n v="-8"/>
    <x v="1"/>
    <s v="Yes"/>
    <n v="5.0000000000000001E-3"/>
    <s v="No"/>
    <n v="0"/>
  </r>
  <r>
    <s v="AP-0293"/>
    <s v="VND-001"/>
    <s v="Acme Supplies Co."/>
    <s v="Materials"/>
    <s v="South"/>
    <s v="Ana Torres"/>
    <d v="2025-12-10T00:00:00"/>
    <d v="2025-12-25T00:00:00"/>
    <n v="15"/>
    <n v="2070.1799999999998"/>
    <n v="1373.79"/>
    <n v="696.39"/>
    <d v="2025-12-23T00:00:00"/>
    <s v="Partial"/>
    <s v="Check"/>
    <n v="13"/>
    <n v="2"/>
    <x v="0"/>
    <s v="Yes"/>
    <n v="0.02"/>
    <s v="No"/>
    <n v="0"/>
  </r>
  <r>
    <s v="AP-0294"/>
    <s v="VND-007"/>
    <s v="ProStaff Services"/>
    <s v="Services"/>
    <s v="Central"/>
    <s v="Marco Diaz"/>
    <d v="2025-03-03T00:00:00"/>
    <d v="2025-06-01T00:00:00"/>
    <n v="90"/>
    <n v="38984.69"/>
    <n v="38984.69"/>
    <n v="0"/>
    <d v="2025-06-03T00:00:00"/>
    <s v="Paid"/>
    <s v="Credit Card"/>
    <n v="92"/>
    <n v="-2"/>
    <x v="1"/>
    <s v="Yes"/>
    <n v="5.0000000000000001E-3"/>
    <s v="No"/>
    <n v="0"/>
  </r>
  <r>
    <s v="AP-0295"/>
    <s v="VND-002"/>
    <s v="TechCore Solutions"/>
    <s v="IT"/>
    <s v="South"/>
    <s v="Ana Torres"/>
    <d v="2026-04-15T00:00:00"/>
    <d v="2026-06-14T00:00:00"/>
    <n v="60"/>
    <n v="78091.61"/>
    <n v="0"/>
    <n v="78091.61"/>
    <m/>
    <s v="Pending"/>
    <s v="Credit Card"/>
    <m/>
    <m/>
    <x v="2"/>
    <s v="Yes"/>
    <n v="0.01"/>
    <s v="No"/>
    <n v="0"/>
  </r>
  <r>
    <s v="AP-0296"/>
    <s v="VND-013"/>
    <s v="SafetyFirst Supplies"/>
    <s v="Materials"/>
    <s v="North"/>
    <s v="Ana Torres"/>
    <d v="2025-05-14T00:00:00"/>
    <d v="2025-07-13T00:00:00"/>
    <n v="60"/>
    <n v="13365.04"/>
    <n v="13365.04"/>
    <n v="0"/>
    <d v="2025-07-16T00:00:00"/>
    <s v="Paid"/>
    <s v="ACH"/>
    <n v="63"/>
    <n v="-3"/>
    <x v="1"/>
    <s v="Yes"/>
    <n v="0.01"/>
    <s v="No"/>
    <n v="0"/>
  </r>
  <r>
    <s v="AP-0297"/>
    <s v="VND-024"/>
    <s v="EliteFacilities Corp."/>
    <s v="Facilities"/>
    <s v="East"/>
    <s v="Laura Chen"/>
    <d v="2025-08-28T00:00:00"/>
    <d v="2025-10-12T00:00:00"/>
    <n v="45"/>
    <n v="4464.6899999999996"/>
    <n v="4464.6899999999996"/>
    <n v="0"/>
    <d v="2025-10-01T00:00:00"/>
    <s v="Paid"/>
    <s v="Credit Card"/>
    <n v="34"/>
    <n v="11"/>
    <x v="0"/>
    <s v="Yes"/>
    <n v="1.4999999999999999E-2"/>
    <s v="No"/>
    <n v="0"/>
  </r>
  <r>
    <s v="AP-0298"/>
    <s v="VND-019"/>
    <s v="SkyNet IT Solutions"/>
    <s v="IT"/>
    <s v="North"/>
    <s v="Marco Diaz"/>
    <d v="2026-04-06T00:00:00"/>
    <d v="2026-05-06T00:00:00"/>
    <n v="30"/>
    <n v="39954.129999999997"/>
    <n v="39954.129999999997"/>
    <n v="0"/>
    <d v="2026-05-07T00:00:00"/>
    <s v="Paid"/>
    <s v="ACH"/>
    <n v="31"/>
    <n v="-1"/>
    <x v="1"/>
    <s v="Yes"/>
    <n v="0.01"/>
    <s v="No"/>
    <n v="0"/>
  </r>
  <r>
    <s v="AP-0299"/>
    <s v="VND-009"/>
    <s v="MetalWorks Ltd."/>
    <s v="Materials"/>
    <s v="North"/>
    <s v="Sofia Reyes"/>
    <d v="2025-02-11T00:00:00"/>
    <d v="2025-03-28T00:00:00"/>
    <n v="45"/>
    <n v="12321"/>
    <n v="12321"/>
    <n v="0"/>
    <d v="2025-04-03T00:00:00"/>
    <s v="Paid"/>
    <s v="Wire"/>
    <n v="51"/>
    <n v="-6"/>
    <x v="1"/>
    <s v="No"/>
    <n v="0"/>
    <s v="No"/>
    <n v="0"/>
  </r>
  <r>
    <s v="AP-0300"/>
    <s v="VND-023"/>
    <s v="CoolTech Systems"/>
    <s v="IT"/>
    <s v="South"/>
    <s v="Laura Chen"/>
    <d v="2025-11-03T00:00:00"/>
    <d v="2025-11-18T00:00:00"/>
    <n v="15"/>
    <n v="24512.51"/>
    <n v="24512.51"/>
    <n v="0"/>
    <d v="2025-11-11T00:00:00"/>
    <s v="Paid"/>
    <s v="Credit Card"/>
    <n v="8"/>
    <n v="7"/>
    <x v="0"/>
    <s v="No"/>
    <n v="0"/>
    <s v="No"/>
    <n v="0"/>
  </r>
  <r>
    <s v="AP-0301"/>
    <s v="VND-024"/>
    <s v="EliteFacilities Corp."/>
    <s v="Facilities"/>
    <s v="Central"/>
    <s v="Marco Diaz"/>
    <d v="2025-04-15T00:00:00"/>
    <d v="2025-07-14T00:00:00"/>
    <n v="90"/>
    <n v="28528.59"/>
    <n v="28528.59"/>
    <n v="0"/>
    <d v="2025-07-18T00:00:00"/>
    <s v="Paid"/>
    <s v="ACH"/>
    <n v="94"/>
    <n v="-4"/>
    <x v="1"/>
    <s v="Yes"/>
    <n v="5.0000000000000001E-3"/>
    <s v="No"/>
    <n v="0"/>
  </r>
  <r>
    <s v="AP-0302"/>
    <s v="VND-025"/>
    <s v="RapidShip Co."/>
    <s v="Logistics"/>
    <s v="South"/>
    <s v="Marco Diaz"/>
    <d v="2026-01-17T00:00:00"/>
    <d v="2026-03-18T00:00:00"/>
    <n v="60"/>
    <n v="14039.42"/>
    <n v="14039.42"/>
    <n v="0"/>
    <d v="2026-03-03T00:00:00"/>
    <s v="Paid"/>
    <s v="Wire"/>
    <n v="45"/>
    <n v="15"/>
    <x v="0"/>
    <s v="No"/>
    <n v="0"/>
    <s v="No"/>
    <n v="0"/>
  </r>
  <r>
    <s v="AP-0303"/>
    <s v="VND-003"/>
    <s v="FastShip Logistics"/>
    <s v="Logistics"/>
    <s v="North"/>
    <s v="Sofia Reyes"/>
    <d v="2025-05-12T00:00:00"/>
    <d v="2025-08-10T00:00:00"/>
    <n v="90"/>
    <n v="2747.59"/>
    <n v="992.6"/>
    <n v="1754.99"/>
    <d v="2025-08-19T00:00:00"/>
    <s v="Partial"/>
    <s v="Wire"/>
    <n v="99"/>
    <n v="-9"/>
    <x v="1"/>
    <s v="No"/>
    <n v="0"/>
    <s v="No"/>
    <n v="0"/>
  </r>
  <r>
    <s v="AP-0304"/>
    <s v="VND-002"/>
    <s v="TechCore Solutions"/>
    <s v="IT"/>
    <s v="South"/>
    <s v="Ana Torres"/>
    <d v="2026-05-24T00:00:00"/>
    <d v="2026-07-23T00:00:00"/>
    <n v="60"/>
    <n v="7211.17"/>
    <n v="0"/>
    <n v="7211.17"/>
    <m/>
    <s v="Pending"/>
    <s v="Credit Card"/>
    <m/>
    <m/>
    <x v="2"/>
    <s v="Yes"/>
    <n v="0.01"/>
    <s v="No"/>
    <n v="0"/>
  </r>
  <r>
    <s v="AP-0305"/>
    <s v="VND-006"/>
    <s v="PowerGrid Utilities"/>
    <s v="Utilities"/>
    <s v="East"/>
    <s v="Laura Chen"/>
    <d v="2025-02-05T00:00:00"/>
    <d v="2025-03-07T00:00:00"/>
    <n v="30"/>
    <n v="9404.5499999999993"/>
    <n v="9404.5499999999993"/>
    <n v="0"/>
    <d v="2025-02-26T00:00:00"/>
    <s v="Paid"/>
    <s v="Credit Card"/>
    <n v="21"/>
    <n v="9"/>
    <x v="0"/>
    <s v="Yes"/>
    <n v="0.01"/>
    <s v="No"/>
    <n v="0"/>
  </r>
  <r>
    <s v="AP-0306"/>
    <s v="VND-016"/>
    <s v="CleanWater Utilities"/>
    <s v="Utilities"/>
    <s v="West"/>
    <s v="Ana Torres"/>
    <d v="2025-03-31T00:00:00"/>
    <d v="2025-04-15T00:00:00"/>
    <n v="15"/>
    <n v="4556.75"/>
    <n v="4556.75"/>
    <n v="0"/>
    <d v="2025-04-22T00:00:00"/>
    <s v="Paid"/>
    <s v="Credit Card"/>
    <n v="22"/>
    <n v="-7"/>
    <x v="1"/>
    <s v="Yes"/>
    <n v="0.02"/>
    <s v="No"/>
    <n v="0"/>
  </r>
  <r>
    <s v="AP-0307"/>
    <s v="VND-021"/>
    <s v="PrimePack Logistics"/>
    <s v="Logistics"/>
    <s v="Central"/>
    <s v="Sofia Reyes"/>
    <d v="2026-05-07T00:00:00"/>
    <d v="2026-07-06T00:00:00"/>
    <n v="60"/>
    <n v="11345.84"/>
    <n v="0"/>
    <n v="11345.84"/>
    <m/>
    <s v="Overdue"/>
    <s v="Credit Card"/>
    <m/>
    <n v="36"/>
    <x v="1"/>
    <s v="Yes"/>
    <n v="0.01"/>
    <s v="No"/>
    <n v="0"/>
  </r>
  <r>
    <s v="AP-0308"/>
    <s v="VND-013"/>
    <s v="SafetyFirst Supplies"/>
    <s v="Materials"/>
    <s v="East"/>
    <s v="Marco Diaz"/>
    <d v="2025-08-13T00:00:00"/>
    <d v="2025-10-12T00:00:00"/>
    <n v="60"/>
    <n v="3406.57"/>
    <n v="3406.57"/>
    <n v="0"/>
    <d v="2025-10-06T00:00:00"/>
    <s v="Paid"/>
    <s v="ACH"/>
    <n v="54"/>
    <n v="6"/>
    <x v="0"/>
    <s v="No"/>
    <n v="0"/>
    <s v="No"/>
    <n v="0"/>
  </r>
  <r>
    <s v="AP-0309"/>
    <s v="VND-016"/>
    <s v="CleanWater Utilities"/>
    <s v="Utilities"/>
    <s v="Central"/>
    <s v="Laura Chen"/>
    <d v="2025-04-13T00:00:00"/>
    <d v="2025-05-13T00:00:00"/>
    <n v="30"/>
    <n v="4093.93"/>
    <n v="4093.93"/>
    <n v="0"/>
    <d v="2025-05-16T00:00:00"/>
    <s v="Paid"/>
    <s v="Wire"/>
    <n v="33"/>
    <n v="-3"/>
    <x v="1"/>
    <s v="Yes"/>
    <n v="0.01"/>
    <s v="No"/>
    <n v="0"/>
  </r>
  <r>
    <s v="AP-0310"/>
    <s v="VND-025"/>
    <s v="RapidShip Co."/>
    <s v="Logistics"/>
    <s v="South"/>
    <s v="Ana Torres"/>
    <d v="2025-06-27T00:00:00"/>
    <d v="2025-08-26T00:00:00"/>
    <n v="60"/>
    <n v="4345.91"/>
    <n v="2819.68"/>
    <n v="1526.23"/>
    <d v="2025-09-08T00:00:00"/>
    <s v="Partial"/>
    <s v="Credit Card"/>
    <n v="73"/>
    <n v="-13"/>
    <x v="1"/>
    <s v="Yes"/>
    <n v="0.01"/>
    <s v="No"/>
    <n v="0"/>
  </r>
  <r>
    <s v="AP-0311"/>
    <s v="VND-001"/>
    <s v="Acme Supplies Co."/>
    <s v="Materials"/>
    <s v="East"/>
    <s v="Ana Torres"/>
    <d v="2026-05-20T00:00:00"/>
    <d v="2026-06-19T00:00:00"/>
    <n v="30"/>
    <n v="28021.98"/>
    <n v="0"/>
    <n v="28021.98"/>
    <m/>
    <s v="Pending"/>
    <s v="Wire"/>
    <m/>
    <m/>
    <x v="2"/>
    <s v="Yes"/>
    <n v="0.01"/>
    <s v="No"/>
    <n v="0"/>
  </r>
  <r>
    <s v="AP-0312"/>
    <s v="VND-020"/>
    <s v="TrustBuild Facilities"/>
    <s v="Facilities"/>
    <s v="South"/>
    <s v="Sofia Reyes"/>
    <d v="2025-12-06T00:00:00"/>
    <d v="2025-12-21T00:00:00"/>
    <n v="15"/>
    <n v="32290.57"/>
    <n v="32290.57"/>
    <n v="0"/>
    <d v="2025-12-09T00:00:00"/>
    <s v="Paid"/>
    <s v="Credit Card"/>
    <n v="3"/>
    <n v="12"/>
    <x v="0"/>
    <s v="Yes"/>
    <n v="0.02"/>
    <s v="Yes"/>
    <n v="645.80999999999995"/>
  </r>
  <r>
    <s v="AP-0313"/>
    <s v="VND-023"/>
    <s v="CoolTech Systems"/>
    <s v="IT"/>
    <s v="South"/>
    <s v="Laura Chen"/>
    <d v="2025-06-01T00:00:00"/>
    <d v="2025-06-16T00:00:00"/>
    <n v="15"/>
    <n v="48995.69"/>
    <n v="48995.69"/>
    <n v="0"/>
    <d v="2025-06-25T00:00:00"/>
    <s v="Paid"/>
    <s v="ACH"/>
    <n v="24"/>
    <n v="-9"/>
    <x v="1"/>
    <s v="No"/>
    <n v="0"/>
    <s v="No"/>
    <n v="0"/>
  </r>
  <r>
    <s v="AP-0314"/>
    <s v="VND-003"/>
    <s v="FastShip Logistics"/>
    <s v="Logistics"/>
    <s v="East"/>
    <s v="Pedro Alvarez"/>
    <d v="2025-11-06T00:00:00"/>
    <d v="2026-01-05T00:00:00"/>
    <n v="60"/>
    <n v="7129.46"/>
    <n v="7129.46"/>
    <n v="0"/>
    <d v="2025-12-23T00:00:00"/>
    <s v="Paid"/>
    <s v="ACH"/>
    <n v="47"/>
    <n v="13"/>
    <x v="0"/>
    <s v="No"/>
    <n v="0"/>
    <s v="No"/>
    <n v="0"/>
  </r>
  <r>
    <s v="AP-0315"/>
    <s v="VND-014"/>
    <s v="NetConnect Systems"/>
    <s v="IT"/>
    <s v="West"/>
    <s v="Laura Chen"/>
    <d v="2025-08-17T00:00:00"/>
    <d v="2025-10-16T00:00:00"/>
    <n v="60"/>
    <n v="54914.879999999997"/>
    <n v="54914.879999999997"/>
    <n v="0"/>
    <d v="2025-10-16T00:00:00"/>
    <s v="Paid"/>
    <s v="Wire"/>
    <n v="60"/>
    <n v="0"/>
    <x v="0"/>
    <s v="No"/>
    <n v="0"/>
    <s v="No"/>
    <n v="0"/>
  </r>
  <r>
    <s v="AP-0316"/>
    <s v="VND-006"/>
    <s v="PowerGrid Utilities"/>
    <s v="Utilities"/>
    <s v="North"/>
    <s v="Ana Torres"/>
    <d v="2025-07-06T00:00:00"/>
    <d v="2025-07-21T00:00:00"/>
    <n v="15"/>
    <n v="9234.64"/>
    <n v="0"/>
    <n v="9234.64"/>
    <m/>
    <s v="Overdue"/>
    <s v="Credit Card"/>
    <m/>
    <n v="-314"/>
    <x v="1"/>
    <s v="No"/>
    <n v="0"/>
    <s v="No"/>
    <n v="0"/>
  </r>
  <r>
    <s v="AP-0317"/>
    <s v="VND-008"/>
    <s v="GreenEnergy Corp."/>
    <s v="Utilities"/>
    <s v="Central"/>
    <s v="Sofia Reyes"/>
    <d v="2025-12-06T00:00:00"/>
    <d v="2026-01-05T00:00:00"/>
    <n v="30"/>
    <n v="11307.48"/>
    <n v="0"/>
    <n v="11307.48"/>
    <m/>
    <s v="Overdue"/>
    <s v="Credit Card"/>
    <m/>
    <n v="-146"/>
    <x v="1"/>
    <s v="Yes"/>
    <n v="0.01"/>
    <s v="No"/>
    <n v="0"/>
  </r>
  <r>
    <s v="AP-0318"/>
    <s v="VND-006"/>
    <s v="PowerGrid Utilities"/>
    <s v="Utilities"/>
    <s v="North"/>
    <s v="Laura Chen"/>
    <d v="2025-09-29T00:00:00"/>
    <d v="2025-10-14T00:00:00"/>
    <n v="15"/>
    <n v="3540.42"/>
    <n v="3540.42"/>
    <n v="0"/>
    <d v="2025-10-08T00:00:00"/>
    <s v="Paid"/>
    <s v="Credit Card"/>
    <n v="9"/>
    <n v="6"/>
    <x v="0"/>
    <s v="Yes"/>
    <n v="0.02"/>
    <s v="No"/>
    <n v="0"/>
  </r>
  <r>
    <s v="AP-0319"/>
    <s v="VND-004"/>
    <s v="BuildRight Materials"/>
    <s v="Materials"/>
    <s v="North"/>
    <s v="Sofia Reyes"/>
    <d v="2026-03-06T00:00:00"/>
    <d v="2026-06-04T00:00:00"/>
    <n v="90"/>
    <n v="48516.89"/>
    <n v="0"/>
    <n v="48516.89"/>
    <m/>
    <s v="Pending"/>
    <s v="Credit Card"/>
    <m/>
    <m/>
    <x v="2"/>
    <s v="No"/>
    <n v="0"/>
    <s v="No"/>
    <n v="0"/>
  </r>
  <r>
    <s v="AP-0320"/>
    <s v="VND-018"/>
    <s v="BuildFast Materials"/>
    <s v="Materials"/>
    <s v="West"/>
    <s v="Sofia Reyes"/>
    <d v="2025-06-16T00:00:00"/>
    <d v="2025-07-16T00:00:00"/>
    <n v="30"/>
    <n v="23661.8"/>
    <n v="23661.8"/>
    <n v="0"/>
    <d v="2025-07-22T00:00:00"/>
    <s v="Paid"/>
    <s v="Credit Card"/>
    <n v="36"/>
    <n v="-6"/>
    <x v="1"/>
    <s v="No"/>
    <n v="0"/>
    <s v="No"/>
    <n v="0"/>
  </r>
  <r>
    <s v="AP-0321"/>
    <s v="VND-004"/>
    <s v="BuildRight Materials"/>
    <s v="Materials"/>
    <s v="North"/>
    <s v="Laura Chen"/>
    <d v="2025-06-14T00:00:00"/>
    <d v="2025-08-13T00:00:00"/>
    <n v="60"/>
    <n v="37135.279999999999"/>
    <n v="12869.32"/>
    <n v="24265.96"/>
    <d v="2025-08-27T00:00:00"/>
    <s v="Partial"/>
    <s v="Wire"/>
    <n v="74"/>
    <n v="-14"/>
    <x v="1"/>
    <s v="Yes"/>
    <n v="0.01"/>
    <s v="No"/>
    <n v="0"/>
  </r>
  <r>
    <s v="AP-0322"/>
    <s v="VND-020"/>
    <s v="TrustBuild Facilities"/>
    <s v="Facilities"/>
    <s v="West"/>
    <s v="Sofia Reyes"/>
    <d v="2026-03-21T00:00:00"/>
    <d v="2026-04-20T00:00:00"/>
    <n v="30"/>
    <n v="7184.42"/>
    <n v="0"/>
    <n v="7184.42"/>
    <m/>
    <s v="Pending"/>
    <s v="Credit Card"/>
    <m/>
    <m/>
    <x v="2"/>
    <s v="Yes"/>
    <n v="0.01"/>
    <s v="No"/>
    <n v="0"/>
  </r>
  <r>
    <s v="AP-0323"/>
    <s v="VND-023"/>
    <s v="CoolTech Systems"/>
    <s v="IT"/>
    <s v="Central"/>
    <s v="Ana Torres"/>
    <d v="2025-11-01T00:00:00"/>
    <d v="2025-12-16T00:00:00"/>
    <n v="45"/>
    <n v="22816.12"/>
    <n v="22816.12"/>
    <n v="0"/>
    <d v="2025-12-16T00:00:00"/>
    <s v="Paid"/>
    <s v="Check"/>
    <n v="45"/>
    <n v="0"/>
    <x v="0"/>
    <s v="Yes"/>
    <n v="1.4999999999999999E-2"/>
    <s v="No"/>
    <n v="0"/>
  </r>
  <r>
    <s v="AP-0324"/>
    <s v="VND-016"/>
    <s v="CleanWater Utilities"/>
    <s v="Utilities"/>
    <s v="South"/>
    <s v="Sofia Reyes"/>
    <d v="2026-03-14T00:00:00"/>
    <d v="2026-03-29T00:00:00"/>
    <n v="15"/>
    <n v="1770.61"/>
    <n v="1770.61"/>
    <n v="0"/>
    <d v="2026-03-26T00:00:00"/>
    <s v="Paid"/>
    <s v="Check"/>
    <n v="12"/>
    <n v="3"/>
    <x v="0"/>
    <s v="No"/>
    <n v="0"/>
    <s v="No"/>
    <n v="0"/>
  </r>
  <r>
    <s v="AP-0325"/>
    <s v="VND-007"/>
    <s v="ProStaff Services"/>
    <s v="Services"/>
    <s v="South"/>
    <s v="Laura Chen"/>
    <d v="2025-04-29T00:00:00"/>
    <d v="2025-07-28T00:00:00"/>
    <n v="90"/>
    <n v="14409.08"/>
    <n v="14409.08"/>
    <n v="0"/>
    <d v="2025-07-28T00:00:00"/>
    <s v="Paid"/>
    <s v="ACH"/>
    <n v="90"/>
    <n v="0"/>
    <x v="0"/>
    <s v="Yes"/>
    <n v="5.0000000000000001E-3"/>
    <s v="No"/>
    <n v="0"/>
  </r>
  <r>
    <s v="AP-0326"/>
    <s v="VND-022"/>
    <s v="Apex Consulting"/>
    <s v="Services"/>
    <s v="East"/>
    <s v="Sofia Reyes"/>
    <d v="2026-01-15T00:00:00"/>
    <d v="2026-02-14T00:00:00"/>
    <n v="30"/>
    <n v="35763.230000000003"/>
    <n v="35763.230000000003"/>
    <n v="0"/>
    <d v="2026-02-14T00:00:00"/>
    <s v="Paid"/>
    <s v="Credit Card"/>
    <n v="30"/>
    <n v="0"/>
    <x v="0"/>
    <s v="Yes"/>
    <n v="0.01"/>
    <s v="No"/>
    <n v="0"/>
  </r>
  <r>
    <s v="AP-0327"/>
    <s v="VND-008"/>
    <s v="GreenEnergy Corp."/>
    <s v="Utilities"/>
    <s v="East"/>
    <s v="Ana Torres"/>
    <d v="2025-04-10T00:00:00"/>
    <d v="2025-05-10T00:00:00"/>
    <n v="30"/>
    <n v="1742.76"/>
    <n v="1742.76"/>
    <n v="0"/>
    <d v="2025-05-18T00:00:00"/>
    <s v="Paid"/>
    <s v="ACH"/>
    <n v="38"/>
    <n v="-8"/>
    <x v="1"/>
    <s v="Yes"/>
    <n v="0.01"/>
    <s v="No"/>
    <n v="0"/>
  </r>
  <r>
    <s v="AP-0328"/>
    <s v="VND-025"/>
    <s v="RapidShip Co."/>
    <s v="Logistics"/>
    <s v="Central"/>
    <s v="Marco Diaz"/>
    <d v="2026-03-05T00:00:00"/>
    <d v="2026-05-04T00:00:00"/>
    <n v="60"/>
    <n v="19346.93"/>
    <n v="0"/>
    <n v="19346.93"/>
    <m/>
    <s v="Overdue"/>
    <s v="ACH"/>
    <m/>
    <n v="-27"/>
    <x v="1"/>
    <s v="Yes"/>
    <n v="0.01"/>
    <s v="No"/>
    <n v="0"/>
  </r>
  <r>
    <s v="AP-0329"/>
    <s v="VND-008"/>
    <s v="GreenEnergy Corp."/>
    <s v="Utilities"/>
    <s v="West"/>
    <s v="Laura Chen"/>
    <d v="2025-02-05T00:00:00"/>
    <d v="2025-04-06T00:00:00"/>
    <n v="60"/>
    <n v="7780.47"/>
    <n v="4969.91"/>
    <n v="2810.56"/>
    <d v="2025-04-20T00:00:00"/>
    <s v="Partial"/>
    <s v="ACH"/>
    <n v="74"/>
    <n v="-14"/>
    <x v="1"/>
    <s v="No"/>
    <n v="0"/>
    <s v="No"/>
    <n v="0"/>
  </r>
  <r>
    <s v="AP-0330"/>
    <s v="VND-005"/>
    <s v="CloudSys Inc."/>
    <s v="IT"/>
    <s v="North"/>
    <s v="Pedro Alvarez"/>
    <d v="2025-08-05T00:00:00"/>
    <d v="2025-09-04T00:00:00"/>
    <n v="30"/>
    <n v="65634.55"/>
    <n v="65634.55"/>
    <n v="0"/>
    <d v="2025-09-12T00:00:00"/>
    <s v="Paid"/>
    <s v="Wire"/>
    <n v="38"/>
    <n v="-8"/>
    <x v="1"/>
    <s v="Yes"/>
    <n v="0.01"/>
    <s v="No"/>
    <n v="0"/>
  </r>
  <r>
    <s v="AP-0331"/>
    <s v="VND-021"/>
    <s v="PrimePack Logistics"/>
    <s v="Logistics"/>
    <s v="South"/>
    <s v="Ana Torres"/>
    <d v="2025-03-10T00:00:00"/>
    <d v="2025-05-09T00:00:00"/>
    <n v="60"/>
    <n v="2653.52"/>
    <n v="2653.52"/>
    <n v="0"/>
    <d v="2025-05-09T00:00:00"/>
    <s v="Paid"/>
    <s v="Check"/>
    <n v="60"/>
    <n v="0"/>
    <x v="0"/>
    <s v="Yes"/>
    <n v="0.01"/>
    <s v="No"/>
    <n v="0"/>
  </r>
  <r>
    <s v="AP-0332"/>
    <s v="VND-009"/>
    <s v="MetalWorks Ltd."/>
    <s v="Materials"/>
    <s v="Central"/>
    <s v="Pedro Alvarez"/>
    <d v="2025-04-26T00:00:00"/>
    <d v="2025-06-25T00:00:00"/>
    <n v="60"/>
    <n v="21893.24"/>
    <n v="21893.24"/>
    <n v="0"/>
    <d v="2025-06-25T00:00:00"/>
    <s v="Paid"/>
    <s v="ACH"/>
    <n v="60"/>
    <n v="0"/>
    <x v="0"/>
    <s v="Yes"/>
    <n v="0.01"/>
    <s v="No"/>
    <n v="0"/>
  </r>
  <r>
    <s v="AP-0333"/>
    <s v="VND-004"/>
    <s v="BuildRight Materials"/>
    <s v="Materials"/>
    <s v="Central"/>
    <s v="Sofia Reyes"/>
    <d v="2026-02-25T00:00:00"/>
    <d v="2026-04-26T00:00:00"/>
    <n v="60"/>
    <n v="14678.56"/>
    <n v="14678.56"/>
    <n v="0"/>
    <d v="2026-04-08T00:00:00"/>
    <s v="Paid"/>
    <s v="Check"/>
    <n v="42"/>
    <n v="18"/>
    <x v="0"/>
    <s v="Yes"/>
    <n v="0.01"/>
    <s v="No"/>
    <n v="0"/>
  </r>
  <r>
    <s v="AP-0334"/>
    <s v="VND-006"/>
    <s v="PowerGrid Utilities"/>
    <s v="Utilities"/>
    <s v="East"/>
    <s v="Pedro Alvarez"/>
    <d v="2025-02-09T00:00:00"/>
    <d v="2025-04-10T00:00:00"/>
    <n v="60"/>
    <n v="6238.99"/>
    <n v="6238.99"/>
    <n v="0"/>
    <d v="2025-04-18T00:00:00"/>
    <s v="Paid"/>
    <s v="Wire"/>
    <n v="68"/>
    <n v="-8"/>
    <x v="1"/>
    <s v="No"/>
    <n v="0"/>
    <s v="No"/>
    <n v="0"/>
  </r>
  <r>
    <s v="AP-0335"/>
    <s v="VND-009"/>
    <s v="MetalWorks Ltd."/>
    <s v="Materials"/>
    <s v="East"/>
    <s v="Sofia Reyes"/>
    <d v="2025-11-15T00:00:00"/>
    <d v="2025-12-30T00:00:00"/>
    <n v="45"/>
    <n v="15456.64"/>
    <n v="15456.64"/>
    <n v="0"/>
    <d v="2026-01-01T00:00:00"/>
    <s v="Paid"/>
    <s v="Check"/>
    <n v="47"/>
    <n v="-2"/>
    <x v="1"/>
    <s v="Yes"/>
    <n v="1.4999999999999999E-2"/>
    <s v="No"/>
    <n v="0"/>
  </r>
  <r>
    <s v="AP-0336"/>
    <s v="VND-004"/>
    <s v="BuildRight Materials"/>
    <s v="Materials"/>
    <s v="South"/>
    <s v="Marco Diaz"/>
    <d v="2025-11-25T00:00:00"/>
    <d v="2026-02-23T00:00:00"/>
    <n v="90"/>
    <n v="14932.16"/>
    <n v="14932.16"/>
    <n v="0"/>
    <d v="2026-02-25T00:00:00"/>
    <s v="Paid"/>
    <s v="Check"/>
    <n v="92"/>
    <n v="-2"/>
    <x v="1"/>
    <s v="Yes"/>
    <n v="5.0000000000000001E-3"/>
    <s v="No"/>
    <n v="0"/>
  </r>
  <r>
    <s v="AP-0337"/>
    <s v="VND-014"/>
    <s v="NetConnect Systems"/>
    <s v="IT"/>
    <s v="West"/>
    <s v="Ana Torres"/>
    <d v="2025-06-12T00:00:00"/>
    <d v="2025-06-27T00:00:00"/>
    <n v="15"/>
    <n v="9921.27"/>
    <n v="9921.27"/>
    <n v="0"/>
    <d v="2025-07-02T00:00:00"/>
    <s v="Paid"/>
    <s v="Check"/>
    <n v="20"/>
    <n v="-5"/>
    <x v="1"/>
    <s v="No"/>
    <n v="0"/>
    <s v="No"/>
    <n v="0"/>
  </r>
  <r>
    <s v="AP-0338"/>
    <s v="VND-025"/>
    <s v="RapidShip Co."/>
    <s v="Logistics"/>
    <s v="Central"/>
    <s v="Ana Torres"/>
    <d v="2025-07-17T00:00:00"/>
    <d v="2025-08-16T00:00:00"/>
    <n v="30"/>
    <n v="17628.43"/>
    <n v="17628.43"/>
    <n v="0"/>
    <d v="2025-08-18T00:00:00"/>
    <s v="Paid"/>
    <s v="ACH"/>
    <n v="32"/>
    <n v="-2"/>
    <x v="1"/>
    <s v="Yes"/>
    <n v="0.01"/>
    <s v="No"/>
    <n v="0"/>
  </r>
  <r>
    <s v="AP-0339"/>
    <s v="VND-012"/>
    <s v="FacilityPro Services"/>
    <s v="Facilities"/>
    <s v="South"/>
    <s v="Laura Chen"/>
    <d v="2026-02-11T00:00:00"/>
    <d v="2026-05-12T00:00:00"/>
    <n v="90"/>
    <n v="22968.52"/>
    <n v="0"/>
    <n v="22968.52"/>
    <m/>
    <s v="Pending"/>
    <s v="Check"/>
    <m/>
    <m/>
    <x v="2"/>
    <s v="Yes"/>
    <n v="5.0000000000000001E-3"/>
    <s v="No"/>
    <n v="0"/>
  </r>
  <r>
    <s v="AP-0340"/>
    <s v="VND-020"/>
    <s v="TrustBuild Facilities"/>
    <s v="Facilities"/>
    <s v="West"/>
    <s v="Marco Diaz"/>
    <d v="2025-12-19T00:00:00"/>
    <d v="2026-02-17T00:00:00"/>
    <n v="60"/>
    <n v="7395.95"/>
    <n v="7395.95"/>
    <n v="0"/>
    <d v="2026-02-17T00:00:00"/>
    <s v="Paid"/>
    <s v="Credit Card"/>
    <n v="60"/>
    <n v="0"/>
    <x v="0"/>
    <s v="No"/>
    <n v="0"/>
    <s v="No"/>
    <n v="0"/>
  </r>
  <r>
    <s v="AP-0341"/>
    <s v="VND-023"/>
    <s v="CoolTech Systems"/>
    <s v="IT"/>
    <s v="North"/>
    <s v="Laura Chen"/>
    <d v="2025-02-20T00:00:00"/>
    <d v="2025-04-21T00:00:00"/>
    <n v="60"/>
    <n v="17218.060000000001"/>
    <n v="0"/>
    <n v="17218.060000000001"/>
    <m/>
    <s v="Overdue"/>
    <s v="ACH"/>
    <m/>
    <n v="-405"/>
    <x v="1"/>
    <s v="Yes"/>
    <n v="0.01"/>
    <s v="No"/>
    <n v="0"/>
  </r>
  <r>
    <s v="AP-0342"/>
    <s v="VND-008"/>
    <s v="GreenEnergy Corp."/>
    <s v="Utilities"/>
    <s v="South"/>
    <s v="Marco Diaz"/>
    <d v="2025-01-21T00:00:00"/>
    <d v="2025-03-22T00:00:00"/>
    <n v="60"/>
    <n v="13037.13"/>
    <n v="13037.13"/>
    <n v="0"/>
    <d v="2025-03-18T00:00:00"/>
    <s v="Paid"/>
    <s v="Check"/>
    <n v="56"/>
    <n v="4"/>
    <x v="0"/>
    <s v="No"/>
    <n v="0"/>
    <s v="No"/>
    <n v="0"/>
  </r>
  <r>
    <s v="AP-0343"/>
    <s v="VND-006"/>
    <s v="PowerGrid Utilities"/>
    <s v="Utilities"/>
    <s v="Central"/>
    <s v="Sofia Reyes"/>
    <d v="2025-11-09T00:00:00"/>
    <d v="2025-12-24T00:00:00"/>
    <n v="45"/>
    <n v="10834.74"/>
    <n v="10834.74"/>
    <n v="0"/>
    <d v="2025-12-24T00:00:00"/>
    <s v="Paid"/>
    <s v="Wire"/>
    <n v="45"/>
    <n v="0"/>
    <x v="0"/>
    <s v="No"/>
    <n v="0"/>
    <s v="No"/>
    <n v="0"/>
  </r>
  <r>
    <s v="AP-0344"/>
    <s v="VND-013"/>
    <s v="SafetyFirst Supplies"/>
    <s v="Materials"/>
    <s v="East"/>
    <s v="Pedro Alvarez"/>
    <d v="2026-04-23T00:00:00"/>
    <d v="2026-05-23T00:00:00"/>
    <n v="30"/>
    <n v="16502.96"/>
    <n v="16502.96"/>
    <n v="0"/>
    <d v="2026-05-31T00:00:00"/>
    <s v="Paid"/>
    <s v="Check"/>
    <n v="38"/>
    <n v="-8"/>
    <x v="1"/>
    <s v="Yes"/>
    <n v="0.01"/>
    <s v="No"/>
    <n v="0"/>
  </r>
  <r>
    <s v="AP-0345"/>
    <s v="VND-012"/>
    <s v="FacilityPro Services"/>
    <s v="Facilities"/>
    <s v="Central"/>
    <s v="Ana Torres"/>
    <d v="2025-04-21T00:00:00"/>
    <d v="2025-06-05T00:00:00"/>
    <n v="45"/>
    <n v="17897.37"/>
    <n v="17897.37"/>
    <n v="0"/>
    <d v="2025-06-06T00:00:00"/>
    <s v="Paid"/>
    <s v="Check"/>
    <n v="46"/>
    <n v="-1"/>
    <x v="1"/>
    <s v="Yes"/>
    <n v="1.4999999999999999E-2"/>
    <s v="No"/>
    <n v="0"/>
  </r>
  <r>
    <s v="AP-0346"/>
    <s v="VND-011"/>
    <s v="QuickFreight Inc."/>
    <s v="Logistics"/>
    <s v="East"/>
    <s v="Laura Chen"/>
    <d v="2025-06-03T00:00:00"/>
    <d v="2025-07-03T00:00:00"/>
    <n v="30"/>
    <n v="10828.58"/>
    <n v="10828.58"/>
    <n v="0"/>
    <d v="2025-07-12T00:00:00"/>
    <s v="Paid"/>
    <s v="Check"/>
    <n v="39"/>
    <n v="-9"/>
    <x v="1"/>
    <s v="Yes"/>
    <n v="0.01"/>
    <s v="No"/>
    <n v="0"/>
  </r>
  <r>
    <s v="AP-0347"/>
    <s v="VND-013"/>
    <s v="SafetyFirst Supplies"/>
    <s v="Materials"/>
    <s v="East"/>
    <s v="Marco Diaz"/>
    <d v="2025-10-30T00:00:00"/>
    <d v="2026-01-28T00:00:00"/>
    <n v="90"/>
    <n v="14452.46"/>
    <n v="14452.46"/>
    <n v="0"/>
    <d v="2026-01-17T00:00:00"/>
    <s v="Paid"/>
    <s v="ACH"/>
    <n v="79"/>
    <n v="11"/>
    <x v="0"/>
    <s v="Yes"/>
    <n v="5.0000000000000001E-3"/>
    <s v="No"/>
    <n v="0"/>
  </r>
  <r>
    <s v="AP-0348"/>
    <s v="VND-002"/>
    <s v="TechCore Solutions"/>
    <s v="IT"/>
    <s v="Central"/>
    <s v="Ana Torres"/>
    <d v="2025-08-16T00:00:00"/>
    <d v="2025-10-15T00:00:00"/>
    <n v="60"/>
    <n v="56473.86"/>
    <n v="56473.86"/>
    <n v="0"/>
    <d v="2025-10-22T00:00:00"/>
    <s v="Paid"/>
    <s v="Wire"/>
    <n v="67"/>
    <n v="-7"/>
    <x v="1"/>
    <s v="Yes"/>
    <n v="0.01"/>
    <s v="No"/>
    <n v="0"/>
  </r>
  <r>
    <s v="AP-0349"/>
    <s v="VND-010"/>
    <s v="DataBridge IT"/>
    <s v="IT"/>
    <s v="South"/>
    <s v="Ana Torres"/>
    <d v="2025-04-10T00:00:00"/>
    <d v="2025-05-25T00:00:00"/>
    <n v="45"/>
    <n v="40308.57"/>
    <n v="40308.57"/>
    <n v="0"/>
    <d v="2025-05-23T00:00:00"/>
    <s v="Paid"/>
    <s v="Wire"/>
    <n v="43"/>
    <n v="2"/>
    <x v="0"/>
    <s v="No"/>
    <n v="0"/>
    <s v="No"/>
    <n v="0"/>
  </r>
  <r>
    <s v="AP-0350"/>
    <s v="VND-018"/>
    <s v="BuildFast Materials"/>
    <s v="Materials"/>
    <s v="South"/>
    <s v="Laura Chen"/>
    <d v="2025-12-30T00:00:00"/>
    <d v="2026-01-29T00:00:00"/>
    <n v="30"/>
    <n v="12719.74"/>
    <n v="12719.74"/>
    <n v="0"/>
    <d v="2026-02-03T00:00:00"/>
    <s v="Paid"/>
    <s v="ACH"/>
    <n v="35"/>
    <n v="-5"/>
    <x v="1"/>
    <s v="No"/>
    <n v="0"/>
    <s v="No"/>
    <n v="0"/>
  </r>
  <r>
    <s v="AP-0351"/>
    <s v="VND-019"/>
    <s v="SkyNet IT Solutions"/>
    <s v="IT"/>
    <s v="East"/>
    <s v="Pedro Alvarez"/>
    <d v="2025-02-24T00:00:00"/>
    <d v="2025-05-25T00:00:00"/>
    <n v="90"/>
    <n v="69979.5"/>
    <n v="0"/>
    <n v="69979.5"/>
    <m/>
    <s v="Overdue"/>
    <s v="ACH"/>
    <m/>
    <n v="-371"/>
    <x v="1"/>
    <s v="Yes"/>
    <n v="5.0000000000000001E-3"/>
    <s v="No"/>
    <n v="0"/>
  </r>
  <r>
    <s v="AP-0352"/>
    <s v="VND-003"/>
    <s v="FastShip Logistics"/>
    <s v="Logistics"/>
    <s v="West"/>
    <s v="Marco Diaz"/>
    <d v="2025-11-02T00:00:00"/>
    <d v="2026-01-01T00:00:00"/>
    <n v="60"/>
    <n v="8849.0400000000009"/>
    <n v="8849.0400000000009"/>
    <n v="0"/>
    <d v="2025-12-27T00:00:00"/>
    <s v="Paid"/>
    <s v="ACH"/>
    <n v="55"/>
    <n v="5"/>
    <x v="0"/>
    <s v="No"/>
    <n v="0"/>
    <s v="No"/>
    <n v="0"/>
  </r>
  <r>
    <s v="AP-0353"/>
    <s v="VND-007"/>
    <s v="ProStaff Services"/>
    <s v="Services"/>
    <s v="East"/>
    <s v="Pedro Alvarez"/>
    <d v="2025-11-20T00:00:00"/>
    <d v="2025-12-20T00:00:00"/>
    <n v="30"/>
    <n v="34908.58"/>
    <n v="34908.58"/>
    <n v="0"/>
    <d v="2025-12-09T00:00:00"/>
    <s v="Paid"/>
    <s v="Credit Card"/>
    <n v="19"/>
    <n v="11"/>
    <x v="0"/>
    <s v="Yes"/>
    <n v="0.01"/>
    <s v="No"/>
    <n v="0"/>
  </r>
  <r>
    <s v="AP-0354"/>
    <s v="VND-011"/>
    <s v="QuickFreight Inc."/>
    <s v="Logistics"/>
    <s v="North"/>
    <s v="Sofia Reyes"/>
    <d v="2025-08-03T00:00:00"/>
    <d v="2025-09-17T00:00:00"/>
    <n v="45"/>
    <n v="15462.67"/>
    <n v="15462.67"/>
    <n v="0"/>
    <d v="2025-10-07T00:00:00"/>
    <s v="Paid"/>
    <s v="Credit Card"/>
    <n v="65"/>
    <n v="-20"/>
    <x v="1"/>
    <s v="Yes"/>
    <n v="1.4999999999999999E-2"/>
    <s v="No"/>
    <n v="0"/>
  </r>
  <r>
    <s v="AP-0355"/>
    <s v="VND-016"/>
    <s v="CleanWater Utilities"/>
    <s v="Utilities"/>
    <s v="North"/>
    <s v="Marco Diaz"/>
    <d v="2026-02-18T00:00:00"/>
    <d v="2026-04-19T00:00:00"/>
    <n v="60"/>
    <n v="6720.87"/>
    <n v="6720.87"/>
    <n v="0"/>
    <d v="2026-04-17T00:00:00"/>
    <s v="Paid"/>
    <s v="Credit Card"/>
    <n v="58"/>
    <n v="2"/>
    <x v="0"/>
    <s v="Yes"/>
    <n v="0.01"/>
    <s v="No"/>
    <n v="0"/>
  </r>
  <r>
    <s v="AP-0356"/>
    <s v="VND-011"/>
    <s v="QuickFreight Inc."/>
    <s v="Logistics"/>
    <s v="Central"/>
    <s v="Marco Diaz"/>
    <d v="2025-09-12T00:00:00"/>
    <d v="2025-09-27T00:00:00"/>
    <n v="15"/>
    <n v="5299.05"/>
    <n v="5299.05"/>
    <n v="0"/>
    <d v="2025-09-13T00:00:00"/>
    <s v="Paid"/>
    <s v="ACH"/>
    <n v="1"/>
    <n v="14"/>
    <x v="0"/>
    <s v="No"/>
    <n v="0"/>
    <s v="No"/>
    <n v="0"/>
  </r>
  <r>
    <s v="AP-0357"/>
    <s v="VND-004"/>
    <s v="BuildRight Materials"/>
    <s v="Materials"/>
    <s v="West"/>
    <s v="Ana Torres"/>
    <d v="2025-03-08T00:00:00"/>
    <d v="2025-04-07T00:00:00"/>
    <n v="30"/>
    <n v="41544.5"/>
    <n v="41544.5"/>
    <n v="0"/>
    <d v="2025-04-06T00:00:00"/>
    <s v="Paid"/>
    <s v="Check"/>
    <n v="29"/>
    <n v="1"/>
    <x v="0"/>
    <s v="Yes"/>
    <n v="0.01"/>
    <s v="No"/>
    <n v="0"/>
  </r>
  <r>
    <s v="AP-0358"/>
    <s v="VND-011"/>
    <s v="QuickFreight Inc."/>
    <s v="Logistics"/>
    <s v="West"/>
    <s v="Marco Diaz"/>
    <d v="2026-01-03T00:00:00"/>
    <d v="2026-04-03T00:00:00"/>
    <n v="90"/>
    <n v="15252.2"/>
    <n v="0"/>
    <n v="15252.2"/>
    <m/>
    <s v="Overdue"/>
    <s v="Check"/>
    <m/>
    <n v="-58"/>
    <x v="1"/>
    <s v="Yes"/>
    <n v="5.0000000000000001E-3"/>
    <s v="No"/>
    <n v="0"/>
  </r>
  <r>
    <s v="AP-0359"/>
    <s v="VND-001"/>
    <s v="Acme Supplies Co."/>
    <s v="Materials"/>
    <s v="South"/>
    <s v="Marco Diaz"/>
    <d v="2025-01-23T00:00:00"/>
    <d v="2025-02-22T00:00:00"/>
    <n v="30"/>
    <n v="30305.26"/>
    <n v="30305.26"/>
    <n v="0"/>
    <d v="2025-02-12T00:00:00"/>
    <s v="Paid"/>
    <s v="Wire"/>
    <n v="20"/>
    <n v="10"/>
    <x v="0"/>
    <s v="Yes"/>
    <n v="0.01"/>
    <s v="No"/>
    <n v="0"/>
  </r>
  <r>
    <s v="AP-0360"/>
    <s v="VND-021"/>
    <s v="PrimePack Logistics"/>
    <s v="Logistics"/>
    <s v="North"/>
    <s v="Pedro Alvarez"/>
    <d v="2025-02-19T00:00:00"/>
    <d v="2025-03-06T00:00:00"/>
    <n v="15"/>
    <n v="13577.43"/>
    <n v="13577.43"/>
    <n v="0"/>
    <d v="2025-03-03T00:00:00"/>
    <s v="Paid"/>
    <s v="Check"/>
    <n v="12"/>
    <n v="3"/>
    <x v="0"/>
    <s v="Yes"/>
    <n v="0.02"/>
    <s v="No"/>
    <n v="0"/>
  </r>
  <r>
    <s v="AP-0361"/>
    <s v="VND-013"/>
    <s v="SafetyFirst Supplies"/>
    <s v="Materials"/>
    <s v="North"/>
    <s v="Ana Torres"/>
    <d v="2025-06-06T00:00:00"/>
    <d v="2025-09-04T00:00:00"/>
    <n v="90"/>
    <n v="11863.76"/>
    <n v="11863.76"/>
    <n v="0"/>
    <d v="2025-08-28T00:00:00"/>
    <s v="Paid"/>
    <s v="Check"/>
    <n v="83"/>
    <n v="7"/>
    <x v="0"/>
    <s v="Yes"/>
    <n v="5.0000000000000001E-3"/>
    <s v="No"/>
    <n v="0"/>
  </r>
  <r>
    <s v="AP-0362"/>
    <s v="VND-014"/>
    <s v="NetConnect Systems"/>
    <s v="IT"/>
    <s v="North"/>
    <s v="Ana Torres"/>
    <d v="2026-03-05T00:00:00"/>
    <d v="2026-04-04T00:00:00"/>
    <n v="30"/>
    <n v="67298.95"/>
    <n v="0"/>
    <n v="67298.95"/>
    <m/>
    <s v="Pending"/>
    <s v="Check"/>
    <m/>
    <m/>
    <x v="2"/>
    <s v="Yes"/>
    <n v="0.01"/>
    <s v="No"/>
    <n v="0"/>
  </r>
  <r>
    <s v="AP-0363"/>
    <s v="VND-004"/>
    <s v="BuildRight Materials"/>
    <s v="Materials"/>
    <s v="North"/>
    <s v="Pedro Alvarez"/>
    <d v="2025-09-27T00:00:00"/>
    <d v="2025-10-27T00:00:00"/>
    <n v="30"/>
    <n v="41911.94"/>
    <n v="41911.94"/>
    <n v="0"/>
    <d v="2025-10-24T00:00:00"/>
    <s v="Paid"/>
    <s v="Wire"/>
    <n v="27"/>
    <n v="3"/>
    <x v="0"/>
    <s v="No"/>
    <n v="0"/>
    <s v="No"/>
    <n v="0"/>
  </r>
  <r>
    <s v="AP-0364"/>
    <s v="VND-018"/>
    <s v="BuildFast Materials"/>
    <s v="Materials"/>
    <s v="West"/>
    <s v="Marco Diaz"/>
    <d v="2025-08-29T00:00:00"/>
    <d v="2025-10-28T00:00:00"/>
    <n v="60"/>
    <n v="2131.42"/>
    <n v="0"/>
    <n v="2131.42"/>
    <m/>
    <s v="Overdue"/>
    <s v="Credit Card"/>
    <m/>
    <n v="-215"/>
    <x v="1"/>
    <s v="Yes"/>
    <n v="0.01"/>
    <s v="No"/>
    <n v="0"/>
  </r>
  <r>
    <s v="AP-0365"/>
    <s v="VND-019"/>
    <s v="SkyNet IT Solutions"/>
    <s v="IT"/>
    <s v="West"/>
    <s v="Marco Diaz"/>
    <d v="2025-04-14T00:00:00"/>
    <d v="2025-05-14T00:00:00"/>
    <n v="30"/>
    <n v="72858.45"/>
    <n v="72858.45"/>
    <n v="0"/>
    <d v="2025-05-16T00:00:00"/>
    <s v="Paid"/>
    <s v="ACH"/>
    <n v="32"/>
    <n v="-2"/>
    <x v="1"/>
    <s v="Yes"/>
    <n v="0.01"/>
    <s v="No"/>
    <n v="0"/>
  </r>
  <r>
    <s v="AP-0366"/>
    <s v="VND-010"/>
    <s v="DataBridge IT"/>
    <s v="IT"/>
    <s v="East"/>
    <s v="Pedro Alvarez"/>
    <d v="2025-06-28T00:00:00"/>
    <d v="2025-07-28T00:00:00"/>
    <n v="30"/>
    <n v="70560.53"/>
    <n v="70560.53"/>
    <n v="0"/>
    <d v="2025-07-25T00:00:00"/>
    <s v="Paid"/>
    <s v="ACH"/>
    <n v="27"/>
    <n v="3"/>
    <x v="0"/>
    <s v="No"/>
    <n v="0"/>
    <s v="No"/>
    <n v="0"/>
  </r>
  <r>
    <s v="AP-0367"/>
    <s v="VND-004"/>
    <s v="BuildRight Materials"/>
    <s v="Materials"/>
    <s v="North"/>
    <s v="Sofia Reyes"/>
    <d v="2025-06-24T00:00:00"/>
    <d v="2025-07-24T00:00:00"/>
    <n v="30"/>
    <n v="17775.72"/>
    <n v="0"/>
    <n v="17775.72"/>
    <m/>
    <s v="Overdue"/>
    <s v="ACH"/>
    <m/>
    <n v="-311"/>
    <x v="1"/>
    <s v="No"/>
    <n v="0"/>
    <s v="No"/>
    <n v="0"/>
  </r>
  <r>
    <s v="AP-0368"/>
    <s v="VND-009"/>
    <s v="MetalWorks Ltd."/>
    <s v="Materials"/>
    <s v="North"/>
    <s v="Laura Chen"/>
    <d v="2025-04-27T00:00:00"/>
    <d v="2025-05-27T00:00:00"/>
    <n v="30"/>
    <n v="21237.32"/>
    <n v="21237.32"/>
    <n v="0"/>
    <d v="2025-05-20T00:00:00"/>
    <s v="Paid"/>
    <s v="Check"/>
    <n v="23"/>
    <n v="7"/>
    <x v="0"/>
    <s v="No"/>
    <n v="0"/>
    <s v="No"/>
    <n v="0"/>
  </r>
  <r>
    <s v="AP-0369"/>
    <s v="VND-013"/>
    <s v="SafetyFirst Supplies"/>
    <s v="Materials"/>
    <s v="West"/>
    <s v="Pedro Alvarez"/>
    <d v="2025-05-16T00:00:00"/>
    <d v="2025-06-15T00:00:00"/>
    <n v="30"/>
    <n v="35416.15"/>
    <n v="0"/>
    <n v="35416.15"/>
    <m/>
    <s v="Overdue"/>
    <s v="Wire"/>
    <m/>
    <n v="-350"/>
    <x v="1"/>
    <s v="Yes"/>
    <n v="0.01"/>
    <s v="No"/>
    <n v="0"/>
  </r>
  <r>
    <s v="AP-0370"/>
    <s v="VND-006"/>
    <s v="PowerGrid Utilities"/>
    <s v="Utilities"/>
    <s v="North"/>
    <s v="Pedro Alvarez"/>
    <d v="2025-07-05T00:00:00"/>
    <d v="2025-10-03T00:00:00"/>
    <n v="90"/>
    <n v="9364.19"/>
    <n v="9364.19"/>
    <n v="0"/>
    <d v="2025-10-13T00:00:00"/>
    <s v="Paid"/>
    <s v="Credit Card"/>
    <n v="100"/>
    <n v="-10"/>
    <x v="1"/>
    <s v="No"/>
    <n v="0"/>
    <s v="No"/>
    <n v="0"/>
  </r>
  <r>
    <s v="AP-0371"/>
    <s v="VND-024"/>
    <s v="EliteFacilities Corp."/>
    <s v="Facilities"/>
    <s v="South"/>
    <s v="Pedro Alvarez"/>
    <d v="2026-02-26T00:00:00"/>
    <d v="2026-03-28T00:00:00"/>
    <n v="30"/>
    <n v="16542.7"/>
    <n v="16542.7"/>
    <n v="0"/>
    <d v="2026-03-16T00:00:00"/>
    <s v="Paid"/>
    <s v="Credit Card"/>
    <n v="18"/>
    <n v="12"/>
    <x v="0"/>
    <s v="Yes"/>
    <n v="0.01"/>
    <s v="No"/>
    <n v="0"/>
  </r>
  <r>
    <s v="AP-0372"/>
    <s v="VND-001"/>
    <s v="Acme Supplies Co."/>
    <s v="Materials"/>
    <s v="Central"/>
    <s v="Ana Torres"/>
    <d v="2025-04-08T00:00:00"/>
    <d v="2025-06-07T00:00:00"/>
    <n v="60"/>
    <n v="22776.7"/>
    <n v="22776.7"/>
    <n v="0"/>
    <d v="2025-06-02T00:00:00"/>
    <s v="Paid"/>
    <s v="Wire"/>
    <n v="55"/>
    <n v="5"/>
    <x v="0"/>
    <s v="No"/>
    <n v="0"/>
    <s v="No"/>
    <n v="0"/>
  </r>
  <r>
    <s v="AP-0373"/>
    <s v="VND-005"/>
    <s v="CloudSys Inc."/>
    <s v="IT"/>
    <s v="Central"/>
    <s v="Ana Torres"/>
    <d v="2025-06-10T00:00:00"/>
    <d v="2025-06-25T00:00:00"/>
    <n v="15"/>
    <n v="42917.57"/>
    <n v="42917.57"/>
    <n v="0"/>
    <d v="2025-06-16T00:00:00"/>
    <s v="Paid"/>
    <s v="ACH"/>
    <n v="6"/>
    <n v="9"/>
    <x v="0"/>
    <s v="Yes"/>
    <n v="0.02"/>
    <s v="No"/>
    <n v="0"/>
  </r>
  <r>
    <s v="AP-0374"/>
    <s v="VND-006"/>
    <s v="PowerGrid Utilities"/>
    <s v="Utilities"/>
    <s v="North"/>
    <s v="Pedro Alvarez"/>
    <d v="2025-12-05T00:00:00"/>
    <d v="2026-01-04T00:00:00"/>
    <n v="30"/>
    <n v="14567.1"/>
    <n v="14567.1"/>
    <n v="0"/>
    <d v="2025-12-30T00:00:00"/>
    <s v="Paid"/>
    <s v="Check"/>
    <n v="25"/>
    <n v="5"/>
    <x v="0"/>
    <s v="Yes"/>
    <n v="0.01"/>
    <s v="No"/>
    <n v="0"/>
  </r>
  <r>
    <s v="AP-0375"/>
    <s v="VND-008"/>
    <s v="GreenEnergy Corp."/>
    <s v="Utilities"/>
    <s v="North"/>
    <s v="Pedro Alvarez"/>
    <d v="2025-04-01T00:00:00"/>
    <d v="2025-06-30T00:00:00"/>
    <n v="90"/>
    <n v="12920.54"/>
    <n v="12920.54"/>
    <n v="0"/>
    <d v="2025-06-24T00:00:00"/>
    <s v="Paid"/>
    <s v="Credit Card"/>
    <n v="84"/>
    <n v="6"/>
    <x v="0"/>
    <s v="Yes"/>
    <n v="5.0000000000000001E-3"/>
    <s v="No"/>
    <n v="0"/>
  </r>
  <r>
    <s v="AP-0376"/>
    <s v="VND-016"/>
    <s v="CleanWater Utilities"/>
    <s v="Utilities"/>
    <s v="North"/>
    <s v="Sofia Reyes"/>
    <d v="2025-02-06T00:00:00"/>
    <d v="2025-04-07T00:00:00"/>
    <n v="60"/>
    <n v="8578.4"/>
    <n v="8578.4"/>
    <n v="0"/>
    <d v="2025-03-30T00:00:00"/>
    <s v="Paid"/>
    <s v="Credit Card"/>
    <n v="52"/>
    <n v="8"/>
    <x v="0"/>
    <s v="Yes"/>
    <n v="0.01"/>
    <s v="No"/>
    <n v="0"/>
  </r>
  <r>
    <s v="AP-0377"/>
    <s v="VND-010"/>
    <s v="DataBridge IT"/>
    <s v="IT"/>
    <s v="Central"/>
    <s v="Ana Torres"/>
    <d v="2025-12-16T00:00:00"/>
    <d v="2026-03-16T00:00:00"/>
    <n v="90"/>
    <n v="32250.69"/>
    <n v="32250.69"/>
    <n v="0"/>
    <d v="2026-03-10T00:00:00"/>
    <s v="Paid"/>
    <s v="Wire"/>
    <n v="84"/>
    <n v="6"/>
    <x v="0"/>
    <s v="Yes"/>
    <n v="5.0000000000000001E-3"/>
    <s v="No"/>
    <n v="0"/>
  </r>
  <r>
    <s v="AP-0378"/>
    <s v="VND-015"/>
    <s v="ExpressRoute Logistics"/>
    <s v="Logistics"/>
    <s v="East"/>
    <s v="Ana Torres"/>
    <d v="2026-04-09T00:00:00"/>
    <d v="2026-06-08T00:00:00"/>
    <n v="60"/>
    <n v="3166.44"/>
    <n v="0"/>
    <n v="3166.44"/>
    <m/>
    <s v="Pending"/>
    <s v="Credit Card"/>
    <m/>
    <m/>
    <x v="2"/>
    <s v="No"/>
    <n v="0"/>
    <s v="No"/>
    <n v="0"/>
  </r>
  <r>
    <s v="AP-0379"/>
    <s v="VND-021"/>
    <s v="PrimePack Logistics"/>
    <s v="Logistics"/>
    <s v="East"/>
    <s v="Ana Torres"/>
    <d v="2025-02-16T00:00:00"/>
    <d v="2025-03-18T00:00:00"/>
    <n v="30"/>
    <n v="18040.669999999998"/>
    <n v="12109.9"/>
    <n v="5930.77"/>
    <d v="2025-03-26T00:00:00"/>
    <s v="Partial"/>
    <s v="Check"/>
    <n v="38"/>
    <n v="-8"/>
    <x v="1"/>
    <s v="Yes"/>
    <n v="0.01"/>
    <s v="No"/>
    <n v="0"/>
  </r>
  <r>
    <s v="AP-0380"/>
    <s v="VND-004"/>
    <s v="BuildRight Materials"/>
    <s v="Materials"/>
    <s v="East"/>
    <s v="Ana Torres"/>
    <d v="2025-05-04T00:00:00"/>
    <d v="2025-06-03T00:00:00"/>
    <n v="30"/>
    <n v="46650.38"/>
    <n v="46650.38"/>
    <n v="0"/>
    <d v="2025-06-05T00:00:00"/>
    <s v="Paid"/>
    <s v="Wire"/>
    <n v="32"/>
    <n v="-2"/>
    <x v="1"/>
    <s v="Yes"/>
    <n v="0.01"/>
    <s v="No"/>
    <n v="0"/>
  </r>
  <r>
    <s v="AP-0381"/>
    <s v="VND-004"/>
    <s v="BuildRight Materials"/>
    <s v="Materials"/>
    <s v="West"/>
    <s v="Sofia Reyes"/>
    <d v="2026-04-14T00:00:00"/>
    <d v="2026-07-13T00:00:00"/>
    <n v="90"/>
    <n v="33605.919999999998"/>
    <n v="33605.919999999998"/>
    <n v="0"/>
    <d v="2026-05-31T00:00:00"/>
    <s v="Paid"/>
    <s v="ACH"/>
    <n v="47"/>
    <n v="43"/>
    <x v="0"/>
    <s v="No"/>
    <n v="0"/>
    <s v="No"/>
    <n v="0"/>
  </r>
  <r>
    <s v="AP-0382"/>
    <s v="VND-017"/>
    <s v="OfficePro Services"/>
    <s v="Services"/>
    <s v="North"/>
    <s v="Ana Torres"/>
    <d v="2025-07-01T00:00:00"/>
    <d v="2025-09-29T00:00:00"/>
    <n v="90"/>
    <n v="28597.26"/>
    <n v="10059.86"/>
    <n v="18537.400000000001"/>
    <d v="2025-10-15T00:00:00"/>
    <s v="Partial"/>
    <s v="Credit Card"/>
    <n v="106"/>
    <n v="-16"/>
    <x v="1"/>
    <s v="Yes"/>
    <n v="5.0000000000000001E-3"/>
    <s v="No"/>
    <n v="0"/>
  </r>
  <r>
    <s v="AP-0383"/>
    <s v="VND-020"/>
    <s v="TrustBuild Facilities"/>
    <s v="Facilities"/>
    <s v="Central"/>
    <s v="Laura Chen"/>
    <d v="2025-09-12T00:00:00"/>
    <d v="2025-11-11T00:00:00"/>
    <n v="60"/>
    <n v="11028.66"/>
    <n v="0"/>
    <n v="11028.66"/>
    <m/>
    <s v="Overdue"/>
    <s v="Credit Card"/>
    <m/>
    <n v="-201"/>
    <x v="1"/>
    <s v="No"/>
    <n v="0"/>
    <s v="No"/>
    <n v="0"/>
  </r>
  <r>
    <s v="AP-0384"/>
    <s v="VND-015"/>
    <s v="ExpressRoute Logistics"/>
    <s v="Logistics"/>
    <s v="South"/>
    <s v="Marco Diaz"/>
    <d v="2025-11-18T00:00:00"/>
    <d v="2026-01-02T00:00:00"/>
    <n v="45"/>
    <n v="14525.61"/>
    <n v="14525.61"/>
    <n v="0"/>
    <d v="2026-01-05T00:00:00"/>
    <s v="Paid"/>
    <s v="Credit Card"/>
    <n v="48"/>
    <n v="-3"/>
    <x v="1"/>
    <s v="No"/>
    <n v="0"/>
    <s v="No"/>
    <n v="0"/>
  </r>
  <r>
    <s v="AP-0385"/>
    <s v="VND-010"/>
    <s v="DataBridge IT"/>
    <s v="IT"/>
    <s v="East"/>
    <s v="Marco Diaz"/>
    <d v="2025-04-29T00:00:00"/>
    <d v="2025-06-28T00:00:00"/>
    <n v="60"/>
    <n v="62058.13"/>
    <n v="62058.13"/>
    <n v="0"/>
    <d v="2025-07-08T00:00:00"/>
    <s v="Paid"/>
    <s v="Wire"/>
    <n v="70"/>
    <n v="-10"/>
    <x v="1"/>
    <s v="Yes"/>
    <n v="0.01"/>
    <s v="No"/>
    <n v="0"/>
  </r>
  <r>
    <s v="AP-0386"/>
    <s v="VND-022"/>
    <s v="Apex Consulting"/>
    <s v="Services"/>
    <s v="West"/>
    <s v="Ana Torres"/>
    <d v="2025-01-14T00:00:00"/>
    <d v="2025-03-15T00:00:00"/>
    <n v="60"/>
    <n v="22341.01"/>
    <n v="22341.01"/>
    <n v="0"/>
    <d v="2025-03-13T00:00:00"/>
    <s v="Paid"/>
    <s v="Check"/>
    <n v="58"/>
    <n v="2"/>
    <x v="0"/>
    <s v="Yes"/>
    <n v="0.01"/>
    <s v="No"/>
    <n v="0"/>
  </r>
  <r>
    <s v="AP-0387"/>
    <s v="VND-025"/>
    <s v="RapidShip Co."/>
    <s v="Logistics"/>
    <s v="South"/>
    <s v="Laura Chen"/>
    <d v="2025-03-05T00:00:00"/>
    <d v="2025-04-04T00:00:00"/>
    <n v="30"/>
    <n v="14121.3"/>
    <n v="14121.3"/>
    <n v="0"/>
    <d v="2025-03-31T00:00:00"/>
    <s v="Paid"/>
    <s v="Check"/>
    <n v="26"/>
    <n v="4"/>
    <x v="0"/>
    <s v="Yes"/>
    <n v="0.01"/>
    <s v="No"/>
    <n v="0"/>
  </r>
  <r>
    <s v="AP-0388"/>
    <s v="VND-002"/>
    <s v="TechCore Solutions"/>
    <s v="IT"/>
    <s v="East"/>
    <s v="Pedro Alvarez"/>
    <d v="2026-02-03T00:00:00"/>
    <d v="2026-03-05T00:00:00"/>
    <n v="30"/>
    <n v="22819.66"/>
    <n v="10127.81"/>
    <n v="12691.85"/>
    <d v="2026-03-21T00:00:00"/>
    <s v="Partial"/>
    <s v="ACH"/>
    <n v="46"/>
    <n v="-16"/>
    <x v="1"/>
    <s v="No"/>
    <n v="0"/>
    <s v="No"/>
    <n v="0"/>
  </r>
  <r>
    <s v="AP-0389"/>
    <s v="VND-002"/>
    <s v="TechCore Solutions"/>
    <s v="IT"/>
    <s v="West"/>
    <s v="Pedro Alvarez"/>
    <d v="2025-02-25T00:00:00"/>
    <d v="2025-04-26T00:00:00"/>
    <n v="60"/>
    <n v="5972.39"/>
    <n v="5972.39"/>
    <n v="0"/>
    <d v="2025-04-29T00:00:00"/>
    <s v="Paid"/>
    <s v="Credit Card"/>
    <n v="63"/>
    <n v="-3"/>
    <x v="1"/>
    <s v="Yes"/>
    <n v="0.01"/>
    <s v="No"/>
    <n v="0"/>
  </r>
  <r>
    <s v="AP-0390"/>
    <s v="VND-008"/>
    <s v="GreenEnergy Corp."/>
    <s v="Utilities"/>
    <s v="East"/>
    <s v="Ana Torres"/>
    <d v="2025-10-29T00:00:00"/>
    <d v="2025-11-28T00:00:00"/>
    <n v="30"/>
    <n v="7007.82"/>
    <n v="7007.82"/>
    <n v="0"/>
    <d v="2025-11-13T00:00:00"/>
    <s v="Paid"/>
    <s v="Wire"/>
    <n v="15"/>
    <n v="15"/>
    <x v="0"/>
    <s v="No"/>
    <n v="0"/>
    <s v="No"/>
    <n v="0"/>
  </r>
  <r>
    <s v="AP-0391"/>
    <s v="VND-006"/>
    <s v="PowerGrid Utilities"/>
    <s v="Utilities"/>
    <s v="Central"/>
    <s v="Sofia Reyes"/>
    <d v="2026-03-15T00:00:00"/>
    <d v="2026-03-30T00:00:00"/>
    <n v="15"/>
    <n v="4547.13"/>
    <n v="4547.13"/>
    <n v="0"/>
    <d v="2026-03-30T00:00:00"/>
    <s v="Paid"/>
    <s v="Credit Card"/>
    <n v="15"/>
    <n v="0"/>
    <x v="0"/>
    <s v="Yes"/>
    <n v="0.02"/>
    <s v="No"/>
    <n v="0"/>
  </r>
  <r>
    <s v="AP-0392"/>
    <s v="VND-015"/>
    <s v="ExpressRoute Logistics"/>
    <s v="Logistics"/>
    <s v="South"/>
    <s v="Sofia Reyes"/>
    <d v="2025-02-22T00:00:00"/>
    <d v="2025-04-23T00:00:00"/>
    <n v="60"/>
    <n v="15699.56"/>
    <n v="7073.87"/>
    <n v="8625.69"/>
    <d v="2025-05-13T00:00:00"/>
    <s v="Partial"/>
    <s v="Wire"/>
    <n v="80"/>
    <n v="-20"/>
    <x v="1"/>
    <s v="Yes"/>
    <n v="0.01"/>
    <s v="No"/>
    <n v="0"/>
  </r>
  <r>
    <s v="AP-0393"/>
    <s v="VND-019"/>
    <s v="SkyNet IT Solutions"/>
    <s v="IT"/>
    <s v="Central"/>
    <s v="Laura Chen"/>
    <d v="2025-08-14T00:00:00"/>
    <d v="2025-10-13T00:00:00"/>
    <n v="60"/>
    <n v="76774.080000000002"/>
    <n v="29149.99"/>
    <n v="47624.09"/>
    <d v="2025-10-25T00:00:00"/>
    <s v="Partial"/>
    <s v="ACH"/>
    <n v="72"/>
    <n v="-12"/>
    <x v="1"/>
    <s v="Yes"/>
    <n v="0.01"/>
    <s v="No"/>
    <n v="0"/>
  </r>
  <r>
    <s v="AP-0394"/>
    <s v="VND-018"/>
    <s v="BuildFast Materials"/>
    <s v="Materials"/>
    <s v="West"/>
    <s v="Sofia Reyes"/>
    <d v="2025-08-07T00:00:00"/>
    <d v="2025-09-06T00:00:00"/>
    <n v="30"/>
    <n v="33840.050000000003"/>
    <n v="33840.050000000003"/>
    <n v="0"/>
    <d v="2025-09-06T00:00:00"/>
    <s v="Paid"/>
    <s v="Check"/>
    <n v="30"/>
    <n v="0"/>
    <x v="0"/>
    <s v="Yes"/>
    <n v="0.01"/>
    <s v="No"/>
    <n v="0"/>
  </r>
  <r>
    <s v="AP-0395"/>
    <s v="VND-025"/>
    <s v="RapidShip Co."/>
    <s v="Logistics"/>
    <s v="Central"/>
    <s v="Ana Torres"/>
    <d v="2025-04-28T00:00:00"/>
    <d v="2025-05-13T00:00:00"/>
    <n v="15"/>
    <n v="13709.83"/>
    <n v="0"/>
    <n v="13709.83"/>
    <m/>
    <s v="Overdue"/>
    <s v="Credit Card"/>
    <m/>
    <n v="-383"/>
    <x v="1"/>
    <s v="Yes"/>
    <n v="0.02"/>
    <s v="No"/>
    <n v="0"/>
  </r>
  <r>
    <s v="AP-0396"/>
    <s v="VND-020"/>
    <s v="TrustBuild Facilities"/>
    <s v="Facilities"/>
    <s v="Central"/>
    <s v="Marco Diaz"/>
    <d v="2026-01-26T00:00:00"/>
    <d v="2026-03-27T00:00:00"/>
    <n v="60"/>
    <n v="32225.77"/>
    <n v="32225.77"/>
    <n v="0"/>
    <d v="2026-03-21T00:00:00"/>
    <s v="Paid"/>
    <s v="ACH"/>
    <n v="54"/>
    <n v="6"/>
    <x v="0"/>
    <s v="No"/>
    <n v="0"/>
    <s v="No"/>
    <n v="0"/>
  </r>
  <r>
    <s v="AP-0397"/>
    <s v="VND-017"/>
    <s v="OfficePro Services"/>
    <s v="Services"/>
    <s v="East"/>
    <s v="Ana Torres"/>
    <d v="2025-02-14T00:00:00"/>
    <d v="2025-05-15T00:00:00"/>
    <n v="90"/>
    <n v="13968.06"/>
    <n v="13968.06"/>
    <n v="0"/>
    <d v="2025-05-14T00:00:00"/>
    <s v="Paid"/>
    <s v="Credit Card"/>
    <n v="89"/>
    <n v="1"/>
    <x v="0"/>
    <s v="Yes"/>
    <n v="5.0000000000000001E-3"/>
    <s v="No"/>
    <n v="0"/>
  </r>
  <r>
    <s v="AP-0398"/>
    <s v="VND-003"/>
    <s v="FastShip Logistics"/>
    <s v="Logistics"/>
    <s v="North"/>
    <s v="Marco Diaz"/>
    <d v="2025-08-04T00:00:00"/>
    <d v="2025-09-03T00:00:00"/>
    <n v="30"/>
    <n v="13736.37"/>
    <n v="7034.46"/>
    <n v="6701.91"/>
    <d v="2025-09-01T00:00:00"/>
    <s v="Partial"/>
    <s v="ACH"/>
    <n v="28"/>
    <n v="2"/>
    <x v="0"/>
    <s v="No"/>
    <n v="0"/>
    <s v="No"/>
    <n v="0"/>
  </r>
  <r>
    <s v="AP-0399"/>
    <s v="VND-007"/>
    <s v="ProStaff Services"/>
    <s v="Services"/>
    <s v="Central"/>
    <s v="Pedro Alvarez"/>
    <d v="2025-01-25T00:00:00"/>
    <d v="2025-02-24T00:00:00"/>
    <n v="30"/>
    <n v="19991.330000000002"/>
    <n v="19991.330000000002"/>
    <n v="0"/>
    <d v="2025-03-09T00:00:00"/>
    <s v="Paid"/>
    <s v="ACH"/>
    <n v="43"/>
    <n v="-13"/>
    <x v="1"/>
    <s v="Yes"/>
    <n v="0.01"/>
    <s v="No"/>
    <n v="0"/>
  </r>
  <r>
    <s v="AP-0400"/>
    <s v="VND-018"/>
    <s v="BuildFast Materials"/>
    <s v="Materials"/>
    <s v="North"/>
    <s v="Ana Torres"/>
    <d v="2026-02-22T00:00:00"/>
    <d v="2026-04-08T00:00:00"/>
    <n v="45"/>
    <n v="20625.560000000001"/>
    <n v="0"/>
    <n v="20625.560000000001"/>
    <m/>
    <s v="Pending"/>
    <s v="Wire"/>
    <m/>
    <m/>
    <x v="2"/>
    <s v="Yes"/>
    <n v="1.4999999999999999E-2"/>
    <s v="No"/>
    <n v="0"/>
  </r>
  <r>
    <s v="AP-0401"/>
    <s v="VND-022"/>
    <s v="Apex Consulting"/>
    <s v="Services"/>
    <s v="North"/>
    <s v="Ana Torres"/>
    <d v="2025-02-16T00:00:00"/>
    <d v="2025-03-18T00:00:00"/>
    <n v="30"/>
    <n v="28932.639999999999"/>
    <n v="0"/>
    <n v="28932.639999999999"/>
    <m/>
    <s v="Overdue"/>
    <s v="ACH"/>
    <m/>
    <n v="-439"/>
    <x v="1"/>
    <s v="Yes"/>
    <n v="0.01"/>
    <s v="No"/>
    <n v="0"/>
  </r>
  <r>
    <s v="AP-0402"/>
    <s v="VND-004"/>
    <s v="BuildRight Materials"/>
    <s v="Materials"/>
    <s v="East"/>
    <s v="Laura Chen"/>
    <d v="2026-03-25T00:00:00"/>
    <d v="2026-05-09T00:00:00"/>
    <n v="45"/>
    <n v="20307.849999999999"/>
    <n v="0"/>
    <n v="20307.849999999999"/>
    <m/>
    <s v="Pending"/>
    <s v="ACH"/>
    <m/>
    <m/>
    <x v="2"/>
    <s v="No"/>
    <n v="0"/>
    <s v="No"/>
    <n v="0"/>
  </r>
  <r>
    <s v="AP-0403"/>
    <s v="VND-008"/>
    <s v="GreenEnergy Corp."/>
    <s v="Utilities"/>
    <s v="South"/>
    <s v="Pedro Alvarez"/>
    <d v="2025-11-02T00:00:00"/>
    <d v="2025-12-02T00:00:00"/>
    <n v="30"/>
    <n v="10320.69"/>
    <n v="6859.77"/>
    <n v="3460.92"/>
    <d v="2025-12-08T00:00:00"/>
    <s v="Partial"/>
    <s v="Check"/>
    <n v="36"/>
    <n v="-6"/>
    <x v="1"/>
    <s v="No"/>
    <n v="0"/>
    <s v="No"/>
    <n v="0"/>
  </r>
  <r>
    <s v="AP-0404"/>
    <s v="VND-001"/>
    <s v="Acme Supplies Co."/>
    <s v="Materials"/>
    <s v="Central"/>
    <s v="Ana Torres"/>
    <d v="2025-02-12T00:00:00"/>
    <d v="2025-03-14T00:00:00"/>
    <n v="30"/>
    <n v="2241.4299999999998"/>
    <n v="2241.4299999999998"/>
    <n v="0"/>
    <d v="2025-03-18T00:00:00"/>
    <s v="Paid"/>
    <s v="Wire"/>
    <n v="34"/>
    <n v="-4"/>
    <x v="1"/>
    <s v="Yes"/>
    <n v="0.01"/>
    <s v="No"/>
    <n v="0"/>
  </r>
  <r>
    <s v="AP-0405"/>
    <s v="VND-003"/>
    <s v="FastShip Logistics"/>
    <s v="Logistics"/>
    <s v="East"/>
    <s v="Marco Diaz"/>
    <d v="2026-02-27T00:00:00"/>
    <d v="2026-03-29T00:00:00"/>
    <n v="30"/>
    <n v="18206.93"/>
    <n v="18206.93"/>
    <n v="0"/>
    <d v="2026-04-02T00:00:00"/>
    <s v="Paid"/>
    <s v="Check"/>
    <n v="34"/>
    <n v="-4"/>
    <x v="1"/>
    <s v="No"/>
    <n v="0"/>
    <s v="No"/>
    <n v="0"/>
  </r>
  <r>
    <s v="AP-0406"/>
    <s v="VND-009"/>
    <s v="MetalWorks Ltd."/>
    <s v="Materials"/>
    <s v="South"/>
    <s v="Sofia Reyes"/>
    <d v="2026-04-18T00:00:00"/>
    <d v="2026-05-03T00:00:00"/>
    <n v="15"/>
    <n v="32944.379999999997"/>
    <n v="0"/>
    <n v="32944.379999999997"/>
    <m/>
    <s v="Pending"/>
    <s v="Wire"/>
    <m/>
    <m/>
    <x v="2"/>
    <s v="Yes"/>
    <n v="0.02"/>
    <s v="No"/>
    <n v="0"/>
  </r>
  <r>
    <s v="AP-0407"/>
    <s v="VND-007"/>
    <s v="ProStaff Services"/>
    <s v="Services"/>
    <s v="Central"/>
    <s v="Pedro Alvarez"/>
    <d v="2025-05-12T00:00:00"/>
    <d v="2025-07-11T00:00:00"/>
    <n v="60"/>
    <n v="27837.94"/>
    <n v="27837.94"/>
    <n v="0"/>
    <d v="2025-07-21T00:00:00"/>
    <s v="Paid"/>
    <s v="Check"/>
    <n v="70"/>
    <n v="-10"/>
    <x v="1"/>
    <s v="Yes"/>
    <n v="0.01"/>
    <s v="No"/>
    <n v="0"/>
  </r>
  <r>
    <s v="AP-0408"/>
    <s v="VND-003"/>
    <s v="FastShip Logistics"/>
    <s v="Logistics"/>
    <s v="South"/>
    <s v="Laura Chen"/>
    <d v="2025-12-03T00:00:00"/>
    <d v="2026-03-03T00:00:00"/>
    <n v="90"/>
    <n v="12710.51"/>
    <n v="12710.51"/>
    <n v="0"/>
    <d v="2026-02-25T00:00:00"/>
    <s v="Paid"/>
    <s v="Credit Card"/>
    <n v="84"/>
    <n v="6"/>
    <x v="0"/>
    <s v="Yes"/>
    <n v="5.0000000000000001E-3"/>
    <s v="No"/>
    <n v="0"/>
  </r>
  <r>
    <s v="AP-0409"/>
    <s v="VND-011"/>
    <s v="QuickFreight Inc."/>
    <s v="Logistics"/>
    <s v="West"/>
    <s v="Marco Diaz"/>
    <d v="2025-09-10T00:00:00"/>
    <d v="2025-11-09T00:00:00"/>
    <n v="60"/>
    <n v="15927.54"/>
    <n v="15927.54"/>
    <n v="0"/>
    <d v="2025-11-06T00:00:00"/>
    <s v="Paid"/>
    <s v="ACH"/>
    <n v="57"/>
    <n v="3"/>
    <x v="0"/>
    <s v="No"/>
    <n v="0"/>
    <s v="No"/>
    <n v="0"/>
  </r>
  <r>
    <s v="AP-0410"/>
    <s v="VND-009"/>
    <s v="MetalWorks Ltd."/>
    <s v="Materials"/>
    <s v="East"/>
    <s v="Marco Diaz"/>
    <d v="2026-04-19T00:00:00"/>
    <d v="2026-07-18T00:00:00"/>
    <n v="90"/>
    <n v="23377.18"/>
    <n v="0"/>
    <n v="23377.18"/>
    <m/>
    <s v="Pending"/>
    <s v="Check"/>
    <m/>
    <m/>
    <x v="2"/>
    <s v="No"/>
    <n v="0"/>
    <s v="No"/>
    <n v="0"/>
  </r>
  <r>
    <s v="AP-0411"/>
    <s v="VND-021"/>
    <s v="PrimePack Logistics"/>
    <s v="Logistics"/>
    <s v="Central"/>
    <s v="Sofia Reyes"/>
    <d v="2025-07-21T00:00:00"/>
    <d v="2025-08-20T00:00:00"/>
    <n v="30"/>
    <n v="6001.46"/>
    <n v="6001.46"/>
    <n v="0"/>
    <d v="2025-08-21T00:00:00"/>
    <s v="Paid"/>
    <s v="Check"/>
    <n v="31"/>
    <n v="-1"/>
    <x v="1"/>
    <s v="No"/>
    <n v="0"/>
    <s v="No"/>
    <n v="0"/>
  </r>
  <r>
    <s v="AP-0412"/>
    <s v="VND-017"/>
    <s v="OfficePro Services"/>
    <s v="Services"/>
    <s v="North"/>
    <s v="Ana Torres"/>
    <d v="2025-02-07T00:00:00"/>
    <d v="2025-03-09T00:00:00"/>
    <n v="30"/>
    <n v="23408.98"/>
    <n v="0"/>
    <n v="23408.98"/>
    <m/>
    <s v="Overdue"/>
    <s v="Credit Card"/>
    <m/>
    <n v="-448"/>
    <x v="1"/>
    <s v="Yes"/>
    <n v="0.01"/>
    <s v="No"/>
    <n v="0"/>
  </r>
  <r>
    <s v="AP-0413"/>
    <s v="VND-016"/>
    <s v="CleanWater Utilities"/>
    <s v="Utilities"/>
    <s v="South"/>
    <s v="Laura Chen"/>
    <d v="2025-10-25T00:00:00"/>
    <d v="2025-11-24T00:00:00"/>
    <n v="30"/>
    <n v="2441.2800000000002"/>
    <n v="2441.2800000000002"/>
    <n v="0"/>
    <d v="2025-11-24T00:00:00"/>
    <s v="Paid"/>
    <s v="Credit Card"/>
    <n v="30"/>
    <n v="0"/>
    <x v="0"/>
    <s v="Yes"/>
    <n v="0.01"/>
    <s v="No"/>
    <n v="0"/>
  </r>
  <r>
    <s v="AP-0414"/>
    <s v="VND-012"/>
    <s v="FacilityPro Services"/>
    <s v="Facilities"/>
    <s v="Central"/>
    <s v="Sofia Reyes"/>
    <d v="2025-05-24T00:00:00"/>
    <d v="2025-06-23T00:00:00"/>
    <n v="30"/>
    <n v="16725.27"/>
    <n v="0"/>
    <n v="16725.27"/>
    <m/>
    <s v="Overdue"/>
    <s v="Wire"/>
    <m/>
    <n v="-342"/>
    <x v="1"/>
    <s v="Yes"/>
    <n v="0.01"/>
    <s v="No"/>
    <n v="0"/>
  </r>
  <r>
    <s v="AP-0415"/>
    <s v="VND-022"/>
    <s v="Apex Consulting"/>
    <s v="Services"/>
    <s v="South"/>
    <s v="Pedro Alvarez"/>
    <d v="2025-08-13T00:00:00"/>
    <d v="2025-08-28T00:00:00"/>
    <n v="15"/>
    <n v="31174.48"/>
    <n v="31174.48"/>
    <n v="0"/>
    <d v="2025-08-29T00:00:00"/>
    <s v="Paid"/>
    <s v="Check"/>
    <n v="16"/>
    <n v="-1"/>
    <x v="1"/>
    <s v="Yes"/>
    <n v="0.02"/>
    <s v="No"/>
    <n v="0"/>
  </r>
  <r>
    <s v="AP-0416"/>
    <s v="VND-017"/>
    <s v="OfficePro Services"/>
    <s v="Services"/>
    <s v="East"/>
    <s v="Pedro Alvarez"/>
    <d v="2025-02-17T00:00:00"/>
    <d v="2025-05-18T00:00:00"/>
    <n v="90"/>
    <n v="4476.47"/>
    <n v="4476.47"/>
    <n v="0"/>
    <d v="2025-05-29T00:00:00"/>
    <s v="Paid"/>
    <s v="Credit Card"/>
    <n v="101"/>
    <n v="-11"/>
    <x v="1"/>
    <s v="Yes"/>
    <n v="5.0000000000000001E-3"/>
    <s v="No"/>
    <n v="0"/>
  </r>
  <r>
    <s v="AP-0417"/>
    <s v="VND-017"/>
    <s v="OfficePro Services"/>
    <s v="Services"/>
    <s v="East"/>
    <s v="Laura Chen"/>
    <d v="2026-01-23T00:00:00"/>
    <d v="2026-03-24T00:00:00"/>
    <n v="60"/>
    <n v="16515.98"/>
    <n v="9221.39"/>
    <n v="7294.59"/>
    <d v="2026-03-31T00:00:00"/>
    <s v="Partial"/>
    <s v="Wire"/>
    <n v="67"/>
    <n v="-7"/>
    <x v="1"/>
    <s v="Yes"/>
    <n v="0.01"/>
    <s v="No"/>
    <n v="0"/>
  </r>
  <r>
    <s v="AP-0418"/>
    <s v="VND-008"/>
    <s v="GreenEnergy Corp."/>
    <s v="Utilities"/>
    <s v="Central"/>
    <s v="Pedro Alvarez"/>
    <d v="2026-05-14T00:00:00"/>
    <d v="2026-07-13T00:00:00"/>
    <n v="60"/>
    <n v="11993.53"/>
    <n v="11993.53"/>
    <n v="0"/>
    <d v="2026-05-31T00:00:00"/>
    <s v="Paid"/>
    <s v="Check"/>
    <n v="17"/>
    <n v="43"/>
    <x v="0"/>
    <s v="No"/>
    <n v="0"/>
    <s v="No"/>
    <n v="0"/>
  </r>
  <r>
    <s v="AP-0419"/>
    <s v="VND-017"/>
    <s v="OfficePro Services"/>
    <s v="Services"/>
    <s v="East"/>
    <s v="Marco Diaz"/>
    <d v="2025-06-11T00:00:00"/>
    <d v="2025-07-11T00:00:00"/>
    <n v="30"/>
    <n v="16402.25"/>
    <n v="16402.25"/>
    <n v="0"/>
    <d v="2025-07-13T00:00:00"/>
    <s v="Paid"/>
    <s v="Wire"/>
    <n v="32"/>
    <n v="-2"/>
    <x v="1"/>
    <s v="No"/>
    <n v="0"/>
    <s v="No"/>
    <n v="0"/>
  </r>
  <r>
    <s v="AP-0420"/>
    <s v="VND-008"/>
    <s v="GreenEnergy Corp."/>
    <s v="Utilities"/>
    <s v="West"/>
    <s v="Laura Chen"/>
    <d v="2026-05-06T00:00:00"/>
    <d v="2026-08-04T00:00:00"/>
    <n v="90"/>
    <n v="7445.81"/>
    <n v="7445.81"/>
    <n v="0"/>
    <d v="2026-05-31T00:00:00"/>
    <s v="Paid"/>
    <s v="ACH"/>
    <n v="25"/>
    <n v="65"/>
    <x v="0"/>
    <s v="Yes"/>
    <n v="5.0000000000000001E-3"/>
    <s v="Yes"/>
    <n v="37.229999999999997"/>
  </r>
  <r>
    <s v="AP-0421"/>
    <s v="VND-019"/>
    <s v="SkyNet IT Solutions"/>
    <s v="IT"/>
    <s v="South"/>
    <s v="Marco Diaz"/>
    <d v="2025-02-27T00:00:00"/>
    <d v="2025-03-29T00:00:00"/>
    <n v="30"/>
    <n v="17475.599999999999"/>
    <n v="17475.599999999999"/>
    <n v="0"/>
    <d v="2025-04-02T00:00:00"/>
    <s v="Paid"/>
    <s v="ACH"/>
    <n v="34"/>
    <n v="-4"/>
    <x v="1"/>
    <s v="No"/>
    <n v="0"/>
    <s v="No"/>
    <n v="0"/>
  </r>
  <r>
    <s v="AP-0422"/>
    <s v="VND-013"/>
    <s v="SafetyFirst Supplies"/>
    <s v="Materials"/>
    <s v="Central"/>
    <s v="Ana Torres"/>
    <d v="2025-03-29T00:00:00"/>
    <d v="2025-05-13T00:00:00"/>
    <n v="45"/>
    <n v="12396.48"/>
    <n v="12396.48"/>
    <n v="0"/>
    <d v="2025-05-08T00:00:00"/>
    <s v="Paid"/>
    <s v="ACH"/>
    <n v="40"/>
    <n v="5"/>
    <x v="0"/>
    <s v="Yes"/>
    <n v="1.4999999999999999E-2"/>
    <s v="No"/>
    <n v="0"/>
  </r>
  <r>
    <s v="AP-0423"/>
    <s v="VND-014"/>
    <s v="NetConnect Systems"/>
    <s v="IT"/>
    <s v="Central"/>
    <s v="Marco Diaz"/>
    <d v="2025-06-21T00:00:00"/>
    <d v="2025-08-05T00:00:00"/>
    <n v="45"/>
    <n v="59314.01"/>
    <n v="59314.01"/>
    <n v="0"/>
    <d v="2025-08-05T00:00:00"/>
    <s v="Paid"/>
    <s v="Wire"/>
    <n v="45"/>
    <n v="0"/>
    <x v="0"/>
    <s v="Yes"/>
    <n v="1.4999999999999999E-2"/>
    <s v="No"/>
    <n v="0"/>
  </r>
  <r>
    <s v="AP-0424"/>
    <s v="VND-019"/>
    <s v="SkyNet IT Solutions"/>
    <s v="IT"/>
    <s v="North"/>
    <s v="Marco Diaz"/>
    <d v="2025-05-16T00:00:00"/>
    <d v="2025-07-15T00:00:00"/>
    <n v="60"/>
    <n v="13142.76"/>
    <n v="7257.17"/>
    <n v="5885.59"/>
    <d v="2025-07-23T00:00:00"/>
    <s v="Partial"/>
    <s v="Credit Card"/>
    <n v="68"/>
    <n v="-8"/>
    <x v="1"/>
    <s v="Yes"/>
    <n v="0.01"/>
    <s v="No"/>
    <n v="0"/>
  </r>
  <r>
    <s v="AP-0425"/>
    <s v="VND-005"/>
    <s v="CloudSys Inc."/>
    <s v="IT"/>
    <s v="Central"/>
    <s v="Sofia Reyes"/>
    <d v="2025-02-09T00:00:00"/>
    <d v="2025-05-10T00:00:00"/>
    <n v="90"/>
    <n v="70831.45"/>
    <n v="70831.45"/>
    <n v="0"/>
    <d v="2025-05-19T00:00:00"/>
    <s v="Paid"/>
    <s v="Wire"/>
    <n v="99"/>
    <n v="-9"/>
    <x v="1"/>
    <s v="Yes"/>
    <n v="5.0000000000000001E-3"/>
    <s v="No"/>
    <n v="0"/>
  </r>
  <r>
    <s v="AP-0426"/>
    <s v="VND-020"/>
    <s v="TrustBuild Facilities"/>
    <s v="Facilities"/>
    <s v="Central"/>
    <s v="Sofia Reyes"/>
    <d v="2026-01-15T00:00:00"/>
    <d v="2026-03-16T00:00:00"/>
    <n v="60"/>
    <n v="30869.200000000001"/>
    <n v="30869.200000000001"/>
    <n v="0"/>
    <d v="2026-03-22T00:00:00"/>
    <s v="Paid"/>
    <s v="Credit Card"/>
    <n v="66"/>
    <n v="-6"/>
    <x v="1"/>
    <s v="Yes"/>
    <n v="0.01"/>
    <s v="No"/>
    <n v="0"/>
  </r>
  <r>
    <s v="AP-0427"/>
    <s v="VND-016"/>
    <s v="CleanWater Utilities"/>
    <s v="Utilities"/>
    <s v="West"/>
    <s v="Laura Chen"/>
    <d v="2025-05-18T00:00:00"/>
    <d v="2025-07-17T00:00:00"/>
    <n v="60"/>
    <n v="4190.51"/>
    <n v="0"/>
    <n v="4190.51"/>
    <m/>
    <s v="Overdue"/>
    <s v="ACH"/>
    <m/>
    <n v="-318"/>
    <x v="1"/>
    <s v="No"/>
    <n v="0"/>
    <s v="No"/>
    <n v="0"/>
  </r>
  <r>
    <s v="AP-0428"/>
    <s v="VND-003"/>
    <s v="FastShip Logistics"/>
    <s v="Logistics"/>
    <s v="East"/>
    <s v="Ana Torres"/>
    <d v="2025-07-13T00:00:00"/>
    <d v="2025-08-27T00:00:00"/>
    <n v="45"/>
    <n v="1103.92"/>
    <n v="1103.92"/>
    <n v="0"/>
    <d v="2025-08-18T00:00:00"/>
    <s v="Paid"/>
    <s v="Credit Card"/>
    <n v="36"/>
    <n v="9"/>
    <x v="0"/>
    <s v="No"/>
    <n v="0"/>
    <s v="No"/>
    <n v="0"/>
  </r>
  <r>
    <s v="AP-0429"/>
    <s v="VND-013"/>
    <s v="SafetyFirst Supplies"/>
    <s v="Materials"/>
    <s v="South"/>
    <s v="Laura Chen"/>
    <d v="2025-04-20T00:00:00"/>
    <d v="2025-06-19T00:00:00"/>
    <n v="60"/>
    <n v="9429.3700000000008"/>
    <n v="9429.3700000000008"/>
    <n v="0"/>
    <d v="2025-06-18T00:00:00"/>
    <s v="Paid"/>
    <s v="Credit Card"/>
    <n v="59"/>
    <n v="1"/>
    <x v="0"/>
    <s v="Yes"/>
    <n v="0.01"/>
    <s v="No"/>
    <n v="0"/>
  </r>
  <r>
    <s v="AP-0430"/>
    <s v="VND-018"/>
    <s v="BuildFast Materials"/>
    <s v="Materials"/>
    <s v="West"/>
    <s v="Ana Torres"/>
    <d v="2026-02-11T00:00:00"/>
    <d v="2026-03-28T00:00:00"/>
    <n v="45"/>
    <n v="38238.65"/>
    <n v="20696.05"/>
    <n v="17542.599999999999"/>
    <d v="2026-04-03T00:00:00"/>
    <s v="Partial"/>
    <s v="Check"/>
    <n v="51"/>
    <n v="-6"/>
    <x v="1"/>
    <s v="Yes"/>
    <n v="1.4999999999999999E-2"/>
    <s v="No"/>
    <n v="0"/>
  </r>
  <r>
    <s v="AP-0431"/>
    <s v="VND-018"/>
    <s v="BuildFast Materials"/>
    <s v="Materials"/>
    <s v="Central"/>
    <s v="Pedro Alvarez"/>
    <d v="2025-12-19T00:00:00"/>
    <d v="2026-02-02T00:00:00"/>
    <n v="45"/>
    <n v="39161.339999999997"/>
    <n v="39161.339999999997"/>
    <n v="0"/>
    <d v="2026-02-04T00:00:00"/>
    <s v="Paid"/>
    <s v="Check"/>
    <n v="47"/>
    <n v="-2"/>
    <x v="1"/>
    <s v="Yes"/>
    <n v="1.4999999999999999E-2"/>
    <s v="No"/>
    <n v="0"/>
  </r>
  <r>
    <s v="AP-0432"/>
    <s v="VND-008"/>
    <s v="GreenEnergy Corp."/>
    <s v="Utilities"/>
    <s v="West"/>
    <s v="Marco Diaz"/>
    <d v="2026-02-15T00:00:00"/>
    <d v="2026-03-17T00:00:00"/>
    <n v="30"/>
    <n v="11898.18"/>
    <n v="11898.18"/>
    <n v="0"/>
    <d v="2026-03-14T00:00:00"/>
    <s v="Paid"/>
    <s v="ACH"/>
    <n v="27"/>
    <n v="3"/>
    <x v="0"/>
    <s v="No"/>
    <n v="0"/>
    <s v="No"/>
    <n v="0"/>
  </r>
  <r>
    <s v="AP-0433"/>
    <s v="VND-022"/>
    <s v="Apex Consulting"/>
    <s v="Services"/>
    <s v="North"/>
    <s v="Marco Diaz"/>
    <d v="2025-04-04T00:00:00"/>
    <d v="2025-04-19T00:00:00"/>
    <n v="15"/>
    <n v="33460.449999999997"/>
    <n v="33460.449999999997"/>
    <n v="0"/>
    <d v="2025-04-24T00:00:00"/>
    <s v="Paid"/>
    <s v="Credit Card"/>
    <n v="20"/>
    <n v="-5"/>
    <x v="1"/>
    <s v="Yes"/>
    <n v="0.02"/>
    <s v="No"/>
    <n v="0"/>
  </r>
  <r>
    <s v="AP-0434"/>
    <s v="VND-012"/>
    <s v="FacilityPro Services"/>
    <s v="Facilities"/>
    <s v="North"/>
    <s v="Ana Torres"/>
    <d v="2026-02-15T00:00:00"/>
    <d v="2026-04-16T00:00:00"/>
    <n v="60"/>
    <n v="22260.86"/>
    <n v="22260.86"/>
    <n v="0"/>
    <d v="2026-04-19T00:00:00"/>
    <s v="Paid"/>
    <s v="ACH"/>
    <n v="63"/>
    <n v="-3"/>
    <x v="1"/>
    <s v="Yes"/>
    <n v="0.01"/>
    <s v="No"/>
    <n v="0"/>
  </r>
  <r>
    <s v="AP-0435"/>
    <s v="VND-025"/>
    <s v="RapidShip Co."/>
    <s v="Logistics"/>
    <s v="South"/>
    <s v="Pedro Alvarez"/>
    <d v="2025-07-26T00:00:00"/>
    <d v="2025-08-10T00:00:00"/>
    <n v="15"/>
    <n v="17160.79"/>
    <n v="17160.79"/>
    <n v="0"/>
    <d v="2025-08-14T00:00:00"/>
    <s v="Paid"/>
    <s v="Credit Card"/>
    <n v="19"/>
    <n v="-4"/>
    <x v="1"/>
    <s v="No"/>
    <n v="0"/>
    <s v="No"/>
    <n v="0"/>
  </r>
  <r>
    <s v="AP-0436"/>
    <s v="VND-017"/>
    <s v="OfficePro Services"/>
    <s v="Services"/>
    <s v="Central"/>
    <s v="Marco Diaz"/>
    <d v="2026-01-04T00:00:00"/>
    <d v="2026-01-19T00:00:00"/>
    <n v="15"/>
    <n v="11852.5"/>
    <n v="11852.5"/>
    <n v="0"/>
    <d v="2026-02-01T00:00:00"/>
    <s v="Paid"/>
    <s v="Wire"/>
    <n v="28"/>
    <n v="-13"/>
    <x v="1"/>
    <s v="Yes"/>
    <n v="0.02"/>
    <s v="No"/>
    <n v="0"/>
  </r>
  <r>
    <s v="AP-0437"/>
    <s v="VND-009"/>
    <s v="MetalWorks Ltd."/>
    <s v="Materials"/>
    <s v="West"/>
    <s v="Laura Chen"/>
    <d v="2025-07-25T00:00:00"/>
    <d v="2025-09-23T00:00:00"/>
    <n v="60"/>
    <n v="26851.65"/>
    <n v="26851.65"/>
    <n v="0"/>
    <d v="2025-09-28T00:00:00"/>
    <s v="Paid"/>
    <s v="Credit Card"/>
    <n v="65"/>
    <n v="-5"/>
    <x v="1"/>
    <s v="No"/>
    <n v="0"/>
    <s v="No"/>
    <n v="0"/>
  </r>
  <r>
    <s v="AP-0438"/>
    <s v="VND-018"/>
    <s v="BuildFast Materials"/>
    <s v="Materials"/>
    <s v="Central"/>
    <s v="Laura Chen"/>
    <d v="2025-08-20T00:00:00"/>
    <d v="2025-10-04T00:00:00"/>
    <n v="45"/>
    <n v="31105.439999999999"/>
    <n v="0"/>
    <n v="31105.439999999999"/>
    <m/>
    <s v="Overdue"/>
    <s v="Check"/>
    <m/>
    <n v="-239"/>
    <x v="1"/>
    <s v="Yes"/>
    <n v="1.4999999999999999E-2"/>
    <s v="No"/>
    <n v="0"/>
  </r>
  <r>
    <s v="AP-0439"/>
    <s v="VND-019"/>
    <s v="SkyNet IT Solutions"/>
    <s v="IT"/>
    <s v="North"/>
    <s v="Laura Chen"/>
    <d v="2025-04-20T00:00:00"/>
    <d v="2025-06-19T00:00:00"/>
    <n v="60"/>
    <n v="46897.3"/>
    <n v="46897.3"/>
    <n v="0"/>
    <d v="2025-06-22T00:00:00"/>
    <s v="Paid"/>
    <s v="Wire"/>
    <n v="63"/>
    <n v="-3"/>
    <x v="1"/>
    <s v="Yes"/>
    <n v="0.01"/>
    <s v="No"/>
    <n v="0"/>
  </r>
  <r>
    <s v="AP-0440"/>
    <s v="VND-004"/>
    <s v="BuildRight Materials"/>
    <s v="Materials"/>
    <s v="Central"/>
    <s v="Laura Chen"/>
    <d v="2026-01-22T00:00:00"/>
    <d v="2026-04-22T00:00:00"/>
    <n v="90"/>
    <n v="29032.09"/>
    <n v="29032.09"/>
    <n v="0"/>
    <d v="2026-04-14T00:00:00"/>
    <s v="Paid"/>
    <s v="Check"/>
    <n v="82"/>
    <n v="8"/>
    <x v="0"/>
    <s v="No"/>
    <n v="0"/>
    <s v="No"/>
    <n v="0"/>
  </r>
  <r>
    <s v="AP-0441"/>
    <s v="VND-019"/>
    <s v="SkyNet IT Solutions"/>
    <s v="IT"/>
    <s v="North"/>
    <s v="Pedro Alvarez"/>
    <d v="2025-03-11T00:00:00"/>
    <d v="2025-04-25T00:00:00"/>
    <n v="45"/>
    <n v="33700.49"/>
    <n v="33700.49"/>
    <n v="0"/>
    <d v="2025-04-27T00:00:00"/>
    <s v="Paid"/>
    <s v="ACH"/>
    <n v="47"/>
    <n v="-2"/>
    <x v="1"/>
    <s v="No"/>
    <n v="0"/>
    <s v="No"/>
    <n v="0"/>
  </r>
  <r>
    <s v="AP-0442"/>
    <s v="VND-023"/>
    <s v="CoolTech Systems"/>
    <s v="IT"/>
    <s v="South"/>
    <s v="Laura Chen"/>
    <d v="2025-01-10T00:00:00"/>
    <d v="2025-03-11T00:00:00"/>
    <n v="60"/>
    <n v="57561.39"/>
    <n v="57561.39"/>
    <n v="0"/>
    <d v="2025-03-01T00:00:00"/>
    <s v="Paid"/>
    <s v="Credit Card"/>
    <n v="50"/>
    <n v="10"/>
    <x v="0"/>
    <s v="Yes"/>
    <n v="0.01"/>
    <s v="No"/>
    <n v="0"/>
  </r>
  <r>
    <s v="AP-0443"/>
    <s v="VND-011"/>
    <s v="QuickFreight Inc."/>
    <s v="Logistics"/>
    <s v="North"/>
    <s v="Ana Torres"/>
    <d v="2025-11-18T00:00:00"/>
    <d v="2026-02-16T00:00:00"/>
    <n v="90"/>
    <n v="7717.22"/>
    <n v="7717.22"/>
    <n v="0"/>
    <d v="2026-02-23T00:00:00"/>
    <s v="Paid"/>
    <s v="Wire"/>
    <n v="97"/>
    <n v="-7"/>
    <x v="1"/>
    <s v="No"/>
    <n v="0"/>
    <s v="No"/>
    <n v="0"/>
  </r>
  <r>
    <s v="AP-0444"/>
    <s v="VND-024"/>
    <s v="EliteFacilities Corp."/>
    <s v="Facilities"/>
    <s v="South"/>
    <s v="Pedro Alvarez"/>
    <d v="2025-09-05T00:00:00"/>
    <d v="2025-10-05T00:00:00"/>
    <n v="30"/>
    <n v="30800.5"/>
    <n v="30800.5"/>
    <n v="0"/>
    <d v="2025-10-05T00:00:00"/>
    <s v="Paid"/>
    <s v="Wire"/>
    <n v="30"/>
    <n v="0"/>
    <x v="0"/>
    <s v="Yes"/>
    <n v="0.01"/>
    <s v="No"/>
    <n v="0"/>
  </r>
  <r>
    <s v="AP-0445"/>
    <s v="VND-005"/>
    <s v="CloudSys Inc."/>
    <s v="IT"/>
    <s v="North"/>
    <s v="Sofia Reyes"/>
    <d v="2025-01-07T00:00:00"/>
    <d v="2025-04-07T00:00:00"/>
    <n v="90"/>
    <n v="62318.32"/>
    <n v="62318.32"/>
    <n v="0"/>
    <d v="2025-04-18T00:00:00"/>
    <s v="Paid"/>
    <s v="ACH"/>
    <n v="101"/>
    <n v="-11"/>
    <x v="1"/>
    <s v="Yes"/>
    <n v="5.0000000000000001E-3"/>
    <s v="No"/>
    <n v="0"/>
  </r>
  <r>
    <s v="AP-0446"/>
    <s v="VND-016"/>
    <s v="CleanWater Utilities"/>
    <s v="Utilities"/>
    <s v="East"/>
    <s v="Ana Torres"/>
    <d v="2025-10-09T00:00:00"/>
    <d v="2026-01-07T00:00:00"/>
    <n v="90"/>
    <n v="7616.68"/>
    <n v="0"/>
    <n v="7616.68"/>
    <m/>
    <s v="Overdue"/>
    <s v="Check"/>
    <m/>
    <n v="-144"/>
    <x v="1"/>
    <s v="No"/>
    <n v="0"/>
    <s v="No"/>
    <n v="0"/>
  </r>
  <r>
    <s v="AP-0447"/>
    <s v="VND-009"/>
    <s v="MetalWorks Ltd."/>
    <s v="Materials"/>
    <s v="West"/>
    <s v="Marco Diaz"/>
    <d v="2026-03-10T00:00:00"/>
    <d v="2026-03-25T00:00:00"/>
    <n v="15"/>
    <n v="24959.360000000001"/>
    <n v="24959.360000000001"/>
    <n v="0"/>
    <d v="2026-03-16T00:00:00"/>
    <s v="Paid"/>
    <s v="Wire"/>
    <n v="6"/>
    <n v="9"/>
    <x v="0"/>
    <s v="Yes"/>
    <n v="0.02"/>
    <s v="No"/>
    <n v="0"/>
  </r>
  <r>
    <s v="AP-0448"/>
    <s v="VND-006"/>
    <s v="PowerGrid Utilities"/>
    <s v="Utilities"/>
    <s v="West"/>
    <s v="Sofia Reyes"/>
    <d v="2025-01-09T00:00:00"/>
    <d v="2025-03-10T00:00:00"/>
    <n v="60"/>
    <n v="671.39"/>
    <n v="671.39"/>
    <n v="0"/>
    <d v="2025-03-17T00:00:00"/>
    <s v="Paid"/>
    <s v="Credit Card"/>
    <n v="67"/>
    <n v="-7"/>
    <x v="1"/>
    <s v="Yes"/>
    <n v="0.01"/>
    <s v="No"/>
    <n v="0"/>
  </r>
  <r>
    <s v="AP-0449"/>
    <s v="VND-011"/>
    <s v="QuickFreight Inc."/>
    <s v="Logistics"/>
    <s v="East"/>
    <s v="Ana Torres"/>
    <d v="2025-09-27T00:00:00"/>
    <d v="2025-10-27T00:00:00"/>
    <n v="30"/>
    <n v="5505.64"/>
    <n v="5505.64"/>
    <n v="0"/>
    <d v="2025-10-21T00:00:00"/>
    <s v="Paid"/>
    <s v="Check"/>
    <n v="24"/>
    <n v="6"/>
    <x v="0"/>
    <s v="Yes"/>
    <n v="0.01"/>
    <s v="No"/>
    <n v="0"/>
  </r>
  <r>
    <s v="AP-0450"/>
    <s v="VND-007"/>
    <s v="ProStaff Services"/>
    <s v="Services"/>
    <s v="West"/>
    <s v="Laura Chen"/>
    <d v="2025-10-14T00:00:00"/>
    <d v="2025-12-13T00:00:00"/>
    <n v="60"/>
    <n v="19676.97"/>
    <n v="0"/>
    <n v="19676.97"/>
    <m/>
    <s v="Overdue"/>
    <s v="Check"/>
    <m/>
    <n v="-169"/>
    <x v="1"/>
    <s v="Yes"/>
    <n v="0.01"/>
    <s v="No"/>
    <n v="0"/>
  </r>
  <r>
    <s v="AP-0451"/>
    <s v="VND-022"/>
    <s v="Apex Consulting"/>
    <s v="Services"/>
    <s v="South"/>
    <s v="Sofia Reyes"/>
    <d v="2026-03-19T00:00:00"/>
    <d v="2026-04-18T00:00:00"/>
    <n v="30"/>
    <n v="34683.42"/>
    <n v="18607.43"/>
    <n v="16075.99"/>
    <d v="2026-04-13T00:00:00"/>
    <s v="Partial"/>
    <s v="Check"/>
    <n v="25"/>
    <n v="5"/>
    <x v="0"/>
    <s v="Yes"/>
    <n v="0.01"/>
    <s v="No"/>
    <n v="0"/>
  </r>
  <r>
    <s v="AP-0452"/>
    <s v="VND-006"/>
    <s v="PowerGrid Utilities"/>
    <s v="Utilities"/>
    <s v="West"/>
    <s v="Pedro Alvarez"/>
    <d v="2026-05-14T00:00:00"/>
    <d v="2026-07-13T00:00:00"/>
    <n v="60"/>
    <n v="4850.5"/>
    <n v="0"/>
    <n v="4850.5"/>
    <m/>
    <s v="Pending"/>
    <s v="Wire"/>
    <m/>
    <m/>
    <x v="2"/>
    <s v="Yes"/>
    <n v="0.01"/>
    <s v="No"/>
    <n v="0"/>
  </r>
  <r>
    <s v="AP-0453"/>
    <s v="VND-023"/>
    <s v="CoolTech Systems"/>
    <s v="IT"/>
    <s v="South"/>
    <s v="Sofia Reyes"/>
    <d v="2026-05-03T00:00:00"/>
    <d v="2026-06-17T00:00:00"/>
    <n v="45"/>
    <n v="67922.880000000005"/>
    <n v="0"/>
    <n v="67922.880000000005"/>
    <m/>
    <s v="Pending"/>
    <s v="Wire"/>
    <m/>
    <m/>
    <x v="2"/>
    <s v="Yes"/>
    <n v="1.4999999999999999E-2"/>
    <s v="No"/>
    <n v="0"/>
  </r>
  <r>
    <s v="AP-0454"/>
    <s v="VND-012"/>
    <s v="FacilityPro Services"/>
    <s v="Facilities"/>
    <s v="Central"/>
    <s v="Ana Torres"/>
    <d v="2025-01-21T00:00:00"/>
    <d v="2025-03-22T00:00:00"/>
    <n v="60"/>
    <n v="15588.11"/>
    <n v="15588.11"/>
    <n v="0"/>
    <d v="2025-03-29T00:00:00"/>
    <s v="Paid"/>
    <s v="Check"/>
    <n v="67"/>
    <n v="-7"/>
    <x v="1"/>
    <s v="Yes"/>
    <n v="0.01"/>
    <s v="No"/>
    <n v="0"/>
  </r>
  <r>
    <s v="AP-0455"/>
    <s v="VND-020"/>
    <s v="TrustBuild Facilities"/>
    <s v="Facilities"/>
    <s v="South"/>
    <s v="Ana Torres"/>
    <d v="2025-12-30T00:00:00"/>
    <d v="2026-02-13T00:00:00"/>
    <n v="45"/>
    <n v="12727.98"/>
    <n v="12727.98"/>
    <n v="0"/>
    <d v="2026-02-10T00:00:00"/>
    <s v="Paid"/>
    <s v="Wire"/>
    <n v="42"/>
    <n v="3"/>
    <x v="0"/>
    <s v="Yes"/>
    <n v="1.4999999999999999E-2"/>
    <s v="No"/>
    <n v="0"/>
  </r>
  <r>
    <s v="AP-0456"/>
    <s v="VND-020"/>
    <s v="TrustBuild Facilities"/>
    <s v="Facilities"/>
    <s v="East"/>
    <s v="Pedro Alvarez"/>
    <d v="2025-12-12T00:00:00"/>
    <d v="2026-01-11T00:00:00"/>
    <n v="30"/>
    <n v="15919.94"/>
    <n v="15919.94"/>
    <n v="0"/>
    <d v="2026-01-12T00:00:00"/>
    <s v="Paid"/>
    <s v="Wire"/>
    <n v="31"/>
    <n v="-1"/>
    <x v="1"/>
    <s v="Yes"/>
    <n v="0.01"/>
    <s v="No"/>
    <n v="0"/>
  </r>
  <r>
    <s v="AP-0457"/>
    <s v="VND-003"/>
    <s v="FastShip Logistics"/>
    <s v="Logistics"/>
    <s v="North"/>
    <s v="Marco Diaz"/>
    <d v="2025-11-18T00:00:00"/>
    <d v="2025-12-18T00:00:00"/>
    <n v="30"/>
    <n v="7020.69"/>
    <n v="7020.69"/>
    <n v="0"/>
    <d v="2025-12-15T00:00:00"/>
    <s v="Paid"/>
    <s v="Check"/>
    <n v="27"/>
    <n v="3"/>
    <x v="0"/>
    <s v="Yes"/>
    <n v="0.01"/>
    <s v="No"/>
    <n v="0"/>
  </r>
  <r>
    <s v="AP-0458"/>
    <s v="VND-015"/>
    <s v="ExpressRoute Logistics"/>
    <s v="Logistics"/>
    <s v="East"/>
    <s v="Ana Torres"/>
    <d v="2025-06-21T00:00:00"/>
    <d v="2025-08-20T00:00:00"/>
    <n v="60"/>
    <n v="4493.84"/>
    <n v="4493.84"/>
    <n v="0"/>
    <d v="2025-08-15T00:00:00"/>
    <s v="Paid"/>
    <s v="Credit Card"/>
    <n v="55"/>
    <n v="5"/>
    <x v="0"/>
    <s v="Yes"/>
    <n v="0.01"/>
    <s v="No"/>
    <n v="0"/>
  </r>
  <r>
    <s v="AP-0459"/>
    <s v="VND-022"/>
    <s v="Apex Consulting"/>
    <s v="Services"/>
    <s v="East"/>
    <s v="Sofia Reyes"/>
    <d v="2026-02-11T00:00:00"/>
    <d v="2026-03-13T00:00:00"/>
    <n v="30"/>
    <n v="6811.34"/>
    <n v="3911.19"/>
    <n v="2900.15"/>
    <d v="2026-03-08T00:00:00"/>
    <s v="Partial"/>
    <s v="Wire"/>
    <n v="25"/>
    <n v="5"/>
    <x v="0"/>
    <s v="Yes"/>
    <n v="0.01"/>
    <s v="No"/>
    <n v="0"/>
  </r>
  <r>
    <s v="AP-0460"/>
    <s v="VND-025"/>
    <s v="RapidShip Co."/>
    <s v="Logistics"/>
    <s v="West"/>
    <s v="Ana Torres"/>
    <d v="2025-09-26T00:00:00"/>
    <d v="2025-10-26T00:00:00"/>
    <n v="30"/>
    <n v="12743.94"/>
    <n v="0"/>
    <n v="12743.94"/>
    <m/>
    <s v="Overdue"/>
    <s v="ACH"/>
    <m/>
    <n v="-217"/>
    <x v="1"/>
    <s v="Yes"/>
    <n v="0.01"/>
    <s v="No"/>
    <n v="0"/>
  </r>
  <r>
    <s v="AP-0461"/>
    <s v="VND-013"/>
    <s v="SafetyFirst Supplies"/>
    <s v="Materials"/>
    <s v="East"/>
    <s v="Marco Diaz"/>
    <d v="2026-03-30T00:00:00"/>
    <d v="2026-05-14T00:00:00"/>
    <n v="45"/>
    <n v="32071.07"/>
    <n v="0"/>
    <n v="32071.07"/>
    <m/>
    <s v="Pending"/>
    <s v="Wire"/>
    <m/>
    <m/>
    <x v="2"/>
    <s v="Yes"/>
    <n v="1.4999999999999999E-2"/>
    <s v="No"/>
    <n v="0"/>
  </r>
  <r>
    <s v="AP-0462"/>
    <s v="VND-022"/>
    <s v="Apex Consulting"/>
    <s v="Services"/>
    <s v="East"/>
    <s v="Laura Chen"/>
    <d v="2025-10-06T00:00:00"/>
    <d v="2026-01-04T00:00:00"/>
    <n v="90"/>
    <n v="23296.18"/>
    <n v="0"/>
    <n v="23296.18"/>
    <m/>
    <s v="Overdue"/>
    <s v="Credit Card"/>
    <m/>
    <n v="-147"/>
    <x v="1"/>
    <s v="Yes"/>
    <n v="5.0000000000000001E-3"/>
    <s v="No"/>
    <n v="0"/>
  </r>
  <r>
    <s v="AP-0463"/>
    <s v="VND-018"/>
    <s v="BuildFast Materials"/>
    <s v="Materials"/>
    <s v="South"/>
    <s v="Ana Torres"/>
    <d v="2025-11-14T00:00:00"/>
    <d v="2026-01-13T00:00:00"/>
    <n v="60"/>
    <n v="45628.31"/>
    <n v="45628.31"/>
    <n v="0"/>
    <d v="2026-01-18T00:00:00"/>
    <s v="Paid"/>
    <s v="Credit Card"/>
    <n v="65"/>
    <n v="-5"/>
    <x v="1"/>
    <s v="Yes"/>
    <n v="0.01"/>
    <s v="No"/>
    <n v="0"/>
  </r>
  <r>
    <s v="AP-0464"/>
    <s v="VND-014"/>
    <s v="NetConnect Systems"/>
    <s v="IT"/>
    <s v="East"/>
    <s v="Marco Diaz"/>
    <d v="2025-01-01T00:00:00"/>
    <d v="2025-01-16T00:00:00"/>
    <n v="15"/>
    <n v="44248.72"/>
    <n v="44248.72"/>
    <n v="0"/>
    <d v="2025-01-19T00:00:00"/>
    <s v="Paid"/>
    <s v="Check"/>
    <n v="18"/>
    <n v="-3"/>
    <x v="1"/>
    <s v="No"/>
    <n v="0"/>
    <s v="No"/>
    <n v="0"/>
  </r>
  <r>
    <s v="AP-0465"/>
    <s v="VND-010"/>
    <s v="DataBridge IT"/>
    <s v="IT"/>
    <s v="West"/>
    <s v="Ana Torres"/>
    <d v="2026-05-04T00:00:00"/>
    <d v="2026-08-02T00:00:00"/>
    <n v="90"/>
    <n v="27470.79"/>
    <n v="19185.150000000001"/>
    <n v="8285.64"/>
    <d v="2026-05-31T00:00:00"/>
    <s v="Partial"/>
    <s v="ACH"/>
    <n v="27"/>
    <n v="63"/>
    <x v="0"/>
    <s v="No"/>
    <n v="0"/>
    <s v="No"/>
    <n v="0"/>
  </r>
  <r>
    <s v="AP-0466"/>
    <s v="VND-012"/>
    <s v="FacilityPro Services"/>
    <s v="Facilities"/>
    <s v="South"/>
    <s v="Pedro Alvarez"/>
    <d v="2025-09-13T00:00:00"/>
    <d v="2025-11-12T00:00:00"/>
    <n v="60"/>
    <n v="7387.89"/>
    <n v="7387.89"/>
    <n v="0"/>
    <d v="2025-11-08T00:00:00"/>
    <s v="Paid"/>
    <s v="Credit Card"/>
    <n v="56"/>
    <n v="4"/>
    <x v="0"/>
    <s v="No"/>
    <n v="0"/>
    <s v="No"/>
    <n v="0"/>
  </r>
  <r>
    <s v="AP-0467"/>
    <s v="VND-014"/>
    <s v="NetConnect Systems"/>
    <s v="IT"/>
    <s v="South"/>
    <s v="Ana Torres"/>
    <d v="2025-10-03T00:00:00"/>
    <d v="2025-11-17T00:00:00"/>
    <n v="45"/>
    <n v="35967.79"/>
    <n v="35967.79"/>
    <n v="0"/>
    <d v="2025-11-21T00:00:00"/>
    <s v="Paid"/>
    <s v="Check"/>
    <n v="49"/>
    <n v="-4"/>
    <x v="1"/>
    <s v="No"/>
    <n v="0"/>
    <s v="No"/>
    <n v="0"/>
  </r>
  <r>
    <s v="AP-0468"/>
    <s v="VND-010"/>
    <s v="DataBridge IT"/>
    <s v="IT"/>
    <s v="North"/>
    <s v="Pedro Alvarez"/>
    <d v="2026-05-19T00:00:00"/>
    <d v="2026-07-03T00:00:00"/>
    <n v="45"/>
    <n v="19084.21"/>
    <n v="19084.21"/>
    <n v="0"/>
    <d v="2026-05-31T00:00:00"/>
    <s v="Paid"/>
    <s v="Credit Card"/>
    <n v="12"/>
    <n v="33"/>
    <x v="0"/>
    <s v="Yes"/>
    <n v="1.4999999999999999E-2"/>
    <s v="Yes"/>
    <n v="286.26"/>
  </r>
  <r>
    <s v="AP-0469"/>
    <s v="VND-009"/>
    <s v="MetalWorks Ltd."/>
    <s v="Materials"/>
    <s v="South"/>
    <s v="Pedro Alvarez"/>
    <d v="2025-04-03T00:00:00"/>
    <d v="2025-05-03T00:00:00"/>
    <n v="30"/>
    <n v="9232.82"/>
    <n v="9232.82"/>
    <n v="0"/>
    <d v="2025-05-06T00:00:00"/>
    <s v="Paid"/>
    <s v="ACH"/>
    <n v="33"/>
    <n v="-3"/>
    <x v="1"/>
    <s v="Yes"/>
    <n v="0.01"/>
    <s v="No"/>
    <n v="0"/>
  </r>
  <r>
    <s v="AP-0470"/>
    <s v="VND-010"/>
    <s v="DataBridge IT"/>
    <s v="IT"/>
    <s v="West"/>
    <s v="Laura Chen"/>
    <d v="2025-12-05T00:00:00"/>
    <d v="2025-12-20T00:00:00"/>
    <n v="15"/>
    <n v="11016.73"/>
    <n v="11016.73"/>
    <n v="0"/>
    <d v="2025-12-20T00:00:00"/>
    <s v="Paid"/>
    <s v="Credit Card"/>
    <n v="15"/>
    <n v="0"/>
    <x v="0"/>
    <s v="No"/>
    <n v="0"/>
    <s v="No"/>
    <n v="0"/>
  </r>
  <r>
    <s v="AP-0471"/>
    <s v="VND-018"/>
    <s v="BuildFast Materials"/>
    <s v="Materials"/>
    <s v="West"/>
    <s v="Marco Diaz"/>
    <d v="2026-01-26T00:00:00"/>
    <d v="2026-03-12T00:00:00"/>
    <n v="45"/>
    <n v="41756.1"/>
    <n v="41756.1"/>
    <n v="0"/>
    <d v="2026-03-19T00:00:00"/>
    <s v="Paid"/>
    <s v="Wire"/>
    <n v="52"/>
    <n v="-7"/>
    <x v="1"/>
    <s v="Yes"/>
    <n v="1.4999999999999999E-2"/>
    <s v="No"/>
    <n v="0"/>
  </r>
  <r>
    <s v="AP-0472"/>
    <s v="VND-008"/>
    <s v="GreenEnergy Corp."/>
    <s v="Utilities"/>
    <s v="West"/>
    <s v="Pedro Alvarez"/>
    <d v="2025-07-23T00:00:00"/>
    <d v="2025-08-07T00:00:00"/>
    <n v="15"/>
    <n v="7182.1"/>
    <n v="7182.1"/>
    <n v="0"/>
    <d v="2025-08-15T00:00:00"/>
    <s v="Paid"/>
    <s v="Wire"/>
    <n v="23"/>
    <n v="-8"/>
    <x v="1"/>
    <s v="No"/>
    <n v="0"/>
    <s v="No"/>
    <n v="0"/>
  </r>
  <r>
    <s v="AP-0473"/>
    <s v="VND-022"/>
    <s v="Apex Consulting"/>
    <s v="Services"/>
    <s v="East"/>
    <s v="Laura Chen"/>
    <d v="2025-05-06T00:00:00"/>
    <d v="2025-05-21T00:00:00"/>
    <n v="15"/>
    <n v="12372.57"/>
    <n v="12372.57"/>
    <n v="0"/>
    <d v="2025-05-20T00:00:00"/>
    <s v="Paid"/>
    <s v="Wire"/>
    <n v="14"/>
    <n v="1"/>
    <x v="0"/>
    <s v="Yes"/>
    <n v="0.02"/>
    <s v="No"/>
    <n v="0"/>
  </r>
  <r>
    <s v="AP-0474"/>
    <s v="VND-002"/>
    <s v="TechCore Solutions"/>
    <s v="IT"/>
    <s v="South"/>
    <s v="Sofia Reyes"/>
    <d v="2025-11-29T00:00:00"/>
    <d v="2026-01-28T00:00:00"/>
    <n v="60"/>
    <n v="6130.08"/>
    <n v="6130.08"/>
    <n v="0"/>
    <d v="2026-01-24T00:00:00"/>
    <s v="Paid"/>
    <s v="Wire"/>
    <n v="56"/>
    <n v="4"/>
    <x v="0"/>
    <s v="No"/>
    <n v="0"/>
    <s v="No"/>
    <n v="0"/>
  </r>
  <r>
    <s v="AP-0475"/>
    <s v="VND-002"/>
    <s v="TechCore Solutions"/>
    <s v="IT"/>
    <s v="Central"/>
    <s v="Pedro Alvarez"/>
    <d v="2025-04-02T00:00:00"/>
    <d v="2025-06-01T00:00:00"/>
    <n v="60"/>
    <n v="23654.17"/>
    <n v="23654.17"/>
    <n v="0"/>
    <d v="2025-06-04T00:00:00"/>
    <s v="Paid"/>
    <s v="Wire"/>
    <n v="63"/>
    <n v="-3"/>
    <x v="1"/>
    <s v="Yes"/>
    <n v="0.01"/>
    <s v="No"/>
    <n v="0"/>
  </r>
  <r>
    <s v="AP-0476"/>
    <s v="VND-011"/>
    <s v="QuickFreight Inc."/>
    <s v="Logistics"/>
    <s v="North"/>
    <s v="Sofia Reyes"/>
    <d v="2025-04-20T00:00:00"/>
    <d v="2025-05-20T00:00:00"/>
    <n v="30"/>
    <n v="3390.72"/>
    <n v="0"/>
    <n v="3390.72"/>
    <m/>
    <s v="Overdue"/>
    <s v="Check"/>
    <m/>
    <n v="-376"/>
    <x v="1"/>
    <s v="Yes"/>
    <n v="0.01"/>
    <s v="No"/>
    <n v="0"/>
  </r>
  <r>
    <s v="AP-0477"/>
    <s v="VND-021"/>
    <s v="PrimePack Logistics"/>
    <s v="Logistics"/>
    <s v="East"/>
    <s v="Pedro Alvarez"/>
    <d v="2026-01-22T00:00:00"/>
    <d v="2026-02-06T00:00:00"/>
    <n v="15"/>
    <n v="7805.18"/>
    <n v="4235.49"/>
    <n v="3569.69"/>
    <d v="2026-02-15T00:00:00"/>
    <s v="Partial"/>
    <s v="Wire"/>
    <n v="24"/>
    <n v="-9"/>
    <x v="1"/>
    <s v="Yes"/>
    <n v="0.02"/>
    <s v="No"/>
    <n v="0"/>
  </r>
  <r>
    <s v="AP-0478"/>
    <s v="VND-018"/>
    <s v="BuildFast Materials"/>
    <s v="Materials"/>
    <s v="East"/>
    <s v="Ana Torres"/>
    <d v="2025-07-11T00:00:00"/>
    <d v="2025-08-10T00:00:00"/>
    <n v="30"/>
    <n v="28093.79"/>
    <n v="28093.79"/>
    <n v="0"/>
    <d v="2025-08-17T00:00:00"/>
    <s v="Paid"/>
    <s v="Credit Card"/>
    <n v="37"/>
    <n v="-7"/>
    <x v="1"/>
    <s v="Yes"/>
    <n v="0.01"/>
    <s v="No"/>
    <n v="0"/>
  </r>
  <r>
    <s v="AP-0479"/>
    <s v="VND-018"/>
    <s v="BuildFast Materials"/>
    <s v="Materials"/>
    <s v="South"/>
    <s v="Sofia Reyes"/>
    <d v="2025-10-30T00:00:00"/>
    <d v="2026-01-28T00:00:00"/>
    <n v="90"/>
    <n v="41332.089999999997"/>
    <n v="41332.089999999997"/>
    <n v="0"/>
    <d v="2026-01-21T00:00:00"/>
    <s v="Paid"/>
    <s v="Wire"/>
    <n v="83"/>
    <n v="7"/>
    <x v="0"/>
    <s v="Yes"/>
    <n v="5.0000000000000001E-3"/>
    <s v="No"/>
    <n v="0"/>
  </r>
  <r>
    <s v="AP-0480"/>
    <s v="VND-025"/>
    <s v="RapidShip Co."/>
    <s v="Logistics"/>
    <s v="Central"/>
    <s v="Pedro Alvarez"/>
    <d v="2026-01-08T00:00:00"/>
    <d v="2026-01-23T00:00:00"/>
    <n v="15"/>
    <n v="15744.31"/>
    <n v="15744.31"/>
    <n v="0"/>
    <d v="2026-01-18T00:00:00"/>
    <s v="Paid"/>
    <s v="Wire"/>
    <n v="10"/>
    <n v="5"/>
    <x v="0"/>
    <s v="Yes"/>
    <n v="0.02"/>
    <s v="No"/>
    <n v="0"/>
  </r>
  <r>
    <s v="AP-0481"/>
    <s v="VND-013"/>
    <s v="SafetyFirst Supplies"/>
    <s v="Materials"/>
    <s v="South"/>
    <s v="Ana Torres"/>
    <d v="2025-10-17T00:00:00"/>
    <d v="2025-11-16T00:00:00"/>
    <n v="30"/>
    <n v="17484.8"/>
    <n v="17484.8"/>
    <n v="0"/>
    <d v="2025-11-08T00:00:00"/>
    <s v="Paid"/>
    <s v="Credit Card"/>
    <n v="22"/>
    <n v="8"/>
    <x v="0"/>
    <s v="Yes"/>
    <n v="0.01"/>
    <s v="No"/>
    <n v="0"/>
  </r>
  <r>
    <s v="AP-0482"/>
    <s v="VND-017"/>
    <s v="OfficePro Services"/>
    <s v="Services"/>
    <s v="North"/>
    <s v="Sofia Reyes"/>
    <d v="2025-02-02T00:00:00"/>
    <d v="2025-03-04T00:00:00"/>
    <n v="30"/>
    <n v="10476.92"/>
    <n v="10476.92"/>
    <n v="0"/>
    <d v="2025-02-19T00:00:00"/>
    <s v="Paid"/>
    <s v="Wire"/>
    <n v="17"/>
    <n v="13"/>
    <x v="0"/>
    <s v="Yes"/>
    <n v="0.01"/>
    <s v="No"/>
    <n v="0"/>
  </r>
  <r>
    <s v="AP-0483"/>
    <s v="VND-022"/>
    <s v="Apex Consulting"/>
    <s v="Services"/>
    <s v="West"/>
    <s v="Ana Torres"/>
    <d v="2026-01-11T00:00:00"/>
    <d v="2026-01-26T00:00:00"/>
    <n v="15"/>
    <n v="11166.74"/>
    <n v="11166.74"/>
    <n v="0"/>
    <d v="2026-01-20T00:00:00"/>
    <s v="Paid"/>
    <s v="Check"/>
    <n v="9"/>
    <n v="6"/>
    <x v="0"/>
    <s v="No"/>
    <n v="0"/>
    <s v="No"/>
    <n v="0"/>
  </r>
  <r>
    <s v="AP-0484"/>
    <s v="VND-007"/>
    <s v="ProStaff Services"/>
    <s v="Services"/>
    <s v="West"/>
    <s v="Sofia Reyes"/>
    <d v="2026-01-05T00:00:00"/>
    <d v="2026-01-20T00:00:00"/>
    <n v="15"/>
    <n v="23646.74"/>
    <n v="23646.74"/>
    <n v="0"/>
    <d v="2026-01-12T00:00:00"/>
    <s v="Paid"/>
    <s v="Credit Card"/>
    <n v="7"/>
    <n v="8"/>
    <x v="0"/>
    <s v="No"/>
    <n v="0"/>
    <s v="No"/>
    <n v="0"/>
  </r>
  <r>
    <s v="AP-0485"/>
    <s v="VND-020"/>
    <s v="TrustBuild Facilities"/>
    <s v="Facilities"/>
    <s v="East"/>
    <s v="Ana Torres"/>
    <d v="2025-11-08T00:00:00"/>
    <d v="2025-12-08T00:00:00"/>
    <n v="30"/>
    <n v="4571.87"/>
    <n v="4571.87"/>
    <n v="0"/>
    <d v="2025-12-17T00:00:00"/>
    <s v="Paid"/>
    <s v="ACH"/>
    <n v="39"/>
    <n v="-9"/>
    <x v="1"/>
    <s v="Yes"/>
    <n v="0.01"/>
    <s v="No"/>
    <n v="0"/>
  </r>
  <r>
    <s v="AP-0486"/>
    <s v="VND-004"/>
    <s v="BuildRight Materials"/>
    <s v="Materials"/>
    <s v="South"/>
    <s v="Ana Torres"/>
    <d v="2025-07-17T00:00:00"/>
    <d v="2025-08-16T00:00:00"/>
    <n v="30"/>
    <n v="27257.22"/>
    <n v="27257.22"/>
    <n v="0"/>
    <d v="2025-08-21T00:00:00"/>
    <s v="Paid"/>
    <s v="Credit Card"/>
    <n v="35"/>
    <n v="-5"/>
    <x v="1"/>
    <s v="Yes"/>
    <n v="0.01"/>
    <s v="No"/>
    <n v="0"/>
  </r>
  <r>
    <s v="AP-0487"/>
    <s v="VND-014"/>
    <s v="NetConnect Systems"/>
    <s v="IT"/>
    <s v="North"/>
    <s v="Ana Torres"/>
    <d v="2026-03-14T00:00:00"/>
    <d v="2026-06-12T00:00:00"/>
    <n v="90"/>
    <n v="71211.8"/>
    <n v="71211.8"/>
    <n v="0"/>
    <d v="2026-05-31T00:00:00"/>
    <s v="Paid"/>
    <s v="Check"/>
    <n v="78"/>
    <n v="12"/>
    <x v="0"/>
    <s v="Yes"/>
    <n v="5.0000000000000001E-3"/>
    <s v="No"/>
    <n v="0"/>
  </r>
  <r>
    <s v="AP-0488"/>
    <s v="VND-011"/>
    <s v="QuickFreight Inc."/>
    <s v="Logistics"/>
    <s v="South"/>
    <s v="Ana Torres"/>
    <d v="2025-11-19T00:00:00"/>
    <d v="2026-01-18T00:00:00"/>
    <n v="60"/>
    <n v="11451.55"/>
    <n v="5796.45"/>
    <n v="5655.1"/>
    <d v="2026-02-02T00:00:00"/>
    <s v="Partial"/>
    <s v="Credit Card"/>
    <n v="75"/>
    <n v="-15"/>
    <x v="1"/>
    <s v="No"/>
    <n v="0"/>
    <s v="No"/>
    <n v="0"/>
  </r>
  <r>
    <s v="AP-0489"/>
    <s v="VND-014"/>
    <s v="NetConnect Systems"/>
    <s v="IT"/>
    <s v="East"/>
    <s v="Ana Torres"/>
    <d v="2026-01-20T00:00:00"/>
    <d v="2026-02-19T00:00:00"/>
    <n v="30"/>
    <n v="62428.12"/>
    <n v="62428.12"/>
    <n v="0"/>
    <d v="2026-02-27T00:00:00"/>
    <s v="Paid"/>
    <s v="Wire"/>
    <n v="38"/>
    <n v="-8"/>
    <x v="1"/>
    <s v="No"/>
    <n v="0"/>
    <s v="No"/>
    <n v="0"/>
  </r>
  <r>
    <s v="AP-0490"/>
    <s v="VND-013"/>
    <s v="SafetyFirst Supplies"/>
    <s v="Materials"/>
    <s v="North"/>
    <s v="Sofia Reyes"/>
    <d v="2025-05-19T00:00:00"/>
    <d v="2025-06-03T00:00:00"/>
    <n v="15"/>
    <n v="49683.78"/>
    <n v="49683.78"/>
    <n v="0"/>
    <d v="2025-06-01T00:00:00"/>
    <s v="Paid"/>
    <s v="Check"/>
    <n v="13"/>
    <n v="2"/>
    <x v="0"/>
    <s v="Yes"/>
    <n v="0.02"/>
    <s v="No"/>
    <n v="0"/>
  </r>
  <r>
    <s v="AP-0491"/>
    <s v="VND-008"/>
    <s v="GreenEnergy Corp."/>
    <s v="Utilities"/>
    <s v="South"/>
    <s v="Laura Chen"/>
    <d v="2025-06-08T00:00:00"/>
    <d v="2025-07-23T00:00:00"/>
    <n v="45"/>
    <n v="1867.16"/>
    <n v="1867.16"/>
    <n v="0"/>
    <d v="2025-07-22T00:00:00"/>
    <s v="Paid"/>
    <s v="ACH"/>
    <n v="44"/>
    <n v="1"/>
    <x v="0"/>
    <s v="Yes"/>
    <n v="1.4999999999999999E-2"/>
    <s v="No"/>
    <n v="0"/>
  </r>
  <r>
    <s v="AP-0492"/>
    <s v="VND-008"/>
    <s v="GreenEnergy Corp."/>
    <s v="Utilities"/>
    <s v="South"/>
    <s v="Laura Chen"/>
    <d v="2026-02-14T00:00:00"/>
    <d v="2026-03-16T00:00:00"/>
    <n v="30"/>
    <n v="8751.44"/>
    <n v="8751.44"/>
    <n v="0"/>
    <d v="2026-04-01T00:00:00"/>
    <s v="Paid"/>
    <s v="Check"/>
    <n v="46"/>
    <n v="-16"/>
    <x v="1"/>
    <s v="Yes"/>
    <n v="0.01"/>
    <s v="No"/>
    <n v="0"/>
  </r>
  <r>
    <s v="AP-0493"/>
    <s v="VND-011"/>
    <s v="QuickFreight Inc."/>
    <s v="Logistics"/>
    <s v="West"/>
    <s v="Marco Diaz"/>
    <d v="2025-11-04T00:00:00"/>
    <d v="2025-12-04T00:00:00"/>
    <n v="30"/>
    <n v="1710.06"/>
    <n v="1710.06"/>
    <n v="0"/>
    <d v="2025-12-07T00:00:00"/>
    <s v="Paid"/>
    <s v="Credit Card"/>
    <n v="33"/>
    <n v="-3"/>
    <x v="1"/>
    <s v="No"/>
    <n v="0"/>
    <s v="No"/>
    <n v="0"/>
  </r>
  <r>
    <s v="AP-0494"/>
    <s v="VND-011"/>
    <s v="QuickFreight Inc."/>
    <s v="Logistics"/>
    <s v="East"/>
    <s v="Pedro Alvarez"/>
    <d v="2025-08-21T00:00:00"/>
    <d v="2025-09-20T00:00:00"/>
    <n v="30"/>
    <n v="15205.89"/>
    <n v="0"/>
    <n v="15205.89"/>
    <m/>
    <s v="Overdue"/>
    <s v="Credit Card"/>
    <m/>
    <n v="-253"/>
    <x v="1"/>
    <s v="No"/>
    <n v="0"/>
    <s v="No"/>
    <n v="0"/>
  </r>
  <r>
    <s v="AP-0495"/>
    <s v="VND-021"/>
    <s v="PrimePack Logistics"/>
    <s v="Logistics"/>
    <s v="West"/>
    <s v="Sofia Reyes"/>
    <d v="2025-11-23T00:00:00"/>
    <d v="2025-12-08T00:00:00"/>
    <n v="15"/>
    <n v="11258.66"/>
    <n v="11258.66"/>
    <n v="0"/>
    <d v="2025-11-24T00:00:00"/>
    <s v="Paid"/>
    <s v="Check"/>
    <n v="1"/>
    <n v="14"/>
    <x v="0"/>
    <s v="Yes"/>
    <n v="0.02"/>
    <s v="Yes"/>
    <n v="225.17"/>
  </r>
  <r>
    <s v="AP-0496"/>
    <s v="VND-008"/>
    <s v="GreenEnergy Corp."/>
    <s v="Utilities"/>
    <s v="South"/>
    <s v="Sofia Reyes"/>
    <d v="2025-04-03T00:00:00"/>
    <d v="2025-07-02T00:00:00"/>
    <n v="90"/>
    <n v="3720.24"/>
    <n v="3720.24"/>
    <n v="0"/>
    <d v="2025-07-04T00:00:00"/>
    <s v="Paid"/>
    <s v="Credit Card"/>
    <n v="92"/>
    <n v="-2"/>
    <x v="1"/>
    <s v="Yes"/>
    <n v="5.0000000000000001E-3"/>
    <s v="No"/>
    <n v="0"/>
  </r>
  <r>
    <s v="AP-0497"/>
    <s v="VND-019"/>
    <s v="SkyNet IT Solutions"/>
    <s v="IT"/>
    <s v="North"/>
    <s v="Ana Torres"/>
    <d v="2025-03-29T00:00:00"/>
    <d v="2025-05-13T00:00:00"/>
    <n v="45"/>
    <n v="34889.53"/>
    <n v="34889.53"/>
    <n v="0"/>
    <d v="2025-05-15T00:00:00"/>
    <s v="Paid"/>
    <s v="Credit Card"/>
    <n v="47"/>
    <n v="-2"/>
    <x v="1"/>
    <s v="Yes"/>
    <n v="1.4999999999999999E-2"/>
    <s v="No"/>
    <n v="0"/>
  </r>
  <r>
    <s v="AP-0498"/>
    <s v="VND-025"/>
    <s v="RapidShip Co."/>
    <s v="Logistics"/>
    <s v="South"/>
    <s v="Pedro Alvarez"/>
    <d v="2026-02-09T00:00:00"/>
    <d v="2026-05-10T00:00:00"/>
    <n v="90"/>
    <n v="13392.72"/>
    <n v="13392.72"/>
    <n v="0"/>
    <d v="2026-05-10T00:00:00"/>
    <s v="Paid"/>
    <s v="Wire"/>
    <n v="90"/>
    <n v="0"/>
    <x v="0"/>
    <s v="Yes"/>
    <n v="5.0000000000000001E-3"/>
    <s v="No"/>
    <n v="0"/>
  </r>
  <r>
    <s v="AP-0499"/>
    <s v="VND-025"/>
    <s v="RapidShip Co."/>
    <s v="Logistics"/>
    <s v="West"/>
    <s v="Laura Chen"/>
    <d v="2026-02-28T00:00:00"/>
    <d v="2026-03-30T00:00:00"/>
    <n v="30"/>
    <n v="9047.27"/>
    <n v="9047.27"/>
    <n v="0"/>
    <d v="2026-04-02T00:00:00"/>
    <s v="Paid"/>
    <s v="ACH"/>
    <n v="33"/>
    <n v="-3"/>
    <x v="1"/>
    <s v="Yes"/>
    <n v="0.01"/>
    <s v="No"/>
    <n v="0"/>
  </r>
  <r>
    <s v="AP-0500"/>
    <s v="VND-020"/>
    <s v="TrustBuild Facilities"/>
    <s v="Facilities"/>
    <s v="North"/>
    <s v="Laura Chen"/>
    <d v="2026-03-29T00:00:00"/>
    <d v="2026-05-28T00:00:00"/>
    <n v="60"/>
    <n v="22565.01"/>
    <n v="0"/>
    <n v="22565.01"/>
    <m/>
    <s v="Pending"/>
    <s v="Wire"/>
    <m/>
    <m/>
    <x v="2"/>
    <s v="Yes"/>
    <n v="0.01"/>
    <s v="No"/>
    <n v="0"/>
  </r>
  <r>
    <s v="AP-0501"/>
    <s v="VND-022"/>
    <s v="Apex Consulting"/>
    <s v="Services"/>
    <s v="East"/>
    <s v="Marco Diaz"/>
    <d v="2025-02-25T00:00:00"/>
    <d v="2025-03-27T00:00:00"/>
    <n v="30"/>
    <n v="11992.79"/>
    <n v="11992.79"/>
    <n v="0"/>
    <d v="2025-03-30T00:00:00"/>
    <s v="Paid"/>
    <s v="ACH"/>
    <n v="33"/>
    <n v="-3"/>
    <x v="1"/>
    <s v="Yes"/>
    <n v="0.01"/>
    <s v="No"/>
    <n v="0"/>
  </r>
  <r>
    <s v="AP-0502"/>
    <s v="VND-011"/>
    <s v="QuickFreight Inc."/>
    <s v="Logistics"/>
    <s v="North"/>
    <s v="Laura Chen"/>
    <d v="2025-01-24T00:00:00"/>
    <d v="2025-04-24T00:00:00"/>
    <n v="90"/>
    <n v="7305.66"/>
    <n v="7305.66"/>
    <n v="0"/>
    <d v="2025-04-19T00:00:00"/>
    <s v="Paid"/>
    <s v="Credit Card"/>
    <n v="85"/>
    <n v="5"/>
    <x v="0"/>
    <s v="No"/>
    <n v="0"/>
    <s v="No"/>
    <n v="0"/>
  </r>
  <r>
    <s v="AP-0503"/>
    <s v="VND-018"/>
    <s v="BuildFast Materials"/>
    <s v="Materials"/>
    <s v="Central"/>
    <s v="Laura Chen"/>
    <d v="2025-01-19T00:00:00"/>
    <d v="2025-02-18T00:00:00"/>
    <n v="30"/>
    <n v="20077.12"/>
    <n v="20077.12"/>
    <n v="0"/>
    <d v="2025-02-18T00:00:00"/>
    <s v="Paid"/>
    <s v="Credit Card"/>
    <n v="30"/>
    <n v="0"/>
    <x v="0"/>
    <s v="No"/>
    <n v="0"/>
    <s v="No"/>
    <n v="0"/>
  </r>
  <r>
    <s v="AP-0504"/>
    <s v="VND-007"/>
    <s v="ProStaff Services"/>
    <s v="Services"/>
    <s v="Central"/>
    <s v="Laura Chen"/>
    <d v="2025-01-09T00:00:00"/>
    <d v="2025-04-09T00:00:00"/>
    <n v="90"/>
    <n v="5464.12"/>
    <n v="5464.12"/>
    <n v="0"/>
    <d v="2025-04-11T00:00:00"/>
    <s v="Paid"/>
    <s v="ACH"/>
    <n v="92"/>
    <n v="-2"/>
    <x v="1"/>
    <s v="Yes"/>
    <n v="5.0000000000000001E-3"/>
    <s v="No"/>
    <n v="0"/>
  </r>
  <r>
    <s v="AP-0505"/>
    <s v="VND-022"/>
    <s v="Apex Consulting"/>
    <s v="Services"/>
    <s v="East"/>
    <s v="Sofia Reyes"/>
    <d v="2026-01-31T00:00:00"/>
    <d v="2026-03-17T00:00:00"/>
    <n v="45"/>
    <n v="11553.24"/>
    <n v="0"/>
    <n v="11553.24"/>
    <m/>
    <s v="Overdue"/>
    <s v="ACH"/>
    <m/>
    <n v="-75"/>
    <x v="1"/>
    <s v="Yes"/>
    <n v="1.4999999999999999E-2"/>
    <s v="No"/>
    <n v="0"/>
  </r>
  <r>
    <s v="AP-0506"/>
    <s v="VND-004"/>
    <s v="BuildRight Materials"/>
    <s v="Materials"/>
    <s v="East"/>
    <s v="Pedro Alvarez"/>
    <d v="2025-07-23T00:00:00"/>
    <d v="2025-08-22T00:00:00"/>
    <n v="30"/>
    <n v="26031.24"/>
    <n v="0"/>
    <n v="26031.24"/>
    <m/>
    <s v="Overdue"/>
    <s v="ACH"/>
    <m/>
    <n v="-282"/>
    <x v="1"/>
    <s v="Yes"/>
    <n v="0.01"/>
    <s v="No"/>
    <n v="0"/>
  </r>
  <r>
    <s v="AP-0507"/>
    <s v="VND-001"/>
    <s v="Acme Supplies Co."/>
    <s v="Materials"/>
    <s v="North"/>
    <s v="Marco Diaz"/>
    <d v="2026-05-17T00:00:00"/>
    <d v="2026-07-16T00:00:00"/>
    <n v="60"/>
    <n v="20883.189999999999"/>
    <n v="0"/>
    <n v="20883.189999999999"/>
    <m/>
    <s v="Pending"/>
    <s v="Check"/>
    <m/>
    <m/>
    <x v="2"/>
    <s v="Yes"/>
    <n v="0.01"/>
    <s v="No"/>
    <n v="0"/>
  </r>
  <r>
    <s v="AP-0508"/>
    <s v="VND-021"/>
    <s v="PrimePack Logistics"/>
    <s v="Logistics"/>
    <s v="East"/>
    <s v="Marco Diaz"/>
    <d v="2025-09-21T00:00:00"/>
    <d v="2025-10-06T00:00:00"/>
    <n v="15"/>
    <n v="17694.87"/>
    <n v="5569.16"/>
    <n v="12125.71"/>
    <d v="2025-10-18T00:00:00"/>
    <s v="Partial"/>
    <s v="Check"/>
    <n v="27"/>
    <n v="-12"/>
    <x v="1"/>
    <s v="No"/>
    <n v="0"/>
    <s v="No"/>
    <n v="0"/>
  </r>
  <r>
    <s v="AP-0509"/>
    <s v="VND-009"/>
    <s v="MetalWorks Ltd."/>
    <s v="Materials"/>
    <s v="South"/>
    <s v="Marco Diaz"/>
    <d v="2025-05-21T00:00:00"/>
    <d v="2025-07-20T00:00:00"/>
    <n v="60"/>
    <n v="6214.16"/>
    <n v="0"/>
    <n v="6214.16"/>
    <m/>
    <s v="Overdue"/>
    <s v="Check"/>
    <m/>
    <n v="-315"/>
    <x v="1"/>
    <s v="Yes"/>
    <n v="0.01"/>
    <s v="No"/>
    <n v="0"/>
  </r>
  <r>
    <s v="AP-0510"/>
    <s v="VND-020"/>
    <s v="TrustBuild Facilities"/>
    <s v="Facilities"/>
    <s v="South"/>
    <s v="Pedro Alvarez"/>
    <d v="2026-03-13T00:00:00"/>
    <d v="2026-04-12T00:00:00"/>
    <n v="30"/>
    <n v="34027.730000000003"/>
    <n v="34027.730000000003"/>
    <n v="0"/>
    <d v="2026-04-13T00:00:00"/>
    <s v="Paid"/>
    <s v="Wire"/>
    <n v="31"/>
    <n v="-1"/>
    <x v="1"/>
    <s v="No"/>
    <n v="0"/>
    <s v="No"/>
    <n v="0"/>
  </r>
  <r>
    <s v="AP-0511"/>
    <s v="VND-018"/>
    <s v="BuildFast Materials"/>
    <s v="Materials"/>
    <s v="South"/>
    <s v="Marco Diaz"/>
    <d v="2026-03-17T00:00:00"/>
    <d v="2026-04-16T00:00:00"/>
    <n v="30"/>
    <n v="49792.92"/>
    <n v="49792.92"/>
    <n v="0"/>
    <d v="2026-04-20T00:00:00"/>
    <s v="Paid"/>
    <s v="Check"/>
    <n v="34"/>
    <n v="-4"/>
    <x v="1"/>
    <s v="No"/>
    <n v="0"/>
    <s v="No"/>
    <n v="0"/>
  </r>
  <r>
    <s v="AP-0512"/>
    <s v="VND-006"/>
    <s v="PowerGrid Utilities"/>
    <s v="Utilities"/>
    <s v="East"/>
    <s v="Sofia Reyes"/>
    <d v="2025-11-22T00:00:00"/>
    <d v="2025-12-22T00:00:00"/>
    <n v="30"/>
    <n v="12673.08"/>
    <n v="12673.08"/>
    <n v="0"/>
    <d v="2025-12-14T00:00:00"/>
    <s v="Paid"/>
    <s v="ACH"/>
    <n v="22"/>
    <n v="8"/>
    <x v="0"/>
    <s v="Yes"/>
    <n v="0.01"/>
    <s v="No"/>
    <n v="0"/>
  </r>
  <r>
    <s v="AP-0513"/>
    <s v="VND-014"/>
    <s v="NetConnect Systems"/>
    <s v="IT"/>
    <s v="East"/>
    <s v="Pedro Alvarez"/>
    <d v="2025-07-12T00:00:00"/>
    <d v="2025-08-11T00:00:00"/>
    <n v="30"/>
    <n v="13007.86"/>
    <n v="13007.86"/>
    <n v="0"/>
    <d v="2025-08-30T00:00:00"/>
    <s v="Paid"/>
    <s v="Check"/>
    <n v="49"/>
    <n v="-19"/>
    <x v="1"/>
    <s v="Yes"/>
    <n v="0.01"/>
    <s v="No"/>
    <n v="0"/>
  </r>
  <r>
    <s v="AP-0514"/>
    <s v="VND-020"/>
    <s v="TrustBuild Facilities"/>
    <s v="Facilities"/>
    <s v="Central"/>
    <s v="Laura Chen"/>
    <d v="2025-08-25T00:00:00"/>
    <d v="2025-09-24T00:00:00"/>
    <n v="30"/>
    <n v="24683.47"/>
    <n v="24683.47"/>
    <n v="0"/>
    <d v="2025-09-15T00:00:00"/>
    <s v="Paid"/>
    <s v="Wire"/>
    <n v="21"/>
    <n v="9"/>
    <x v="0"/>
    <s v="Yes"/>
    <n v="0.01"/>
    <s v="No"/>
    <n v="0"/>
  </r>
  <r>
    <s v="AP-0515"/>
    <s v="VND-020"/>
    <s v="TrustBuild Facilities"/>
    <s v="Facilities"/>
    <s v="West"/>
    <s v="Laura Chen"/>
    <d v="2026-05-19T00:00:00"/>
    <d v="2026-07-18T00:00:00"/>
    <n v="60"/>
    <n v="17636.95"/>
    <n v="17636.95"/>
    <n v="0"/>
    <d v="2026-05-31T00:00:00"/>
    <s v="Paid"/>
    <s v="Wire"/>
    <n v="12"/>
    <n v="48"/>
    <x v="0"/>
    <s v="Yes"/>
    <n v="0.01"/>
    <s v="Yes"/>
    <n v="176.37"/>
  </r>
  <r>
    <s v="AP-0516"/>
    <s v="VND-001"/>
    <s v="Acme Supplies Co."/>
    <s v="Materials"/>
    <s v="East"/>
    <s v="Pedro Alvarez"/>
    <d v="2025-07-29T00:00:00"/>
    <d v="2025-08-28T00:00:00"/>
    <n v="30"/>
    <n v="5174.54"/>
    <n v="0"/>
    <n v="5174.54"/>
    <m/>
    <s v="Overdue"/>
    <s v="Wire"/>
    <m/>
    <n v="-276"/>
    <x v="1"/>
    <s v="No"/>
    <n v="0"/>
    <s v="No"/>
    <n v="0"/>
  </r>
  <r>
    <s v="AP-0517"/>
    <s v="VND-020"/>
    <s v="TrustBuild Facilities"/>
    <s v="Facilities"/>
    <s v="West"/>
    <s v="Laura Chen"/>
    <d v="2026-03-14T00:00:00"/>
    <d v="2026-04-13T00:00:00"/>
    <n v="30"/>
    <n v="15360.6"/>
    <n v="0"/>
    <n v="15360.6"/>
    <m/>
    <s v="Pending"/>
    <s v="Credit Card"/>
    <m/>
    <m/>
    <x v="2"/>
    <s v="Yes"/>
    <n v="0.01"/>
    <s v="No"/>
    <n v="0"/>
  </r>
  <r>
    <s v="AP-0518"/>
    <s v="VND-011"/>
    <s v="QuickFreight Inc."/>
    <s v="Logistics"/>
    <s v="West"/>
    <s v="Ana Torres"/>
    <d v="2026-04-08T00:00:00"/>
    <d v="2026-05-08T00:00:00"/>
    <n v="30"/>
    <n v="9681.11"/>
    <n v="0"/>
    <n v="9681.11"/>
    <m/>
    <s v="Pending"/>
    <s v="ACH"/>
    <m/>
    <m/>
    <x v="2"/>
    <s v="No"/>
    <n v="0"/>
    <s v="No"/>
    <n v="0"/>
  </r>
  <r>
    <s v="AP-0519"/>
    <s v="VND-018"/>
    <s v="BuildFast Materials"/>
    <s v="Materials"/>
    <s v="West"/>
    <s v="Sofia Reyes"/>
    <d v="2025-07-14T00:00:00"/>
    <d v="2025-07-29T00:00:00"/>
    <n v="15"/>
    <n v="15976.61"/>
    <n v="15976.61"/>
    <n v="0"/>
    <d v="2025-08-02T00:00:00"/>
    <s v="Paid"/>
    <s v="Credit Card"/>
    <n v="19"/>
    <n v="-4"/>
    <x v="1"/>
    <s v="Yes"/>
    <n v="0.02"/>
    <s v="No"/>
    <n v="0"/>
  </r>
  <r>
    <s v="AP-0520"/>
    <s v="VND-014"/>
    <s v="NetConnect Systems"/>
    <s v="IT"/>
    <s v="East"/>
    <s v="Ana Torres"/>
    <d v="2026-04-20T00:00:00"/>
    <d v="2026-05-20T00:00:00"/>
    <n v="30"/>
    <n v="67242.009999999995"/>
    <n v="0"/>
    <n v="67242.009999999995"/>
    <m/>
    <s v="Pending"/>
    <s v="ACH"/>
    <m/>
    <m/>
    <x v="2"/>
    <s v="Yes"/>
    <n v="0.01"/>
    <s v="No"/>
    <n v="0"/>
  </r>
  <r>
    <s v="AP-0521"/>
    <s v="VND-025"/>
    <s v="RapidShip Co."/>
    <s v="Logistics"/>
    <s v="Central"/>
    <s v="Ana Torres"/>
    <d v="2026-02-28T00:00:00"/>
    <d v="2026-04-29T00:00:00"/>
    <n v="60"/>
    <n v="7145.76"/>
    <n v="7145.76"/>
    <n v="0"/>
    <d v="2026-04-22T00:00:00"/>
    <s v="Paid"/>
    <s v="Wire"/>
    <n v="53"/>
    <n v="7"/>
    <x v="0"/>
    <s v="Yes"/>
    <n v="0.01"/>
    <s v="No"/>
    <n v="0"/>
  </r>
  <r>
    <s v="AP-0522"/>
    <s v="VND-007"/>
    <s v="ProStaff Services"/>
    <s v="Services"/>
    <s v="West"/>
    <s v="Sofia Reyes"/>
    <d v="2025-06-17T00:00:00"/>
    <d v="2025-08-16T00:00:00"/>
    <n v="60"/>
    <n v="29579.86"/>
    <n v="29579.86"/>
    <n v="0"/>
    <d v="2025-08-09T00:00:00"/>
    <s v="Paid"/>
    <s v="Check"/>
    <n v="53"/>
    <n v="7"/>
    <x v="0"/>
    <s v="Yes"/>
    <n v="0.01"/>
    <s v="No"/>
    <n v="0"/>
  </r>
  <r>
    <s v="AP-0523"/>
    <s v="VND-017"/>
    <s v="OfficePro Services"/>
    <s v="Services"/>
    <s v="West"/>
    <s v="Ana Torres"/>
    <d v="2026-01-25T00:00:00"/>
    <d v="2026-03-26T00:00:00"/>
    <n v="60"/>
    <n v="4624.53"/>
    <n v="4624.53"/>
    <n v="0"/>
    <d v="2026-03-28T00:00:00"/>
    <s v="Paid"/>
    <s v="Wire"/>
    <n v="62"/>
    <n v="-2"/>
    <x v="1"/>
    <s v="Yes"/>
    <n v="0.01"/>
    <s v="No"/>
    <n v="0"/>
  </r>
  <r>
    <s v="AP-0524"/>
    <s v="VND-022"/>
    <s v="Apex Consulting"/>
    <s v="Services"/>
    <s v="South"/>
    <s v="Marco Diaz"/>
    <d v="2025-02-22T00:00:00"/>
    <d v="2025-03-24T00:00:00"/>
    <n v="30"/>
    <n v="18524.52"/>
    <n v="18524.52"/>
    <n v="0"/>
    <d v="2025-03-14T00:00:00"/>
    <s v="Paid"/>
    <s v="Wire"/>
    <n v="20"/>
    <n v="10"/>
    <x v="0"/>
    <s v="Yes"/>
    <n v="0.01"/>
    <s v="No"/>
    <n v="0"/>
  </r>
  <r>
    <s v="AP-0525"/>
    <s v="VND-004"/>
    <s v="BuildRight Materials"/>
    <s v="Materials"/>
    <s v="South"/>
    <s v="Marco Diaz"/>
    <d v="2025-01-13T00:00:00"/>
    <d v="2025-02-27T00:00:00"/>
    <n v="45"/>
    <n v="24014.85"/>
    <n v="24014.85"/>
    <n v="0"/>
    <d v="2025-03-02T00:00:00"/>
    <s v="Paid"/>
    <s v="ACH"/>
    <n v="48"/>
    <n v="-3"/>
    <x v="1"/>
    <s v="No"/>
    <n v="0"/>
    <s v="No"/>
    <n v="0"/>
  </r>
  <r>
    <s v="AP-0526"/>
    <s v="VND-001"/>
    <s v="Acme Supplies Co."/>
    <s v="Materials"/>
    <s v="Central"/>
    <s v="Pedro Alvarez"/>
    <d v="2026-05-03T00:00:00"/>
    <d v="2026-06-02T00:00:00"/>
    <n v="30"/>
    <n v="23779.45"/>
    <n v="0"/>
    <n v="23779.45"/>
    <m/>
    <s v="Pending"/>
    <s v="Wire"/>
    <m/>
    <m/>
    <x v="2"/>
    <s v="Yes"/>
    <n v="0.01"/>
    <s v="No"/>
    <n v="0"/>
  </r>
  <r>
    <s v="AP-0527"/>
    <s v="VND-018"/>
    <s v="BuildFast Materials"/>
    <s v="Materials"/>
    <s v="East"/>
    <s v="Ana Torres"/>
    <d v="2025-07-09T00:00:00"/>
    <d v="2025-07-24T00:00:00"/>
    <n v="15"/>
    <n v="9116.2999999999993"/>
    <n v="9116.2999999999993"/>
    <n v="0"/>
    <d v="2025-07-31T00:00:00"/>
    <s v="Paid"/>
    <s v="Wire"/>
    <n v="22"/>
    <n v="-7"/>
    <x v="1"/>
    <s v="Yes"/>
    <n v="0.02"/>
    <s v="No"/>
    <n v="0"/>
  </r>
  <r>
    <s v="AP-0528"/>
    <s v="VND-020"/>
    <s v="TrustBuild Facilities"/>
    <s v="Facilities"/>
    <s v="East"/>
    <s v="Laura Chen"/>
    <d v="2025-04-22T00:00:00"/>
    <d v="2025-05-07T00:00:00"/>
    <n v="15"/>
    <n v="15759.58"/>
    <n v="15759.58"/>
    <n v="0"/>
    <d v="2025-04-28T00:00:00"/>
    <s v="Paid"/>
    <s v="ACH"/>
    <n v="6"/>
    <n v="9"/>
    <x v="0"/>
    <s v="Yes"/>
    <n v="0.02"/>
    <s v="No"/>
    <n v="0"/>
  </r>
  <r>
    <s v="AP-0529"/>
    <s v="VND-020"/>
    <s v="TrustBuild Facilities"/>
    <s v="Facilities"/>
    <s v="Central"/>
    <s v="Ana Torres"/>
    <d v="2026-01-04T00:00:00"/>
    <d v="2026-04-04T00:00:00"/>
    <n v="90"/>
    <n v="32738.83"/>
    <n v="0"/>
    <n v="32738.83"/>
    <m/>
    <s v="Pending"/>
    <s v="Wire"/>
    <m/>
    <m/>
    <x v="2"/>
    <s v="Yes"/>
    <n v="5.0000000000000001E-3"/>
    <s v="No"/>
    <n v="0"/>
  </r>
  <r>
    <s v="AP-0530"/>
    <s v="VND-013"/>
    <s v="SafetyFirst Supplies"/>
    <s v="Materials"/>
    <s v="North"/>
    <s v="Pedro Alvarez"/>
    <d v="2026-04-28T00:00:00"/>
    <d v="2026-06-12T00:00:00"/>
    <n v="45"/>
    <n v="8458.2000000000007"/>
    <n v="8458.2000000000007"/>
    <n v="0"/>
    <d v="2026-05-31T00:00:00"/>
    <s v="Paid"/>
    <s v="ACH"/>
    <n v="33"/>
    <n v="12"/>
    <x v="0"/>
    <s v="Yes"/>
    <n v="1.4999999999999999E-2"/>
    <s v="No"/>
    <n v="0"/>
  </r>
  <r>
    <s v="AP-0531"/>
    <s v="VND-020"/>
    <s v="TrustBuild Facilities"/>
    <s v="Facilities"/>
    <s v="North"/>
    <s v="Sofia Reyes"/>
    <d v="2025-10-22T00:00:00"/>
    <d v="2026-01-20T00:00:00"/>
    <n v="90"/>
    <n v="16092.77"/>
    <n v="16092.77"/>
    <n v="0"/>
    <d v="2026-01-19T00:00:00"/>
    <s v="Paid"/>
    <s v="ACH"/>
    <n v="89"/>
    <n v="1"/>
    <x v="0"/>
    <s v="No"/>
    <n v="0"/>
    <s v="No"/>
    <n v="0"/>
  </r>
  <r>
    <s v="AP-0532"/>
    <s v="VND-019"/>
    <s v="SkyNet IT Solutions"/>
    <s v="IT"/>
    <s v="Central"/>
    <s v="Laura Chen"/>
    <d v="2026-05-25T00:00:00"/>
    <d v="2026-08-23T00:00:00"/>
    <n v="90"/>
    <n v="41937.83"/>
    <n v="41937.83"/>
    <n v="0"/>
    <d v="2026-05-31T00:00:00"/>
    <s v="Paid"/>
    <s v="Wire"/>
    <n v="6"/>
    <n v="84"/>
    <x v="0"/>
    <s v="Yes"/>
    <n v="5.0000000000000001E-3"/>
    <s v="Yes"/>
    <n v="209.69"/>
  </r>
  <r>
    <s v="AP-0533"/>
    <s v="VND-001"/>
    <s v="Acme Supplies Co."/>
    <s v="Materials"/>
    <s v="West"/>
    <s v="Sofia Reyes"/>
    <d v="2026-02-28T00:00:00"/>
    <d v="2026-04-29T00:00:00"/>
    <n v="60"/>
    <n v="4183.63"/>
    <n v="0"/>
    <n v="4183.63"/>
    <m/>
    <s v="Pending"/>
    <s v="Wire"/>
    <m/>
    <m/>
    <x v="2"/>
    <s v="Yes"/>
    <n v="0.01"/>
    <s v="No"/>
    <n v="0"/>
  </r>
  <r>
    <s v="AP-0534"/>
    <s v="VND-021"/>
    <s v="PrimePack Logistics"/>
    <s v="Logistics"/>
    <s v="South"/>
    <s v="Laura Chen"/>
    <d v="2025-11-12T00:00:00"/>
    <d v="2025-12-12T00:00:00"/>
    <n v="30"/>
    <n v="6705.4"/>
    <n v="6705.4"/>
    <n v="0"/>
    <d v="2025-12-12T00:00:00"/>
    <s v="Paid"/>
    <s v="Check"/>
    <n v="30"/>
    <n v="0"/>
    <x v="0"/>
    <s v="Yes"/>
    <n v="0.01"/>
    <s v="No"/>
    <n v="0"/>
  </r>
  <r>
    <s v="AP-0535"/>
    <s v="VND-004"/>
    <s v="BuildRight Materials"/>
    <s v="Materials"/>
    <s v="East"/>
    <s v="Laura Chen"/>
    <d v="2025-06-29T00:00:00"/>
    <d v="2025-07-14T00:00:00"/>
    <n v="15"/>
    <n v="11312.75"/>
    <n v="0"/>
    <n v="11312.75"/>
    <m/>
    <s v="Overdue"/>
    <s v="Credit Card"/>
    <m/>
    <n v="-321"/>
    <x v="1"/>
    <s v="No"/>
    <n v="0"/>
    <s v="No"/>
    <n v="0"/>
  </r>
  <r>
    <s v="AP-0536"/>
    <s v="VND-016"/>
    <s v="CleanWater Utilities"/>
    <s v="Utilities"/>
    <s v="West"/>
    <s v="Sofia Reyes"/>
    <d v="2025-06-09T00:00:00"/>
    <d v="2025-09-07T00:00:00"/>
    <n v="90"/>
    <n v="9594.41"/>
    <n v="9594.41"/>
    <n v="0"/>
    <d v="2025-08-31T00:00:00"/>
    <s v="Paid"/>
    <s v="Wire"/>
    <n v="83"/>
    <n v="7"/>
    <x v="0"/>
    <s v="No"/>
    <n v="0"/>
    <s v="No"/>
    <n v="0"/>
  </r>
  <r>
    <s v="AP-0537"/>
    <s v="VND-014"/>
    <s v="NetConnect Systems"/>
    <s v="IT"/>
    <s v="North"/>
    <s v="Ana Torres"/>
    <d v="2025-01-20T00:00:00"/>
    <d v="2025-03-21T00:00:00"/>
    <n v="60"/>
    <n v="20619.689999999999"/>
    <n v="15341.35"/>
    <n v="5278.34"/>
    <d v="2025-03-27T00:00:00"/>
    <s v="Partial"/>
    <s v="Check"/>
    <n v="66"/>
    <n v="-6"/>
    <x v="1"/>
    <s v="Yes"/>
    <n v="0.01"/>
    <s v="No"/>
    <n v="0"/>
  </r>
  <r>
    <s v="AP-0538"/>
    <s v="VND-003"/>
    <s v="FastShip Logistics"/>
    <s v="Logistics"/>
    <s v="South"/>
    <s v="Laura Chen"/>
    <d v="2026-01-20T00:00:00"/>
    <d v="2026-03-21T00:00:00"/>
    <n v="60"/>
    <n v="12903.71"/>
    <n v="12903.71"/>
    <n v="0"/>
    <d v="2026-04-02T00:00:00"/>
    <s v="Paid"/>
    <s v="ACH"/>
    <n v="72"/>
    <n v="-12"/>
    <x v="1"/>
    <s v="No"/>
    <n v="0"/>
    <s v="No"/>
    <n v="0"/>
  </r>
  <r>
    <s v="AP-0539"/>
    <s v="VND-013"/>
    <s v="SafetyFirst Supplies"/>
    <s v="Materials"/>
    <s v="South"/>
    <s v="Ana Torres"/>
    <d v="2025-11-19T00:00:00"/>
    <d v="2026-01-03T00:00:00"/>
    <n v="45"/>
    <n v="36072.32"/>
    <n v="36072.32"/>
    <n v="0"/>
    <d v="2026-01-08T00:00:00"/>
    <s v="Paid"/>
    <s v="ACH"/>
    <n v="50"/>
    <n v="-5"/>
    <x v="1"/>
    <s v="Yes"/>
    <n v="1.4999999999999999E-2"/>
    <s v="No"/>
    <n v="0"/>
  </r>
  <r>
    <s v="AP-0540"/>
    <s v="VND-010"/>
    <s v="DataBridge IT"/>
    <s v="IT"/>
    <s v="South"/>
    <s v="Ana Torres"/>
    <d v="2025-04-25T00:00:00"/>
    <d v="2025-05-25T00:00:00"/>
    <n v="30"/>
    <n v="33066.18"/>
    <n v="33066.18"/>
    <n v="0"/>
    <d v="2025-05-20T00:00:00"/>
    <s v="Paid"/>
    <s v="Check"/>
    <n v="25"/>
    <n v="5"/>
    <x v="0"/>
    <s v="Yes"/>
    <n v="0.01"/>
    <s v="No"/>
    <n v="0"/>
  </r>
  <r>
    <s v="AP-0541"/>
    <s v="VND-003"/>
    <s v="FastShip Logistics"/>
    <s v="Logistics"/>
    <s v="West"/>
    <s v="Ana Torres"/>
    <d v="2026-05-28T00:00:00"/>
    <d v="2026-08-26T00:00:00"/>
    <n v="90"/>
    <n v="3927.48"/>
    <n v="3927.48"/>
    <n v="0"/>
    <d v="2026-05-31T00:00:00"/>
    <s v="Paid"/>
    <s v="ACH"/>
    <n v="3"/>
    <n v="87"/>
    <x v="0"/>
    <s v="Yes"/>
    <n v="5.0000000000000001E-3"/>
    <s v="Yes"/>
    <n v="19.64"/>
  </r>
  <r>
    <s v="AP-0542"/>
    <s v="VND-025"/>
    <s v="RapidShip Co."/>
    <s v="Logistics"/>
    <s v="North"/>
    <s v="Ana Torres"/>
    <d v="2025-02-07T00:00:00"/>
    <d v="2025-03-09T00:00:00"/>
    <n v="30"/>
    <n v="9728"/>
    <n v="9728"/>
    <n v="0"/>
    <d v="2025-03-15T00:00:00"/>
    <s v="Paid"/>
    <s v="Wire"/>
    <n v="36"/>
    <n v="-6"/>
    <x v="1"/>
    <s v="No"/>
    <n v="0"/>
    <s v="No"/>
    <n v="0"/>
  </r>
  <r>
    <s v="AP-0543"/>
    <s v="VND-001"/>
    <s v="Acme Supplies Co."/>
    <s v="Materials"/>
    <s v="East"/>
    <s v="Sofia Reyes"/>
    <d v="2026-04-24T00:00:00"/>
    <d v="2026-06-23T00:00:00"/>
    <n v="60"/>
    <n v="44680.92"/>
    <n v="44680.92"/>
    <n v="0"/>
    <d v="2026-05-31T00:00:00"/>
    <s v="Paid"/>
    <s v="ACH"/>
    <n v="37"/>
    <n v="23"/>
    <x v="0"/>
    <s v="Yes"/>
    <n v="0.01"/>
    <s v="No"/>
    <n v="0"/>
  </r>
  <r>
    <s v="AP-0544"/>
    <s v="VND-021"/>
    <s v="PrimePack Logistics"/>
    <s v="Logistics"/>
    <s v="South"/>
    <s v="Laura Chen"/>
    <d v="2025-10-21T00:00:00"/>
    <d v="2025-11-20T00:00:00"/>
    <n v="30"/>
    <n v="6256.34"/>
    <n v="6256.34"/>
    <n v="0"/>
    <d v="2025-11-21T00:00:00"/>
    <s v="Paid"/>
    <s v="Wire"/>
    <n v="31"/>
    <n v="-1"/>
    <x v="1"/>
    <s v="Yes"/>
    <n v="0.01"/>
    <s v="No"/>
    <n v="0"/>
  </r>
  <r>
    <s v="AP-0545"/>
    <s v="VND-004"/>
    <s v="BuildRight Materials"/>
    <s v="Materials"/>
    <s v="East"/>
    <s v="Marco Diaz"/>
    <d v="2025-04-28T00:00:00"/>
    <d v="2025-06-12T00:00:00"/>
    <n v="45"/>
    <n v="2732.32"/>
    <n v="2732.32"/>
    <n v="0"/>
    <d v="2025-06-14T00:00:00"/>
    <s v="Paid"/>
    <s v="Wire"/>
    <n v="47"/>
    <n v="-2"/>
    <x v="1"/>
    <s v="Yes"/>
    <n v="1.4999999999999999E-2"/>
    <s v="No"/>
    <n v="0"/>
  </r>
  <r>
    <s v="AP-0546"/>
    <s v="VND-011"/>
    <s v="QuickFreight Inc."/>
    <s v="Logistics"/>
    <s v="East"/>
    <s v="Marco Diaz"/>
    <d v="2025-06-25T00:00:00"/>
    <d v="2025-07-25T00:00:00"/>
    <n v="30"/>
    <n v="2353.61"/>
    <n v="2353.61"/>
    <n v="0"/>
    <d v="2025-08-01T00:00:00"/>
    <s v="Paid"/>
    <s v="Check"/>
    <n v="37"/>
    <n v="-7"/>
    <x v="1"/>
    <s v="Yes"/>
    <n v="0.01"/>
    <s v="No"/>
    <n v="0"/>
  </r>
  <r>
    <s v="AP-0547"/>
    <s v="VND-015"/>
    <s v="ExpressRoute Logistics"/>
    <s v="Logistics"/>
    <s v="North"/>
    <s v="Marco Diaz"/>
    <d v="2025-02-21T00:00:00"/>
    <d v="2025-05-22T00:00:00"/>
    <n v="90"/>
    <n v="3012.61"/>
    <n v="3012.61"/>
    <n v="0"/>
    <d v="2025-05-26T00:00:00"/>
    <s v="Paid"/>
    <s v="ACH"/>
    <n v="94"/>
    <n v="-4"/>
    <x v="1"/>
    <s v="Yes"/>
    <n v="5.0000000000000001E-3"/>
    <s v="No"/>
    <n v="0"/>
  </r>
  <r>
    <s v="AP-0548"/>
    <s v="VND-019"/>
    <s v="SkyNet IT Solutions"/>
    <s v="IT"/>
    <s v="West"/>
    <s v="Ana Torres"/>
    <d v="2025-12-07T00:00:00"/>
    <d v="2026-01-21T00:00:00"/>
    <n v="45"/>
    <n v="66308.149999999994"/>
    <n v="66308.149999999994"/>
    <n v="0"/>
    <d v="2026-01-30T00:00:00"/>
    <s v="Paid"/>
    <s v="Check"/>
    <n v="54"/>
    <n v="-9"/>
    <x v="1"/>
    <s v="No"/>
    <n v="0"/>
    <s v="No"/>
    <n v="0"/>
  </r>
  <r>
    <s v="AP-0549"/>
    <s v="VND-018"/>
    <s v="BuildFast Materials"/>
    <s v="Materials"/>
    <s v="North"/>
    <s v="Pedro Alvarez"/>
    <d v="2026-04-25T00:00:00"/>
    <d v="2026-05-25T00:00:00"/>
    <n v="30"/>
    <n v="6668.62"/>
    <n v="6668.62"/>
    <n v="0"/>
    <d v="2026-05-06T00:00:00"/>
    <s v="Paid"/>
    <s v="Wire"/>
    <n v="11"/>
    <n v="19"/>
    <x v="0"/>
    <s v="Yes"/>
    <n v="0.01"/>
    <s v="No"/>
    <n v="0"/>
  </r>
  <r>
    <s v="AP-0550"/>
    <s v="VND-005"/>
    <s v="CloudSys Inc."/>
    <s v="IT"/>
    <s v="Central"/>
    <s v="Laura Chen"/>
    <d v="2025-07-07T00:00:00"/>
    <d v="2025-09-05T00:00:00"/>
    <n v="60"/>
    <n v="57471.1"/>
    <n v="42597.69"/>
    <n v="14873.41"/>
    <d v="2025-09-14T00:00:00"/>
    <s v="Partial"/>
    <s v="Check"/>
    <n v="69"/>
    <n v="-9"/>
    <x v="1"/>
    <s v="Yes"/>
    <n v="0.01"/>
    <s v="No"/>
    <n v="0"/>
  </r>
  <r>
    <s v="AP-0551"/>
    <s v="VND-016"/>
    <s v="CleanWater Utilities"/>
    <s v="Utilities"/>
    <s v="North"/>
    <s v="Sofia Reyes"/>
    <d v="2025-12-26T00:00:00"/>
    <d v="2026-01-25T00:00:00"/>
    <n v="30"/>
    <n v="7440.46"/>
    <n v="7440.46"/>
    <n v="0"/>
    <d v="2026-01-28T00:00:00"/>
    <s v="Paid"/>
    <s v="Credit Card"/>
    <n v="33"/>
    <n v="-3"/>
    <x v="1"/>
    <s v="No"/>
    <n v="0"/>
    <s v="No"/>
    <n v="0"/>
  </r>
  <r>
    <s v="AP-0552"/>
    <s v="VND-012"/>
    <s v="FacilityPro Services"/>
    <s v="Facilities"/>
    <s v="Central"/>
    <s v="Ana Torres"/>
    <d v="2026-02-20T00:00:00"/>
    <d v="2026-03-22T00:00:00"/>
    <n v="30"/>
    <n v="28979.25"/>
    <n v="28979.25"/>
    <n v="0"/>
    <d v="2026-03-14T00:00:00"/>
    <s v="Paid"/>
    <s v="Wire"/>
    <n v="22"/>
    <n v="8"/>
    <x v="0"/>
    <s v="No"/>
    <n v="0"/>
    <s v="No"/>
    <n v="0"/>
  </r>
  <r>
    <s v="AP-0553"/>
    <s v="VND-018"/>
    <s v="BuildFast Materials"/>
    <s v="Materials"/>
    <s v="West"/>
    <s v="Pedro Alvarez"/>
    <d v="2025-09-07T00:00:00"/>
    <d v="2025-10-07T00:00:00"/>
    <n v="30"/>
    <n v="28301.55"/>
    <n v="28301.55"/>
    <n v="0"/>
    <d v="2025-09-26T00:00:00"/>
    <s v="Paid"/>
    <s v="Credit Card"/>
    <n v="19"/>
    <n v="11"/>
    <x v="0"/>
    <s v="No"/>
    <n v="0"/>
    <s v="No"/>
    <n v="0"/>
  </r>
  <r>
    <s v="AP-0554"/>
    <s v="VND-011"/>
    <s v="QuickFreight Inc."/>
    <s v="Logistics"/>
    <s v="South"/>
    <s v="Ana Torres"/>
    <d v="2025-12-17T00:00:00"/>
    <d v="2026-02-15T00:00:00"/>
    <n v="60"/>
    <n v="11346.01"/>
    <n v="11346.01"/>
    <n v="0"/>
    <d v="2026-03-03T00:00:00"/>
    <s v="Paid"/>
    <s v="Credit Card"/>
    <n v="76"/>
    <n v="-16"/>
    <x v="1"/>
    <s v="Yes"/>
    <n v="0.01"/>
    <s v="No"/>
    <n v="0"/>
  </r>
  <r>
    <s v="AP-0555"/>
    <s v="VND-019"/>
    <s v="SkyNet IT Solutions"/>
    <s v="IT"/>
    <s v="West"/>
    <s v="Sofia Reyes"/>
    <d v="2025-04-10T00:00:00"/>
    <d v="2025-06-09T00:00:00"/>
    <n v="60"/>
    <n v="66651.73"/>
    <n v="0"/>
    <n v="66651.73"/>
    <m/>
    <s v="Overdue"/>
    <s v="Credit Card"/>
    <m/>
    <n v="-356"/>
    <x v="1"/>
    <s v="Yes"/>
    <n v="0.01"/>
    <s v="No"/>
    <n v="0"/>
  </r>
  <r>
    <s v="AP-0556"/>
    <s v="VND-003"/>
    <s v="FastShip Logistics"/>
    <s v="Logistics"/>
    <s v="Central"/>
    <s v="Sofia Reyes"/>
    <d v="2026-05-22T00:00:00"/>
    <d v="2026-07-21T00:00:00"/>
    <n v="60"/>
    <n v="13254.79"/>
    <n v="0"/>
    <n v="13254.79"/>
    <m/>
    <s v="Pending"/>
    <s v="Credit Card"/>
    <m/>
    <m/>
    <x v="2"/>
    <s v="Yes"/>
    <n v="0.01"/>
    <s v="No"/>
    <n v="0"/>
  </r>
  <r>
    <s v="AP-0557"/>
    <s v="VND-019"/>
    <s v="SkyNet IT Solutions"/>
    <s v="IT"/>
    <s v="North"/>
    <s v="Marco Diaz"/>
    <d v="2025-10-26T00:00:00"/>
    <d v="2026-01-24T00:00:00"/>
    <n v="90"/>
    <n v="34248.699999999997"/>
    <n v="34248.699999999997"/>
    <n v="0"/>
    <d v="2026-02-01T00:00:00"/>
    <s v="Paid"/>
    <s v="Wire"/>
    <n v="98"/>
    <n v="-8"/>
    <x v="1"/>
    <s v="Yes"/>
    <n v="5.0000000000000001E-3"/>
    <s v="No"/>
    <n v="0"/>
  </r>
  <r>
    <s v="AP-0558"/>
    <s v="VND-022"/>
    <s v="Apex Consulting"/>
    <s v="Services"/>
    <s v="East"/>
    <s v="Laura Chen"/>
    <d v="2025-12-19T00:00:00"/>
    <d v="2026-02-17T00:00:00"/>
    <n v="60"/>
    <n v="39640.699999999997"/>
    <n v="39640.699999999997"/>
    <n v="0"/>
    <d v="2026-02-02T00:00:00"/>
    <s v="Paid"/>
    <s v="Check"/>
    <n v="45"/>
    <n v="15"/>
    <x v="0"/>
    <s v="Yes"/>
    <n v="0.01"/>
    <s v="No"/>
    <n v="0"/>
  </r>
  <r>
    <s v="AP-0559"/>
    <s v="VND-010"/>
    <s v="DataBridge IT"/>
    <s v="IT"/>
    <s v="North"/>
    <s v="Laura Chen"/>
    <d v="2026-01-03T00:00:00"/>
    <d v="2026-01-18T00:00:00"/>
    <n v="15"/>
    <n v="13227.37"/>
    <n v="13227.37"/>
    <n v="0"/>
    <d v="2026-01-17T00:00:00"/>
    <s v="Paid"/>
    <s v="ACH"/>
    <n v="14"/>
    <n v="1"/>
    <x v="0"/>
    <s v="Yes"/>
    <n v="0.02"/>
    <s v="No"/>
    <n v="0"/>
  </r>
  <r>
    <s v="AP-0560"/>
    <s v="VND-014"/>
    <s v="NetConnect Systems"/>
    <s v="IT"/>
    <s v="Central"/>
    <s v="Pedro Alvarez"/>
    <d v="2026-02-20T00:00:00"/>
    <d v="2026-04-21T00:00:00"/>
    <n v="60"/>
    <n v="33617.379999999997"/>
    <n v="33617.379999999997"/>
    <n v="0"/>
    <d v="2026-04-23T00:00:00"/>
    <s v="Paid"/>
    <s v="Check"/>
    <n v="62"/>
    <n v="-2"/>
    <x v="1"/>
    <s v="Yes"/>
    <n v="0.01"/>
    <s v="No"/>
    <n v="0"/>
  </r>
  <r>
    <s v="AP-0561"/>
    <s v="VND-012"/>
    <s v="FacilityPro Services"/>
    <s v="Facilities"/>
    <s v="West"/>
    <s v="Marco Diaz"/>
    <d v="2025-05-18T00:00:00"/>
    <d v="2025-06-17T00:00:00"/>
    <n v="30"/>
    <n v="2382.89"/>
    <n v="2382.89"/>
    <n v="0"/>
    <d v="2025-06-24T00:00:00"/>
    <s v="Paid"/>
    <s v="Check"/>
    <n v="37"/>
    <n v="-7"/>
    <x v="1"/>
    <s v="Yes"/>
    <n v="0.01"/>
    <s v="No"/>
    <n v="0"/>
  </r>
  <r>
    <s v="AP-0562"/>
    <s v="VND-016"/>
    <s v="CleanWater Utilities"/>
    <s v="Utilities"/>
    <s v="West"/>
    <s v="Marco Diaz"/>
    <d v="2026-03-02T00:00:00"/>
    <d v="2026-04-01T00:00:00"/>
    <n v="30"/>
    <n v="12972.22"/>
    <n v="12972.22"/>
    <n v="0"/>
    <d v="2026-04-11T00:00:00"/>
    <s v="Paid"/>
    <s v="ACH"/>
    <n v="40"/>
    <n v="-10"/>
    <x v="1"/>
    <s v="No"/>
    <n v="0"/>
    <s v="No"/>
    <n v="0"/>
  </r>
  <r>
    <s v="AP-0563"/>
    <s v="VND-015"/>
    <s v="ExpressRoute Logistics"/>
    <s v="Logistics"/>
    <s v="Central"/>
    <s v="Pedro Alvarez"/>
    <d v="2025-12-30T00:00:00"/>
    <d v="2026-02-28T00:00:00"/>
    <n v="60"/>
    <n v="5289.08"/>
    <n v="5289.08"/>
    <n v="0"/>
    <d v="2026-02-24T00:00:00"/>
    <s v="Paid"/>
    <s v="Credit Card"/>
    <n v="56"/>
    <n v="4"/>
    <x v="0"/>
    <s v="Yes"/>
    <n v="0.01"/>
    <s v="No"/>
    <n v="0"/>
  </r>
  <r>
    <s v="AP-0564"/>
    <s v="VND-016"/>
    <s v="CleanWater Utilities"/>
    <s v="Utilities"/>
    <s v="South"/>
    <s v="Ana Torres"/>
    <d v="2026-01-11T00:00:00"/>
    <d v="2026-03-12T00:00:00"/>
    <n v="60"/>
    <n v="985.2"/>
    <n v="985.2"/>
    <n v="0"/>
    <d v="2026-03-05T00:00:00"/>
    <s v="Paid"/>
    <s v="Check"/>
    <n v="53"/>
    <n v="7"/>
    <x v="0"/>
    <s v="Yes"/>
    <n v="0.01"/>
    <s v="No"/>
    <n v="0"/>
  </r>
  <r>
    <s v="AP-0565"/>
    <s v="VND-023"/>
    <s v="CoolTech Systems"/>
    <s v="IT"/>
    <s v="North"/>
    <s v="Marco Diaz"/>
    <d v="2025-03-22T00:00:00"/>
    <d v="2025-06-20T00:00:00"/>
    <n v="90"/>
    <n v="44251.76"/>
    <n v="44251.76"/>
    <n v="0"/>
    <d v="2025-06-27T00:00:00"/>
    <s v="Paid"/>
    <s v="Check"/>
    <n v="97"/>
    <n v="-7"/>
    <x v="1"/>
    <s v="Yes"/>
    <n v="5.0000000000000001E-3"/>
    <s v="No"/>
    <n v="0"/>
  </r>
  <r>
    <s v="AP-0566"/>
    <s v="VND-021"/>
    <s v="PrimePack Logistics"/>
    <s v="Logistics"/>
    <s v="North"/>
    <s v="Ana Torres"/>
    <d v="2025-12-18T00:00:00"/>
    <d v="2026-01-02T00:00:00"/>
    <n v="15"/>
    <n v="11165.63"/>
    <n v="11165.63"/>
    <n v="0"/>
    <d v="2026-01-10T00:00:00"/>
    <s v="Paid"/>
    <s v="Check"/>
    <n v="23"/>
    <n v="-8"/>
    <x v="1"/>
    <s v="Yes"/>
    <n v="0.02"/>
    <s v="No"/>
    <n v="0"/>
  </r>
  <r>
    <s v="AP-0567"/>
    <s v="VND-011"/>
    <s v="QuickFreight Inc."/>
    <s v="Logistics"/>
    <s v="West"/>
    <s v="Laura Chen"/>
    <d v="2025-06-21T00:00:00"/>
    <d v="2025-08-05T00:00:00"/>
    <n v="45"/>
    <n v="1671.2"/>
    <n v="1671.2"/>
    <n v="0"/>
    <d v="2025-07-31T00:00:00"/>
    <s v="Paid"/>
    <s v="Check"/>
    <n v="40"/>
    <n v="5"/>
    <x v="0"/>
    <s v="No"/>
    <n v="0"/>
    <s v="No"/>
    <n v="0"/>
  </r>
  <r>
    <s v="AP-0568"/>
    <s v="VND-024"/>
    <s v="EliteFacilities Corp."/>
    <s v="Facilities"/>
    <s v="Central"/>
    <s v="Laura Chen"/>
    <d v="2025-06-23T00:00:00"/>
    <d v="2025-09-21T00:00:00"/>
    <n v="90"/>
    <n v="20904.38"/>
    <n v="20904.38"/>
    <n v="0"/>
    <d v="2025-09-21T00:00:00"/>
    <s v="Paid"/>
    <s v="ACH"/>
    <n v="90"/>
    <n v="0"/>
    <x v="0"/>
    <s v="Yes"/>
    <n v="5.0000000000000001E-3"/>
    <s v="No"/>
    <n v="0"/>
  </r>
  <r>
    <s v="AP-0569"/>
    <s v="VND-016"/>
    <s v="CleanWater Utilities"/>
    <s v="Utilities"/>
    <s v="North"/>
    <s v="Marco Diaz"/>
    <d v="2025-09-16T00:00:00"/>
    <d v="2025-10-31T00:00:00"/>
    <n v="45"/>
    <n v="2421.81"/>
    <n v="743.74"/>
    <n v="1678.07"/>
    <d v="2025-10-29T00:00:00"/>
    <s v="Partial"/>
    <s v="ACH"/>
    <n v="43"/>
    <n v="2"/>
    <x v="0"/>
    <s v="Yes"/>
    <n v="1.4999999999999999E-2"/>
    <s v="No"/>
    <n v="0"/>
  </r>
  <r>
    <s v="AP-0570"/>
    <s v="VND-020"/>
    <s v="TrustBuild Facilities"/>
    <s v="Facilities"/>
    <s v="South"/>
    <s v="Ana Torres"/>
    <d v="2026-01-14T00:00:00"/>
    <d v="2026-04-14T00:00:00"/>
    <n v="90"/>
    <n v="28658.74"/>
    <n v="28658.74"/>
    <n v="0"/>
    <d v="2026-04-13T00:00:00"/>
    <s v="Paid"/>
    <s v="Wire"/>
    <n v="89"/>
    <n v="1"/>
    <x v="0"/>
    <s v="Yes"/>
    <n v="5.0000000000000001E-3"/>
    <s v="No"/>
    <n v="0"/>
  </r>
  <r>
    <s v="AP-0571"/>
    <s v="VND-017"/>
    <s v="OfficePro Services"/>
    <s v="Services"/>
    <s v="North"/>
    <s v="Laura Chen"/>
    <d v="2025-06-07T00:00:00"/>
    <d v="2025-07-07T00:00:00"/>
    <n v="30"/>
    <n v="33991.730000000003"/>
    <n v="33991.730000000003"/>
    <n v="0"/>
    <d v="2025-06-29T00:00:00"/>
    <s v="Paid"/>
    <s v="ACH"/>
    <n v="22"/>
    <n v="8"/>
    <x v="0"/>
    <s v="No"/>
    <n v="0"/>
    <s v="No"/>
    <n v="0"/>
  </r>
  <r>
    <s v="AP-0572"/>
    <s v="VND-024"/>
    <s v="EliteFacilities Corp."/>
    <s v="Facilities"/>
    <s v="South"/>
    <s v="Marco Diaz"/>
    <d v="2025-09-28T00:00:00"/>
    <d v="2025-10-13T00:00:00"/>
    <n v="15"/>
    <n v="26930.97"/>
    <n v="26930.97"/>
    <n v="0"/>
    <d v="2025-10-20T00:00:00"/>
    <s v="Paid"/>
    <s v="Check"/>
    <n v="22"/>
    <n v="-7"/>
    <x v="1"/>
    <s v="Yes"/>
    <n v="0.02"/>
    <s v="No"/>
    <n v="0"/>
  </r>
  <r>
    <s v="AP-0573"/>
    <s v="VND-013"/>
    <s v="SafetyFirst Supplies"/>
    <s v="Materials"/>
    <s v="West"/>
    <s v="Laura Chen"/>
    <d v="2026-01-24T00:00:00"/>
    <d v="2026-02-23T00:00:00"/>
    <n v="30"/>
    <n v="34808.480000000003"/>
    <n v="34808.480000000003"/>
    <n v="0"/>
    <d v="2026-02-15T00:00:00"/>
    <s v="Paid"/>
    <s v="Credit Card"/>
    <n v="22"/>
    <n v="8"/>
    <x v="0"/>
    <s v="Yes"/>
    <n v="0.01"/>
    <s v="No"/>
    <n v="0"/>
  </r>
  <r>
    <s v="AP-0574"/>
    <s v="VND-010"/>
    <s v="DataBridge IT"/>
    <s v="IT"/>
    <s v="West"/>
    <s v="Pedro Alvarez"/>
    <d v="2025-04-10T00:00:00"/>
    <d v="2025-04-25T00:00:00"/>
    <n v="15"/>
    <n v="73828.41"/>
    <n v="0"/>
    <n v="73828.41"/>
    <m/>
    <s v="Overdue"/>
    <s v="Check"/>
    <m/>
    <n v="-401"/>
    <x v="1"/>
    <s v="Yes"/>
    <n v="0.02"/>
    <s v="No"/>
    <n v="0"/>
  </r>
  <r>
    <s v="AP-0575"/>
    <s v="VND-014"/>
    <s v="NetConnect Systems"/>
    <s v="IT"/>
    <s v="Central"/>
    <s v="Laura Chen"/>
    <d v="2025-10-01T00:00:00"/>
    <d v="2025-11-15T00:00:00"/>
    <n v="45"/>
    <n v="65173.73"/>
    <n v="65173.73"/>
    <n v="0"/>
    <d v="2025-11-14T00:00:00"/>
    <s v="Paid"/>
    <s v="Check"/>
    <n v="44"/>
    <n v="1"/>
    <x v="0"/>
    <s v="Yes"/>
    <n v="1.4999999999999999E-2"/>
    <s v="No"/>
    <n v="0"/>
  </r>
  <r>
    <s v="AP-0576"/>
    <s v="VND-015"/>
    <s v="ExpressRoute Logistics"/>
    <s v="Logistics"/>
    <s v="South"/>
    <s v="Ana Torres"/>
    <d v="2025-07-04T00:00:00"/>
    <d v="2025-09-02T00:00:00"/>
    <n v="60"/>
    <n v="6952.13"/>
    <n v="6952.13"/>
    <n v="0"/>
    <d v="2025-09-09T00:00:00"/>
    <s v="Paid"/>
    <s v="Wire"/>
    <n v="67"/>
    <n v="-7"/>
    <x v="1"/>
    <s v="Yes"/>
    <n v="0.01"/>
    <s v="No"/>
    <n v="0"/>
  </r>
  <r>
    <s v="AP-0577"/>
    <s v="VND-017"/>
    <s v="OfficePro Services"/>
    <s v="Services"/>
    <s v="North"/>
    <s v="Pedro Alvarez"/>
    <d v="2025-10-18T00:00:00"/>
    <d v="2025-11-17T00:00:00"/>
    <n v="30"/>
    <n v="12320.16"/>
    <n v="12320.16"/>
    <n v="0"/>
    <d v="2025-11-20T00:00:00"/>
    <s v="Paid"/>
    <s v="Check"/>
    <n v="33"/>
    <n v="-3"/>
    <x v="1"/>
    <s v="Yes"/>
    <n v="0.01"/>
    <s v="No"/>
    <n v="0"/>
  </r>
  <r>
    <s v="AP-0578"/>
    <s v="VND-002"/>
    <s v="TechCore Solutions"/>
    <s v="IT"/>
    <s v="Central"/>
    <s v="Marco Diaz"/>
    <d v="2025-03-30T00:00:00"/>
    <d v="2025-04-29T00:00:00"/>
    <n v="30"/>
    <n v="69233.06"/>
    <n v="69233.06"/>
    <n v="0"/>
    <d v="2025-05-07T00:00:00"/>
    <s v="Paid"/>
    <s v="ACH"/>
    <n v="38"/>
    <n v="-8"/>
    <x v="1"/>
    <s v="Yes"/>
    <n v="0.01"/>
    <s v="No"/>
    <n v="0"/>
  </r>
  <r>
    <s v="AP-0579"/>
    <s v="VND-006"/>
    <s v="PowerGrid Utilities"/>
    <s v="Utilities"/>
    <s v="North"/>
    <s v="Marco Diaz"/>
    <d v="2026-04-24T00:00:00"/>
    <d v="2026-06-08T00:00:00"/>
    <n v="45"/>
    <n v="10076.93"/>
    <n v="10076.93"/>
    <n v="0"/>
    <d v="2026-05-31T00:00:00"/>
    <s v="Paid"/>
    <s v="Check"/>
    <n v="37"/>
    <n v="8"/>
    <x v="0"/>
    <s v="Yes"/>
    <n v="1.4999999999999999E-2"/>
    <s v="No"/>
    <n v="0"/>
  </r>
  <r>
    <s v="AP-0580"/>
    <s v="VND-025"/>
    <s v="RapidShip Co."/>
    <s v="Logistics"/>
    <s v="West"/>
    <s v="Laura Chen"/>
    <d v="2025-03-17T00:00:00"/>
    <d v="2025-04-16T00:00:00"/>
    <n v="30"/>
    <n v="6268.46"/>
    <n v="6268.46"/>
    <n v="0"/>
    <d v="2025-04-22T00:00:00"/>
    <s v="Paid"/>
    <s v="Check"/>
    <n v="36"/>
    <n v="-6"/>
    <x v="1"/>
    <s v="Yes"/>
    <n v="0.01"/>
    <s v="No"/>
    <n v="0"/>
  </r>
  <r>
    <s v="AP-0581"/>
    <s v="VND-009"/>
    <s v="MetalWorks Ltd."/>
    <s v="Materials"/>
    <s v="South"/>
    <s v="Pedro Alvarez"/>
    <d v="2025-07-25T00:00:00"/>
    <d v="2025-10-23T00:00:00"/>
    <n v="90"/>
    <n v="31294.49"/>
    <n v="31294.49"/>
    <n v="0"/>
    <d v="2025-10-23T00:00:00"/>
    <s v="Paid"/>
    <s v="ACH"/>
    <n v="90"/>
    <n v="0"/>
    <x v="0"/>
    <s v="Yes"/>
    <n v="5.0000000000000001E-3"/>
    <s v="No"/>
    <n v="0"/>
  </r>
  <r>
    <s v="AP-0582"/>
    <s v="VND-005"/>
    <s v="CloudSys Inc."/>
    <s v="IT"/>
    <s v="Central"/>
    <s v="Pedro Alvarez"/>
    <d v="2026-03-29T00:00:00"/>
    <d v="2026-04-28T00:00:00"/>
    <n v="30"/>
    <n v="58655.02"/>
    <n v="58655.02"/>
    <n v="0"/>
    <d v="2026-04-28T00:00:00"/>
    <s v="Paid"/>
    <s v="Wire"/>
    <n v="30"/>
    <n v="0"/>
    <x v="0"/>
    <s v="Yes"/>
    <n v="0.01"/>
    <s v="No"/>
    <n v="0"/>
  </r>
  <r>
    <s v="AP-0583"/>
    <s v="VND-016"/>
    <s v="CleanWater Utilities"/>
    <s v="Utilities"/>
    <s v="South"/>
    <s v="Sofia Reyes"/>
    <d v="2025-09-30T00:00:00"/>
    <d v="2025-11-29T00:00:00"/>
    <n v="60"/>
    <n v="2698.31"/>
    <n v="2698.31"/>
    <n v="0"/>
    <d v="2025-12-07T00:00:00"/>
    <s v="Paid"/>
    <s v="ACH"/>
    <n v="68"/>
    <n v="-8"/>
    <x v="1"/>
    <s v="Yes"/>
    <n v="0.01"/>
    <s v="No"/>
    <n v="0"/>
  </r>
  <r>
    <s v="AP-0584"/>
    <s v="VND-001"/>
    <s v="Acme Supplies Co."/>
    <s v="Materials"/>
    <s v="Central"/>
    <s v="Pedro Alvarez"/>
    <d v="2026-02-18T00:00:00"/>
    <d v="2026-04-19T00:00:00"/>
    <n v="60"/>
    <n v="42514.36"/>
    <n v="12824.61"/>
    <n v="29689.75"/>
    <d v="2026-05-06T00:00:00"/>
    <s v="Partial"/>
    <s v="Credit Card"/>
    <n v="77"/>
    <n v="-17"/>
    <x v="1"/>
    <s v="No"/>
    <n v="0"/>
    <s v="No"/>
    <n v="0"/>
  </r>
  <r>
    <s v="AP-0585"/>
    <s v="VND-025"/>
    <s v="RapidShip Co."/>
    <s v="Logistics"/>
    <s v="West"/>
    <s v="Sofia Reyes"/>
    <d v="2025-11-07T00:00:00"/>
    <d v="2026-01-06T00:00:00"/>
    <n v="60"/>
    <n v="8611.68"/>
    <n v="0"/>
    <n v="8611.68"/>
    <m/>
    <s v="Overdue"/>
    <s v="Check"/>
    <m/>
    <n v="-145"/>
    <x v="1"/>
    <s v="Yes"/>
    <n v="0.01"/>
    <s v="No"/>
    <n v="0"/>
  </r>
  <r>
    <s v="AP-0586"/>
    <s v="VND-003"/>
    <s v="FastShip Logistics"/>
    <s v="Logistics"/>
    <s v="East"/>
    <s v="Ana Torres"/>
    <d v="2026-04-16T00:00:00"/>
    <d v="2026-05-16T00:00:00"/>
    <n v="30"/>
    <n v="15448.61"/>
    <n v="15448.61"/>
    <n v="0"/>
    <d v="2026-05-27T00:00:00"/>
    <s v="Paid"/>
    <s v="Check"/>
    <n v="41"/>
    <n v="-11"/>
    <x v="1"/>
    <s v="Yes"/>
    <n v="0.01"/>
    <s v="No"/>
    <n v="0"/>
  </r>
  <r>
    <s v="AP-0587"/>
    <s v="VND-010"/>
    <s v="DataBridge IT"/>
    <s v="IT"/>
    <s v="West"/>
    <s v="Sofia Reyes"/>
    <d v="2025-03-28T00:00:00"/>
    <d v="2025-06-26T00:00:00"/>
    <n v="90"/>
    <n v="71391.06"/>
    <n v="71391.06"/>
    <n v="0"/>
    <d v="2025-06-24T00:00:00"/>
    <s v="Paid"/>
    <s v="Check"/>
    <n v="88"/>
    <n v="2"/>
    <x v="0"/>
    <s v="Yes"/>
    <n v="5.0000000000000001E-3"/>
    <s v="No"/>
    <n v="0"/>
  </r>
  <r>
    <s v="AP-0588"/>
    <s v="VND-002"/>
    <s v="TechCore Solutions"/>
    <s v="IT"/>
    <s v="South"/>
    <s v="Sofia Reyes"/>
    <d v="2026-02-03T00:00:00"/>
    <d v="2026-05-04T00:00:00"/>
    <n v="90"/>
    <n v="9724.4500000000007"/>
    <n v="9724.4500000000007"/>
    <n v="0"/>
    <d v="2026-05-08T00:00:00"/>
    <s v="Paid"/>
    <s v="Wire"/>
    <n v="94"/>
    <n v="-4"/>
    <x v="1"/>
    <s v="Yes"/>
    <n v="5.0000000000000001E-3"/>
    <s v="No"/>
    <n v="0"/>
  </r>
  <r>
    <s v="AP-0589"/>
    <s v="VND-001"/>
    <s v="Acme Supplies Co."/>
    <s v="Materials"/>
    <s v="North"/>
    <s v="Laura Chen"/>
    <d v="2025-02-13T00:00:00"/>
    <d v="2025-04-14T00:00:00"/>
    <n v="60"/>
    <n v="21464.38"/>
    <n v="21464.38"/>
    <n v="0"/>
    <d v="2025-04-07T00:00:00"/>
    <s v="Paid"/>
    <s v="ACH"/>
    <n v="53"/>
    <n v="7"/>
    <x v="0"/>
    <s v="Yes"/>
    <n v="0.01"/>
    <s v="No"/>
    <n v="0"/>
  </r>
  <r>
    <s v="AP-0590"/>
    <s v="VND-017"/>
    <s v="OfficePro Services"/>
    <s v="Services"/>
    <s v="West"/>
    <s v="Ana Torres"/>
    <d v="2025-03-15T00:00:00"/>
    <d v="2025-04-14T00:00:00"/>
    <n v="30"/>
    <n v="4364.47"/>
    <n v="4364.47"/>
    <n v="0"/>
    <d v="2025-03-28T00:00:00"/>
    <s v="Paid"/>
    <s v="Wire"/>
    <n v="13"/>
    <n v="17"/>
    <x v="0"/>
    <s v="Yes"/>
    <n v="0.01"/>
    <s v="No"/>
    <n v="0"/>
  </r>
  <r>
    <s v="AP-0591"/>
    <s v="VND-002"/>
    <s v="TechCore Solutions"/>
    <s v="IT"/>
    <s v="South"/>
    <s v="Marco Diaz"/>
    <d v="2025-02-21T00:00:00"/>
    <d v="2025-03-23T00:00:00"/>
    <n v="30"/>
    <n v="72849.679999999993"/>
    <n v="72849.679999999993"/>
    <n v="0"/>
    <d v="2025-03-26T00:00:00"/>
    <s v="Paid"/>
    <s v="ACH"/>
    <n v="33"/>
    <n v="-3"/>
    <x v="1"/>
    <s v="No"/>
    <n v="0"/>
    <s v="No"/>
    <n v="0"/>
  </r>
  <r>
    <s v="AP-0592"/>
    <s v="VND-020"/>
    <s v="TrustBuild Facilities"/>
    <s v="Facilities"/>
    <s v="South"/>
    <s v="Ana Torres"/>
    <d v="2025-04-27T00:00:00"/>
    <d v="2025-05-27T00:00:00"/>
    <n v="30"/>
    <n v="18405.740000000002"/>
    <n v="18405.740000000002"/>
    <n v="0"/>
    <d v="2025-05-29T00:00:00"/>
    <s v="Paid"/>
    <s v="ACH"/>
    <n v="32"/>
    <n v="-2"/>
    <x v="1"/>
    <s v="No"/>
    <n v="0"/>
    <s v="No"/>
    <n v="0"/>
  </r>
  <r>
    <s v="AP-0593"/>
    <s v="VND-024"/>
    <s v="EliteFacilities Corp."/>
    <s v="Facilities"/>
    <s v="West"/>
    <s v="Laura Chen"/>
    <d v="2025-11-26T00:00:00"/>
    <d v="2025-12-26T00:00:00"/>
    <n v="30"/>
    <n v="29602.09"/>
    <n v="29602.09"/>
    <n v="0"/>
    <d v="2025-12-19T00:00:00"/>
    <s v="Paid"/>
    <s v="ACH"/>
    <n v="23"/>
    <n v="7"/>
    <x v="0"/>
    <s v="No"/>
    <n v="0"/>
    <s v="No"/>
    <n v="0"/>
  </r>
  <r>
    <s v="AP-0594"/>
    <s v="VND-019"/>
    <s v="SkyNet IT Solutions"/>
    <s v="IT"/>
    <s v="South"/>
    <s v="Laura Chen"/>
    <d v="2025-10-08T00:00:00"/>
    <d v="2025-11-07T00:00:00"/>
    <n v="30"/>
    <n v="15592.76"/>
    <n v="15592.76"/>
    <n v="0"/>
    <d v="2025-10-30T00:00:00"/>
    <s v="Paid"/>
    <s v="ACH"/>
    <n v="22"/>
    <n v="8"/>
    <x v="0"/>
    <s v="Yes"/>
    <n v="0.01"/>
    <s v="No"/>
    <n v="0"/>
  </r>
  <r>
    <s v="AP-0595"/>
    <s v="VND-019"/>
    <s v="SkyNet IT Solutions"/>
    <s v="IT"/>
    <s v="North"/>
    <s v="Marco Diaz"/>
    <d v="2025-06-11T00:00:00"/>
    <d v="2025-08-10T00:00:00"/>
    <n v="60"/>
    <n v="6172.27"/>
    <n v="6172.27"/>
    <n v="0"/>
    <d v="2025-08-08T00:00:00"/>
    <s v="Paid"/>
    <s v="ACH"/>
    <n v="58"/>
    <n v="2"/>
    <x v="0"/>
    <s v="Yes"/>
    <n v="0.01"/>
    <s v="No"/>
    <n v="0"/>
  </r>
  <r>
    <s v="AP-0596"/>
    <s v="VND-006"/>
    <s v="PowerGrid Utilities"/>
    <s v="Utilities"/>
    <s v="North"/>
    <s v="Ana Torres"/>
    <d v="2026-05-03T00:00:00"/>
    <d v="2026-07-02T00:00:00"/>
    <n v="60"/>
    <n v="10539.2"/>
    <n v="10539.2"/>
    <n v="0"/>
    <d v="2026-05-31T00:00:00"/>
    <s v="Paid"/>
    <s v="Check"/>
    <n v="28"/>
    <n v="32"/>
    <x v="0"/>
    <s v="Yes"/>
    <n v="0.01"/>
    <s v="No"/>
    <n v="0"/>
  </r>
  <r>
    <s v="AP-0597"/>
    <s v="VND-020"/>
    <s v="TrustBuild Facilities"/>
    <s v="Facilities"/>
    <s v="North"/>
    <s v="Ana Torres"/>
    <d v="2025-04-01T00:00:00"/>
    <d v="2025-06-30T00:00:00"/>
    <n v="90"/>
    <n v="22697.32"/>
    <n v="22697.32"/>
    <n v="0"/>
    <d v="2025-07-09T00:00:00"/>
    <s v="Paid"/>
    <s v="Wire"/>
    <n v="99"/>
    <n v="-9"/>
    <x v="1"/>
    <s v="No"/>
    <n v="0"/>
    <s v="No"/>
    <n v="0"/>
  </r>
  <r>
    <s v="AP-0598"/>
    <s v="VND-001"/>
    <s v="Acme Supplies Co."/>
    <s v="Materials"/>
    <s v="Central"/>
    <s v="Marco Diaz"/>
    <d v="2025-04-08T00:00:00"/>
    <d v="2025-05-08T00:00:00"/>
    <n v="30"/>
    <n v="31708.21"/>
    <n v="0"/>
    <n v="31708.21"/>
    <m/>
    <s v="Overdue"/>
    <s v="Wire"/>
    <m/>
    <n v="-388"/>
    <x v="1"/>
    <s v="No"/>
    <n v="0"/>
    <s v="No"/>
    <n v="0"/>
  </r>
  <r>
    <s v="AP-0599"/>
    <s v="VND-017"/>
    <s v="OfficePro Services"/>
    <s v="Services"/>
    <s v="South"/>
    <s v="Pedro Alvarez"/>
    <d v="2025-02-24T00:00:00"/>
    <d v="2025-04-10T00:00:00"/>
    <n v="45"/>
    <n v="10167.6"/>
    <n v="10167.6"/>
    <n v="0"/>
    <d v="2025-04-18T00:00:00"/>
    <s v="Paid"/>
    <s v="Wire"/>
    <n v="53"/>
    <n v="-8"/>
    <x v="1"/>
    <s v="No"/>
    <n v="0"/>
    <s v="No"/>
    <n v="0"/>
  </r>
  <r>
    <s v="AP-0600"/>
    <s v="VND-006"/>
    <s v="PowerGrid Utilities"/>
    <s v="Utilities"/>
    <s v="South"/>
    <s v="Sofia Reyes"/>
    <d v="2025-10-19T00:00:00"/>
    <d v="2025-12-18T00:00:00"/>
    <n v="60"/>
    <n v="3539.05"/>
    <n v="3539.05"/>
    <n v="0"/>
    <d v="2025-12-17T00:00:00"/>
    <s v="Paid"/>
    <s v="ACH"/>
    <n v="59"/>
    <n v="1"/>
    <x v="0"/>
    <s v="Yes"/>
    <n v="0.01"/>
    <s v="No"/>
    <n v="0"/>
  </r>
  <r>
    <s v="AP-0601"/>
    <s v="VND-025"/>
    <s v="RapidShip Co."/>
    <s v="Logistics"/>
    <s v="West"/>
    <s v="Sofia Reyes"/>
    <d v="2025-06-30T00:00:00"/>
    <d v="2025-07-15T00:00:00"/>
    <n v="15"/>
    <n v="4002.87"/>
    <n v="4002.87"/>
    <n v="0"/>
    <d v="2025-07-20T00:00:00"/>
    <s v="Paid"/>
    <s v="ACH"/>
    <n v="20"/>
    <n v="-5"/>
    <x v="1"/>
    <s v="Yes"/>
    <n v="0.02"/>
    <s v="No"/>
    <n v="0"/>
  </r>
  <r>
    <s v="AP-0602"/>
    <s v="VND-015"/>
    <s v="ExpressRoute Logistics"/>
    <s v="Logistics"/>
    <s v="Central"/>
    <s v="Ana Torres"/>
    <d v="2025-07-23T00:00:00"/>
    <d v="2025-09-21T00:00:00"/>
    <n v="60"/>
    <n v="15194.65"/>
    <n v="15194.65"/>
    <n v="0"/>
    <d v="2025-09-23T00:00:00"/>
    <s v="Paid"/>
    <s v="Check"/>
    <n v="62"/>
    <n v="-2"/>
    <x v="1"/>
    <s v="No"/>
    <n v="0"/>
    <s v="No"/>
    <n v="0"/>
  </r>
  <r>
    <s v="AP-0603"/>
    <s v="VND-004"/>
    <s v="BuildRight Materials"/>
    <s v="Materials"/>
    <s v="East"/>
    <s v="Marco Diaz"/>
    <d v="2026-02-27T00:00:00"/>
    <d v="2026-03-29T00:00:00"/>
    <n v="30"/>
    <n v="43754.54"/>
    <n v="43754.54"/>
    <n v="0"/>
    <d v="2026-03-20T00:00:00"/>
    <s v="Paid"/>
    <s v="ACH"/>
    <n v="21"/>
    <n v="9"/>
    <x v="0"/>
    <s v="Yes"/>
    <n v="0.01"/>
    <s v="No"/>
    <n v="0"/>
  </r>
  <r>
    <s v="AP-0604"/>
    <s v="VND-014"/>
    <s v="NetConnect Systems"/>
    <s v="IT"/>
    <s v="South"/>
    <s v="Marco Diaz"/>
    <d v="2026-02-01T00:00:00"/>
    <d v="2026-03-03T00:00:00"/>
    <n v="30"/>
    <n v="33011.379999999997"/>
    <n v="33011.379999999997"/>
    <n v="0"/>
    <d v="2026-03-04T00:00:00"/>
    <s v="Paid"/>
    <s v="Credit Card"/>
    <n v="31"/>
    <n v="-1"/>
    <x v="1"/>
    <s v="Yes"/>
    <n v="0.01"/>
    <s v="No"/>
    <n v="0"/>
  </r>
  <r>
    <s v="AP-0605"/>
    <s v="VND-012"/>
    <s v="FacilityPro Services"/>
    <s v="Facilities"/>
    <s v="East"/>
    <s v="Marco Diaz"/>
    <d v="2025-02-02T00:00:00"/>
    <d v="2025-03-04T00:00:00"/>
    <n v="30"/>
    <n v="24842.95"/>
    <n v="24842.95"/>
    <n v="0"/>
    <d v="2025-03-09T00:00:00"/>
    <s v="Paid"/>
    <s v="Check"/>
    <n v="35"/>
    <n v="-5"/>
    <x v="1"/>
    <s v="Yes"/>
    <n v="0.01"/>
    <s v="No"/>
    <n v="0"/>
  </r>
  <r>
    <s v="AP-0606"/>
    <s v="VND-006"/>
    <s v="PowerGrid Utilities"/>
    <s v="Utilities"/>
    <s v="East"/>
    <s v="Marco Diaz"/>
    <d v="2025-06-24T00:00:00"/>
    <d v="2025-07-24T00:00:00"/>
    <n v="30"/>
    <n v="8882.76"/>
    <n v="8882.76"/>
    <n v="0"/>
    <d v="2025-07-17T00:00:00"/>
    <s v="Paid"/>
    <s v="Check"/>
    <n v="23"/>
    <n v="7"/>
    <x v="0"/>
    <s v="Yes"/>
    <n v="0.01"/>
    <s v="No"/>
    <n v="0"/>
  </r>
  <r>
    <s v="AP-0607"/>
    <s v="VND-014"/>
    <s v="NetConnect Systems"/>
    <s v="IT"/>
    <s v="Central"/>
    <s v="Pedro Alvarez"/>
    <d v="2026-04-19T00:00:00"/>
    <d v="2026-07-18T00:00:00"/>
    <n v="90"/>
    <n v="25937.82"/>
    <n v="0"/>
    <n v="25937.82"/>
    <m/>
    <s v="Pending"/>
    <s v="Wire"/>
    <m/>
    <m/>
    <x v="2"/>
    <s v="No"/>
    <n v="0"/>
    <s v="No"/>
    <n v="0"/>
  </r>
  <r>
    <s v="AP-0608"/>
    <s v="VND-011"/>
    <s v="QuickFreight Inc."/>
    <s v="Logistics"/>
    <s v="West"/>
    <s v="Ana Torres"/>
    <d v="2025-01-06T00:00:00"/>
    <d v="2025-02-05T00:00:00"/>
    <n v="30"/>
    <n v="8937.67"/>
    <n v="0"/>
    <n v="8937.67"/>
    <m/>
    <s v="Overdue"/>
    <s v="Wire"/>
    <m/>
    <n v="-480"/>
    <x v="1"/>
    <s v="Yes"/>
    <n v="0.01"/>
    <s v="No"/>
    <n v="0"/>
  </r>
  <r>
    <s v="AP-0609"/>
    <s v="VND-024"/>
    <s v="EliteFacilities Corp."/>
    <s v="Facilities"/>
    <s v="Central"/>
    <s v="Sofia Reyes"/>
    <d v="2026-05-06T00:00:00"/>
    <d v="2026-07-05T00:00:00"/>
    <n v="60"/>
    <n v="28720.65"/>
    <n v="28720.65"/>
    <n v="0"/>
    <d v="2026-05-31T00:00:00"/>
    <s v="Paid"/>
    <s v="Credit Card"/>
    <n v="25"/>
    <n v="35"/>
    <x v="0"/>
    <s v="Yes"/>
    <n v="0.01"/>
    <s v="No"/>
    <n v="0"/>
  </r>
  <r>
    <s v="AP-0610"/>
    <s v="VND-023"/>
    <s v="CoolTech Systems"/>
    <s v="IT"/>
    <s v="West"/>
    <s v="Marco Diaz"/>
    <d v="2025-10-30T00:00:00"/>
    <d v="2025-12-29T00:00:00"/>
    <n v="60"/>
    <n v="22929.68"/>
    <n v="22929.68"/>
    <n v="0"/>
    <d v="2026-01-04T00:00:00"/>
    <s v="Paid"/>
    <s v="Wire"/>
    <n v="66"/>
    <n v="-6"/>
    <x v="1"/>
    <s v="No"/>
    <n v="0"/>
    <s v="No"/>
    <n v="0"/>
  </r>
  <r>
    <s v="AP-0611"/>
    <s v="VND-022"/>
    <s v="Apex Consulting"/>
    <s v="Services"/>
    <s v="East"/>
    <s v="Marco Diaz"/>
    <d v="2026-04-11T00:00:00"/>
    <d v="2026-04-26T00:00:00"/>
    <n v="15"/>
    <n v="20159.14"/>
    <n v="0"/>
    <n v="20159.14"/>
    <m/>
    <s v="Pending"/>
    <s v="Credit Card"/>
    <m/>
    <m/>
    <x v="2"/>
    <s v="Yes"/>
    <n v="0.02"/>
    <s v="No"/>
    <n v="0"/>
  </r>
  <r>
    <s v="AP-0612"/>
    <s v="VND-012"/>
    <s v="FacilityPro Services"/>
    <s v="Facilities"/>
    <s v="West"/>
    <s v="Sofia Reyes"/>
    <d v="2025-12-07T00:00:00"/>
    <d v="2026-02-05T00:00:00"/>
    <n v="60"/>
    <n v="19520.37"/>
    <n v="19520.37"/>
    <n v="0"/>
    <d v="2026-02-02T00:00:00"/>
    <s v="Paid"/>
    <s v="ACH"/>
    <n v="57"/>
    <n v="3"/>
    <x v="0"/>
    <s v="Yes"/>
    <n v="0.01"/>
    <s v="No"/>
    <n v="0"/>
  </r>
  <r>
    <s v="AP-0613"/>
    <s v="VND-019"/>
    <s v="SkyNet IT Solutions"/>
    <s v="IT"/>
    <s v="South"/>
    <s v="Sofia Reyes"/>
    <d v="2026-01-08T00:00:00"/>
    <d v="2026-01-23T00:00:00"/>
    <n v="15"/>
    <n v="71598.34"/>
    <n v="71598.34"/>
    <n v="0"/>
    <d v="2026-01-13T00:00:00"/>
    <s v="Paid"/>
    <s v="Check"/>
    <n v="5"/>
    <n v="10"/>
    <x v="0"/>
    <s v="Yes"/>
    <n v="0.02"/>
    <s v="Yes"/>
    <n v="1431.97"/>
  </r>
  <r>
    <s v="AP-0614"/>
    <s v="VND-020"/>
    <s v="TrustBuild Facilities"/>
    <s v="Facilities"/>
    <s v="North"/>
    <s v="Laura Chen"/>
    <d v="2025-03-10T00:00:00"/>
    <d v="2025-04-09T00:00:00"/>
    <n v="30"/>
    <n v="20505.02"/>
    <n v="20505.02"/>
    <n v="0"/>
    <d v="2025-04-04T00:00:00"/>
    <s v="Paid"/>
    <s v="Check"/>
    <n v="25"/>
    <n v="5"/>
    <x v="0"/>
    <s v="No"/>
    <n v="0"/>
    <s v="No"/>
    <n v="0"/>
  </r>
  <r>
    <s v="AP-0615"/>
    <s v="VND-021"/>
    <s v="PrimePack Logistics"/>
    <s v="Logistics"/>
    <s v="West"/>
    <s v="Ana Torres"/>
    <d v="2025-11-25T00:00:00"/>
    <d v="2025-12-25T00:00:00"/>
    <n v="30"/>
    <n v="7701.52"/>
    <n v="7701.52"/>
    <n v="0"/>
    <d v="2026-01-02T00:00:00"/>
    <s v="Paid"/>
    <s v="Wire"/>
    <n v="38"/>
    <n v="-8"/>
    <x v="1"/>
    <s v="Yes"/>
    <n v="0.01"/>
    <s v="No"/>
    <n v="0"/>
  </r>
  <r>
    <s v="AP-0616"/>
    <s v="VND-009"/>
    <s v="MetalWorks Ltd."/>
    <s v="Materials"/>
    <s v="North"/>
    <s v="Sofia Reyes"/>
    <d v="2026-04-09T00:00:00"/>
    <d v="2026-06-08T00:00:00"/>
    <n v="60"/>
    <n v="25338.89"/>
    <n v="25338.89"/>
    <n v="0"/>
    <d v="2026-05-31T00:00:00"/>
    <s v="Paid"/>
    <s v="Check"/>
    <n v="52"/>
    <n v="8"/>
    <x v="0"/>
    <s v="Yes"/>
    <n v="0.01"/>
    <s v="No"/>
    <n v="0"/>
  </r>
  <r>
    <s v="AP-0617"/>
    <s v="VND-010"/>
    <s v="DataBridge IT"/>
    <s v="IT"/>
    <s v="West"/>
    <s v="Ana Torres"/>
    <d v="2025-07-12T00:00:00"/>
    <d v="2025-08-11T00:00:00"/>
    <n v="30"/>
    <n v="71892.740000000005"/>
    <n v="71892.740000000005"/>
    <n v="0"/>
    <d v="2025-08-03T00:00:00"/>
    <s v="Paid"/>
    <s v="Check"/>
    <n v="22"/>
    <n v="8"/>
    <x v="0"/>
    <s v="Yes"/>
    <n v="0.01"/>
    <s v="No"/>
    <n v="0"/>
  </r>
  <r>
    <s v="AP-0618"/>
    <s v="VND-006"/>
    <s v="PowerGrid Utilities"/>
    <s v="Utilities"/>
    <s v="East"/>
    <s v="Sofia Reyes"/>
    <d v="2025-10-10T00:00:00"/>
    <d v="2025-11-09T00:00:00"/>
    <n v="30"/>
    <n v="2124.36"/>
    <n v="2124.36"/>
    <n v="0"/>
    <d v="2025-11-14T00:00:00"/>
    <s v="Paid"/>
    <s v="ACH"/>
    <n v="35"/>
    <n v="-5"/>
    <x v="1"/>
    <s v="Yes"/>
    <n v="0.01"/>
    <s v="No"/>
    <n v="0"/>
  </r>
  <r>
    <s v="AP-0619"/>
    <s v="VND-001"/>
    <s v="Acme Supplies Co."/>
    <s v="Materials"/>
    <s v="East"/>
    <s v="Pedro Alvarez"/>
    <d v="2025-12-22T00:00:00"/>
    <d v="2026-03-22T00:00:00"/>
    <n v="90"/>
    <n v="22166.240000000002"/>
    <n v="22166.240000000002"/>
    <n v="0"/>
    <d v="2026-04-09T00:00:00"/>
    <s v="Paid"/>
    <s v="Wire"/>
    <n v="108"/>
    <n v="-18"/>
    <x v="1"/>
    <s v="No"/>
    <n v="0"/>
    <s v="No"/>
    <n v="0"/>
  </r>
  <r>
    <s v="AP-0620"/>
    <s v="VND-007"/>
    <s v="ProStaff Services"/>
    <s v="Services"/>
    <s v="North"/>
    <s v="Sofia Reyes"/>
    <d v="2026-02-26T00:00:00"/>
    <d v="2026-04-27T00:00:00"/>
    <n v="60"/>
    <n v="24412.07"/>
    <n v="15451.07"/>
    <n v="8961"/>
    <d v="2026-05-08T00:00:00"/>
    <s v="Partial"/>
    <s v="Wire"/>
    <n v="71"/>
    <n v="-11"/>
    <x v="1"/>
    <s v="Yes"/>
    <n v="0.01"/>
    <s v="No"/>
    <n v="0"/>
  </r>
  <r>
    <s v="AP-0621"/>
    <s v="VND-018"/>
    <s v="BuildFast Materials"/>
    <s v="Materials"/>
    <s v="West"/>
    <s v="Pedro Alvarez"/>
    <d v="2025-11-10T00:00:00"/>
    <d v="2025-12-10T00:00:00"/>
    <n v="30"/>
    <n v="10243.379999999999"/>
    <n v="10243.379999999999"/>
    <n v="0"/>
    <d v="2025-12-23T00:00:00"/>
    <s v="Paid"/>
    <s v="Check"/>
    <n v="43"/>
    <n v="-13"/>
    <x v="1"/>
    <s v="Yes"/>
    <n v="0.01"/>
    <s v="No"/>
    <n v="0"/>
  </r>
  <r>
    <s v="AP-0622"/>
    <s v="VND-002"/>
    <s v="TechCore Solutions"/>
    <s v="IT"/>
    <s v="South"/>
    <s v="Laura Chen"/>
    <d v="2025-06-20T00:00:00"/>
    <d v="2025-09-18T00:00:00"/>
    <n v="90"/>
    <n v="51397.27"/>
    <n v="51397.27"/>
    <n v="0"/>
    <d v="2025-09-16T00:00:00"/>
    <s v="Paid"/>
    <s v="Check"/>
    <n v="88"/>
    <n v="2"/>
    <x v="0"/>
    <s v="Yes"/>
    <n v="5.0000000000000001E-3"/>
    <s v="No"/>
    <n v="0"/>
  </r>
  <r>
    <s v="AP-0623"/>
    <s v="VND-006"/>
    <s v="PowerGrid Utilities"/>
    <s v="Utilities"/>
    <s v="South"/>
    <s v="Marco Diaz"/>
    <d v="2025-04-30T00:00:00"/>
    <d v="2025-05-30T00:00:00"/>
    <n v="30"/>
    <n v="1096.7"/>
    <n v="1096.7"/>
    <n v="0"/>
    <d v="2025-05-30T00:00:00"/>
    <s v="Paid"/>
    <s v="Wire"/>
    <n v="30"/>
    <n v="0"/>
    <x v="0"/>
    <s v="Yes"/>
    <n v="0.01"/>
    <s v="No"/>
    <n v="0"/>
  </r>
  <r>
    <s v="AP-0624"/>
    <s v="VND-018"/>
    <s v="BuildFast Materials"/>
    <s v="Materials"/>
    <s v="North"/>
    <s v="Laura Chen"/>
    <d v="2026-01-17T00:00:00"/>
    <d v="2026-02-16T00:00:00"/>
    <n v="30"/>
    <n v="23524.6"/>
    <n v="23524.6"/>
    <n v="0"/>
    <d v="2026-02-21T00:00:00"/>
    <s v="Paid"/>
    <s v="Check"/>
    <n v="35"/>
    <n v="-5"/>
    <x v="1"/>
    <s v="No"/>
    <n v="0"/>
    <s v="No"/>
    <n v="0"/>
  </r>
  <r>
    <s v="AP-0625"/>
    <s v="VND-004"/>
    <s v="BuildRight Materials"/>
    <s v="Materials"/>
    <s v="North"/>
    <s v="Pedro Alvarez"/>
    <d v="2026-04-15T00:00:00"/>
    <d v="2026-05-15T00:00:00"/>
    <n v="30"/>
    <n v="46534.94"/>
    <n v="0"/>
    <n v="46534.94"/>
    <m/>
    <s v="Overdue"/>
    <s v="Credit Card"/>
    <m/>
    <n v="-16"/>
    <x v="1"/>
    <s v="Yes"/>
    <n v="0.01"/>
    <s v="No"/>
    <n v="0"/>
  </r>
  <r>
    <s v="AP-0626"/>
    <s v="VND-017"/>
    <s v="OfficePro Services"/>
    <s v="Services"/>
    <s v="East"/>
    <s v="Laura Chen"/>
    <d v="2025-05-31T00:00:00"/>
    <d v="2025-07-15T00:00:00"/>
    <n v="45"/>
    <n v="32584.32"/>
    <n v="0"/>
    <n v="32584.32"/>
    <m/>
    <s v="Overdue"/>
    <s v="Credit Card"/>
    <m/>
    <n v="-320"/>
    <x v="1"/>
    <s v="No"/>
    <n v="0"/>
    <s v="No"/>
    <n v="0"/>
  </r>
  <r>
    <s v="AP-0627"/>
    <s v="VND-011"/>
    <s v="QuickFreight Inc."/>
    <s v="Logistics"/>
    <s v="North"/>
    <s v="Pedro Alvarez"/>
    <d v="2025-04-30T00:00:00"/>
    <d v="2025-05-30T00:00:00"/>
    <n v="30"/>
    <n v="6853.56"/>
    <n v="3584.32"/>
    <n v="3269.24"/>
    <d v="2025-05-27T00:00:00"/>
    <s v="Partial"/>
    <s v="ACH"/>
    <n v="27"/>
    <n v="3"/>
    <x v="0"/>
    <s v="Yes"/>
    <n v="0.01"/>
    <s v="No"/>
    <n v="0"/>
  </r>
  <r>
    <s v="AP-0628"/>
    <s v="VND-011"/>
    <s v="QuickFreight Inc."/>
    <s v="Logistics"/>
    <s v="North"/>
    <s v="Ana Torres"/>
    <d v="2025-10-12T00:00:00"/>
    <d v="2025-11-11T00:00:00"/>
    <n v="30"/>
    <n v="4718.6000000000004"/>
    <n v="3012.98"/>
    <n v="1705.62"/>
    <d v="2025-11-08T00:00:00"/>
    <s v="Partial"/>
    <s v="Wire"/>
    <n v="27"/>
    <n v="3"/>
    <x v="0"/>
    <s v="Yes"/>
    <n v="0.01"/>
    <s v="No"/>
    <n v="0"/>
  </r>
  <r>
    <s v="AP-0629"/>
    <s v="VND-017"/>
    <s v="OfficePro Services"/>
    <s v="Services"/>
    <s v="West"/>
    <s v="Marco Diaz"/>
    <d v="2025-02-27T00:00:00"/>
    <d v="2025-04-28T00:00:00"/>
    <n v="60"/>
    <n v="36612.54"/>
    <n v="36612.54"/>
    <n v="0"/>
    <d v="2025-05-02T00:00:00"/>
    <s v="Paid"/>
    <s v="Credit Card"/>
    <n v="64"/>
    <n v="-4"/>
    <x v="1"/>
    <s v="Yes"/>
    <n v="0.01"/>
    <s v="No"/>
    <n v="0"/>
  </r>
  <r>
    <s v="AP-0630"/>
    <s v="VND-012"/>
    <s v="FacilityPro Services"/>
    <s v="Facilities"/>
    <s v="North"/>
    <s v="Laura Chen"/>
    <d v="2025-11-12T00:00:00"/>
    <d v="2026-01-11T00:00:00"/>
    <n v="60"/>
    <n v="34258.28"/>
    <n v="34258.28"/>
    <n v="0"/>
    <d v="2026-01-05T00:00:00"/>
    <s v="Paid"/>
    <s v="Check"/>
    <n v="54"/>
    <n v="6"/>
    <x v="0"/>
    <s v="No"/>
    <n v="0"/>
    <s v="No"/>
    <n v="0"/>
  </r>
  <r>
    <s v="AP-0631"/>
    <s v="VND-024"/>
    <s v="EliteFacilities Corp."/>
    <s v="Facilities"/>
    <s v="West"/>
    <s v="Pedro Alvarez"/>
    <d v="2025-06-17T00:00:00"/>
    <d v="2025-08-01T00:00:00"/>
    <n v="45"/>
    <n v="28587.200000000001"/>
    <n v="28587.200000000001"/>
    <n v="0"/>
    <d v="2025-08-04T00:00:00"/>
    <s v="Paid"/>
    <s v="Credit Card"/>
    <n v="48"/>
    <n v="-3"/>
    <x v="1"/>
    <s v="No"/>
    <n v="0"/>
    <s v="No"/>
    <n v="0"/>
  </r>
  <r>
    <s v="AP-0632"/>
    <s v="VND-019"/>
    <s v="SkyNet IT Solutions"/>
    <s v="IT"/>
    <s v="Central"/>
    <s v="Sofia Reyes"/>
    <d v="2025-11-07T00:00:00"/>
    <d v="2025-12-07T00:00:00"/>
    <n v="30"/>
    <n v="40595.980000000003"/>
    <n v="0"/>
    <n v="40595.980000000003"/>
    <m/>
    <s v="Overdue"/>
    <s v="Wire"/>
    <m/>
    <n v="-175"/>
    <x v="1"/>
    <s v="No"/>
    <n v="0"/>
    <s v="No"/>
    <n v="0"/>
  </r>
  <r>
    <s v="AP-0633"/>
    <s v="VND-003"/>
    <s v="FastShip Logistics"/>
    <s v="Logistics"/>
    <s v="Central"/>
    <s v="Pedro Alvarez"/>
    <d v="2026-02-24T00:00:00"/>
    <d v="2026-03-11T00:00:00"/>
    <n v="15"/>
    <n v="13137.31"/>
    <n v="13137.31"/>
    <n v="0"/>
    <d v="2026-03-09T00:00:00"/>
    <s v="Paid"/>
    <s v="ACH"/>
    <n v="13"/>
    <n v="2"/>
    <x v="0"/>
    <s v="Yes"/>
    <n v="0.02"/>
    <s v="No"/>
    <n v="0"/>
  </r>
  <r>
    <s v="AP-0634"/>
    <s v="VND-015"/>
    <s v="ExpressRoute Logistics"/>
    <s v="Logistics"/>
    <s v="Central"/>
    <s v="Marco Diaz"/>
    <d v="2026-01-26T00:00:00"/>
    <d v="2026-02-25T00:00:00"/>
    <n v="30"/>
    <n v="6499.8"/>
    <n v="2931.39"/>
    <n v="3568.41"/>
    <d v="2026-03-10T00:00:00"/>
    <s v="Partial"/>
    <s v="Wire"/>
    <n v="43"/>
    <n v="-13"/>
    <x v="1"/>
    <s v="Yes"/>
    <n v="0.01"/>
    <s v="No"/>
    <n v="0"/>
  </r>
  <r>
    <s v="AP-0635"/>
    <s v="VND-010"/>
    <s v="DataBridge IT"/>
    <s v="IT"/>
    <s v="West"/>
    <s v="Ana Torres"/>
    <d v="2025-01-28T00:00:00"/>
    <d v="2025-02-27T00:00:00"/>
    <n v="30"/>
    <n v="64341.47"/>
    <n v="64341.47"/>
    <n v="0"/>
    <d v="2025-02-20T00:00:00"/>
    <s v="Paid"/>
    <s v="Credit Card"/>
    <n v="23"/>
    <n v="7"/>
    <x v="0"/>
    <s v="Yes"/>
    <n v="0.01"/>
    <s v="No"/>
    <n v="0"/>
  </r>
  <r>
    <s v="AP-0636"/>
    <s v="VND-004"/>
    <s v="BuildRight Materials"/>
    <s v="Materials"/>
    <s v="East"/>
    <s v="Pedro Alvarez"/>
    <d v="2025-09-08T00:00:00"/>
    <d v="2025-12-07T00:00:00"/>
    <n v="90"/>
    <n v="3365.24"/>
    <n v="3365.24"/>
    <n v="0"/>
    <d v="2025-11-29T00:00:00"/>
    <s v="Paid"/>
    <s v="Wire"/>
    <n v="82"/>
    <n v="8"/>
    <x v="0"/>
    <s v="No"/>
    <n v="0"/>
    <s v="No"/>
    <n v="0"/>
  </r>
  <r>
    <s v="AP-0637"/>
    <s v="VND-003"/>
    <s v="FastShip Logistics"/>
    <s v="Logistics"/>
    <s v="Central"/>
    <s v="Laura Chen"/>
    <d v="2025-09-22T00:00:00"/>
    <d v="2025-11-21T00:00:00"/>
    <n v="60"/>
    <n v="12931.92"/>
    <n v="12931.92"/>
    <n v="0"/>
    <d v="2025-11-28T00:00:00"/>
    <s v="Paid"/>
    <s v="Credit Card"/>
    <n v="67"/>
    <n v="-7"/>
    <x v="1"/>
    <s v="Yes"/>
    <n v="0.01"/>
    <s v="No"/>
    <n v="0"/>
  </r>
  <r>
    <s v="AP-0638"/>
    <s v="VND-019"/>
    <s v="SkyNet IT Solutions"/>
    <s v="IT"/>
    <s v="North"/>
    <s v="Laura Chen"/>
    <d v="2025-05-30T00:00:00"/>
    <d v="2025-06-14T00:00:00"/>
    <n v="15"/>
    <n v="28976.080000000002"/>
    <n v="28976.080000000002"/>
    <n v="0"/>
    <d v="2025-06-20T00:00:00"/>
    <s v="Paid"/>
    <s v="Wire"/>
    <n v="21"/>
    <n v="-6"/>
    <x v="1"/>
    <s v="No"/>
    <n v="0"/>
    <s v="No"/>
    <n v="0"/>
  </r>
  <r>
    <s v="AP-0639"/>
    <s v="VND-006"/>
    <s v="PowerGrid Utilities"/>
    <s v="Utilities"/>
    <s v="North"/>
    <s v="Laura Chen"/>
    <d v="2025-12-31T00:00:00"/>
    <d v="2026-03-01T00:00:00"/>
    <n v="60"/>
    <n v="1206.3699999999999"/>
    <n v="1206.3699999999999"/>
    <n v="0"/>
    <d v="2026-03-05T00:00:00"/>
    <s v="Paid"/>
    <s v="Check"/>
    <n v="64"/>
    <n v="-4"/>
    <x v="1"/>
    <s v="Yes"/>
    <n v="0.01"/>
    <s v="No"/>
    <n v="0"/>
  </r>
  <r>
    <s v="AP-0640"/>
    <s v="VND-021"/>
    <s v="PrimePack Logistics"/>
    <s v="Logistics"/>
    <s v="South"/>
    <s v="Sofia Reyes"/>
    <d v="2025-11-20T00:00:00"/>
    <d v="2026-01-19T00:00:00"/>
    <n v="60"/>
    <n v="16709.62"/>
    <n v="16709.62"/>
    <n v="0"/>
    <d v="2026-01-21T00:00:00"/>
    <s v="Paid"/>
    <s v="Wire"/>
    <n v="62"/>
    <n v="-2"/>
    <x v="1"/>
    <s v="Yes"/>
    <n v="0.01"/>
    <s v="No"/>
    <n v="0"/>
  </r>
  <r>
    <s v="AP-0641"/>
    <s v="VND-022"/>
    <s v="Apex Consulting"/>
    <s v="Services"/>
    <s v="East"/>
    <s v="Sofia Reyes"/>
    <d v="2025-01-14T00:00:00"/>
    <d v="2025-02-13T00:00:00"/>
    <n v="30"/>
    <n v="8067.13"/>
    <n v="8067.13"/>
    <n v="0"/>
    <d v="2025-01-29T00:00:00"/>
    <s v="Paid"/>
    <s v="Check"/>
    <n v="15"/>
    <n v="15"/>
    <x v="0"/>
    <s v="Yes"/>
    <n v="0.01"/>
    <s v="No"/>
    <n v="0"/>
  </r>
  <r>
    <s v="AP-0642"/>
    <s v="VND-006"/>
    <s v="PowerGrid Utilities"/>
    <s v="Utilities"/>
    <s v="North"/>
    <s v="Marco Diaz"/>
    <d v="2025-07-12T00:00:00"/>
    <d v="2025-08-11T00:00:00"/>
    <n v="30"/>
    <n v="12029.05"/>
    <n v="12029.05"/>
    <n v="0"/>
    <d v="2025-08-20T00:00:00"/>
    <s v="Paid"/>
    <s v="Wire"/>
    <n v="39"/>
    <n v="-9"/>
    <x v="1"/>
    <s v="Yes"/>
    <n v="0.01"/>
    <s v="No"/>
    <n v="0"/>
  </r>
  <r>
    <s v="AP-0643"/>
    <s v="VND-017"/>
    <s v="OfficePro Services"/>
    <s v="Services"/>
    <s v="Central"/>
    <s v="Ana Torres"/>
    <d v="2026-04-17T00:00:00"/>
    <d v="2026-06-16T00:00:00"/>
    <n v="60"/>
    <n v="36893.15"/>
    <n v="0"/>
    <n v="36893.15"/>
    <m/>
    <s v="Pending"/>
    <s v="ACH"/>
    <m/>
    <m/>
    <x v="2"/>
    <s v="Yes"/>
    <n v="0.01"/>
    <s v="No"/>
    <n v="0"/>
  </r>
  <r>
    <s v="AP-0644"/>
    <s v="VND-012"/>
    <s v="FacilityPro Services"/>
    <s v="Facilities"/>
    <s v="East"/>
    <s v="Laura Chen"/>
    <d v="2025-12-17T00:00:00"/>
    <d v="2026-03-17T00:00:00"/>
    <n v="90"/>
    <n v="7682.84"/>
    <n v="7682.84"/>
    <n v="0"/>
    <d v="2026-03-20T00:00:00"/>
    <s v="Paid"/>
    <s v="Wire"/>
    <n v="93"/>
    <n v="-3"/>
    <x v="1"/>
    <s v="Yes"/>
    <n v="5.0000000000000001E-3"/>
    <s v="No"/>
    <n v="0"/>
  </r>
  <r>
    <s v="AP-0645"/>
    <s v="VND-023"/>
    <s v="CoolTech Systems"/>
    <s v="IT"/>
    <s v="South"/>
    <s v="Marco Diaz"/>
    <d v="2025-08-03T00:00:00"/>
    <d v="2025-09-02T00:00:00"/>
    <n v="30"/>
    <n v="14766.37"/>
    <n v="14766.37"/>
    <n v="0"/>
    <d v="2025-09-04T00:00:00"/>
    <s v="Paid"/>
    <s v="Check"/>
    <n v="32"/>
    <n v="-2"/>
    <x v="1"/>
    <s v="Yes"/>
    <n v="0.01"/>
    <s v="No"/>
    <n v="0"/>
  </r>
  <r>
    <s v="AP-0646"/>
    <s v="VND-004"/>
    <s v="BuildRight Materials"/>
    <s v="Materials"/>
    <s v="North"/>
    <s v="Sofia Reyes"/>
    <d v="2025-02-13T00:00:00"/>
    <d v="2025-04-14T00:00:00"/>
    <n v="60"/>
    <n v="11424.85"/>
    <n v="11424.85"/>
    <n v="0"/>
    <d v="2025-04-07T00:00:00"/>
    <s v="Paid"/>
    <s v="Credit Card"/>
    <n v="53"/>
    <n v="7"/>
    <x v="0"/>
    <s v="Yes"/>
    <n v="0.01"/>
    <s v="No"/>
    <n v="0"/>
  </r>
  <r>
    <s v="AP-0647"/>
    <s v="VND-009"/>
    <s v="MetalWorks Ltd."/>
    <s v="Materials"/>
    <s v="North"/>
    <s v="Sofia Reyes"/>
    <d v="2025-04-09T00:00:00"/>
    <d v="2025-04-24T00:00:00"/>
    <n v="15"/>
    <n v="39553.800000000003"/>
    <n v="39553.800000000003"/>
    <n v="0"/>
    <d v="2025-04-20T00:00:00"/>
    <s v="Paid"/>
    <s v="Check"/>
    <n v="11"/>
    <n v="4"/>
    <x v="0"/>
    <s v="No"/>
    <n v="0"/>
    <s v="No"/>
    <n v="0"/>
  </r>
  <r>
    <s v="AP-0648"/>
    <s v="VND-007"/>
    <s v="ProStaff Services"/>
    <s v="Services"/>
    <s v="South"/>
    <s v="Laura Chen"/>
    <d v="2025-05-30T00:00:00"/>
    <d v="2025-06-29T00:00:00"/>
    <n v="30"/>
    <n v="34296.879999999997"/>
    <n v="0"/>
    <n v="34296.879999999997"/>
    <m/>
    <s v="Overdue"/>
    <s v="ACH"/>
    <m/>
    <n v="-336"/>
    <x v="1"/>
    <s v="No"/>
    <n v="0"/>
    <s v="No"/>
    <n v="0"/>
  </r>
  <r>
    <s v="AP-0649"/>
    <s v="VND-012"/>
    <s v="FacilityPro Services"/>
    <s v="Facilities"/>
    <s v="East"/>
    <s v="Marco Diaz"/>
    <d v="2025-04-12T00:00:00"/>
    <d v="2025-05-12T00:00:00"/>
    <n v="30"/>
    <n v="29046.35"/>
    <n v="29046.35"/>
    <n v="0"/>
    <d v="2025-05-08T00:00:00"/>
    <s v="Paid"/>
    <s v="Wire"/>
    <n v="26"/>
    <n v="4"/>
    <x v="0"/>
    <s v="No"/>
    <n v="0"/>
    <s v="No"/>
    <n v="0"/>
  </r>
  <r>
    <s v="AP-0650"/>
    <s v="VND-006"/>
    <s v="PowerGrid Utilities"/>
    <s v="Utilities"/>
    <s v="Central"/>
    <s v="Sofia Reyes"/>
    <d v="2026-05-02T00:00:00"/>
    <d v="2026-06-01T00:00:00"/>
    <n v="30"/>
    <n v="5813.71"/>
    <n v="5813.71"/>
    <n v="0"/>
    <d v="2026-05-12T00:00:00"/>
    <s v="Paid"/>
    <s v="ACH"/>
    <n v="10"/>
    <n v="20"/>
    <x v="0"/>
    <s v="Yes"/>
    <n v="0.01"/>
    <s v="Yes"/>
    <n v="58.14"/>
  </r>
  <r>
    <s v="AP-0651"/>
    <s v="VND-006"/>
    <s v="PowerGrid Utilities"/>
    <s v="Utilities"/>
    <s v="East"/>
    <s v="Pedro Alvarez"/>
    <d v="2025-08-22T00:00:00"/>
    <d v="2025-09-21T00:00:00"/>
    <n v="30"/>
    <n v="6409.88"/>
    <n v="6409.88"/>
    <n v="0"/>
    <d v="2025-09-12T00:00:00"/>
    <s v="Paid"/>
    <s v="Credit Card"/>
    <n v="21"/>
    <n v="9"/>
    <x v="0"/>
    <s v="No"/>
    <n v="0"/>
    <s v="No"/>
    <n v="0"/>
  </r>
  <r>
    <s v="AP-0652"/>
    <s v="VND-016"/>
    <s v="CleanWater Utilities"/>
    <s v="Utilities"/>
    <s v="East"/>
    <s v="Laura Chen"/>
    <d v="2025-12-02T00:00:00"/>
    <d v="2026-01-01T00:00:00"/>
    <n v="30"/>
    <n v="7658.84"/>
    <n v="7658.84"/>
    <n v="0"/>
    <d v="2026-01-03T00:00:00"/>
    <s v="Paid"/>
    <s v="ACH"/>
    <n v="32"/>
    <n v="-2"/>
    <x v="1"/>
    <s v="Yes"/>
    <n v="0.01"/>
    <s v="No"/>
    <n v="0"/>
  </r>
  <r>
    <s v="AP-0653"/>
    <s v="VND-024"/>
    <s v="EliteFacilities Corp."/>
    <s v="Facilities"/>
    <s v="East"/>
    <s v="Pedro Alvarez"/>
    <d v="2025-10-25T00:00:00"/>
    <d v="2025-12-24T00:00:00"/>
    <n v="60"/>
    <n v="34503.760000000002"/>
    <n v="25787.33"/>
    <n v="8716.43"/>
    <d v="2026-01-13T00:00:00"/>
    <s v="Partial"/>
    <s v="Wire"/>
    <n v="80"/>
    <n v="-20"/>
    <x v="1"/>
    <s v="Yes"/>
    <n v="0.01"/>
    <s v="No"/>
    <n v="0"/>
  </r>
  <r>
    <s v="AP-0654"/>
    <s v="VND-016"/>
    <s v="CleanWater Utilities"/>
    <s v="Utilities"/>
    <s v="East"/>
    <s v="Marco Diaz"/>
    <d v="2025-04-18T00:00:00"/>
    <d v="2025-07-17T00:00:00"/>
    <n v="90"/>
    <n v="6247.36"/>
    <n v="6247.36"/>
    <n v="0"/>
    <d v="2025-07-22T00:00:00"/>
    <s v="Paid"/>
    <s v="ACH"/>
    <n v="95"/>
    <n v="-5"/>
    <x v="1"/>
    <s v="Yes"/>
    <n v="5.0000000000000001E-3"/>
    <s v="No"/>
    <n v="0"/>
  </r>
  <r>
    <s v="AP-0655"/>
    <s v="VND-023"/>
    <s v="CoolTech Systems"/>
    <s v="IT"/>
    <s v="Central"/>
    <s v="Sofia Reyes"/>
    <d v="2026-01-08T00:00:00"/>
    <d v="2026-02-07T00:00:00"/>
    <n v="30"/>
    <n v="78140.56"/>
    <n v="78140.56"/>
    <n v="0"/>
    <d v="2026-02-12T00:00:00"/>
    <s v="Paid"/>
    <s v="Wire"/>
    <n v="35"/>
    <n v="-5"/>
    <x v="1"/>
    <s v="Yes"/>
    <n v="0.01"/>
    <s v="No"/>
    <n v="0"/>
  </r>
  <r>
    <s v="AP-0656"/>
    <s v="VND-013"/>
    <s v="SafetyFirst Supplies"/>
    <s v="Materials"/>
    <s v="North"/>
    <s v="Marco Diaz"/>
    <d v="2025-10-13T00:00:00"/>
    <d v="2026-01-11T00:00:00"/>
    <n v="90"/>
    <n v="38711.22"/>
    <n v="38711.22"/>
    <n v="0"/>
    <d v="2026-01-11T00:00:00"/>
    <s v="Paid"/>
    <s v="Credit Card"/>
    <n v="90"/>
    <n v="0"/>
    <x v="0"/>
    <s v="No"/>
    <n v="0"/>
    <s v="No"/>
    <n v="0"/>
  </r>
  <r>
    <s v="AP-0657"/>
    <s v="VND-013"/>
    <s v="SafetyFirst Supplies"/>
    <s v="Materials"/>
    <s v="East"/>
    <s v="Pedro Alvarez"/>
    <d v="2025-10-13T00:00:00"/>
    <d v="2026-01-11T00:00:00"/>
    <n v="90"/>
    <n v="9073.9599999999991"/>
    <n v="9073.9599999999991"/>
    <n v="0"/>
    <d v="2025-12-28T00:00:00"/>
    <s v="Paid"/>
    <s v="Credit Card"/>
    <n v="76"/>
    <n v="14"/>
    <x v="0"/>
    <s v="Yes"/>
    <n v="5.0000000000000001E-3"/>
    <s v="No"/>
    <n v="0"/>
  </r>
  <r>
    <s v="AP-0658"/>
    <s v="VND-016"/>
    <s v="CleanWater Utilities"/>
    <s v="Utilities"/>
    <s v="West"/>
    <s v="Marco Diaz"/>
    <d v="2025-04-12T00:00:00"/>
    <d v="2025-04-27T00:00:00"/>
    <n v="15"/>
    <n v="11198.08"/>
    <n v="11198.08"/>
    <n v="0"/>
    <d v="2025-05-01T00:00:00"/>
    <s v="Paid"/>
    <s v="Wire"/>
    <n v="19"/>
    <n v="-4"/>
    <x v="1"/>
    <s v="No"/>
    <n v="0"/>
    <s v="No"/>
    <n v="0"/>
  </r>
  <r>
    <s v="AP-0659"/>
    <s v="VND-020"/>
    <s v="TrustBuild Facilities"/>
    <s v="Facilities"/>
    <s v="East"/>
    <s v="Marco Diaz"/>
    <d v="2025-03-20T00:00:00"/>
    <d v="2025-04-19T00:00:00"/>
    <n v="30"/>
    <n v="23815.66"/>
    <n v="23815.66"/>
    <n v="0"/>
    <d v="2025-04-19T00:00:00"/>
    <s v="Paid"/>
    <s v="Check"/>
    <n v="30"/>
    <n v="0"/>
    <x v="0"/>
    <s v="Yes"/>
    <n v="0.01"/>
    <s v="No"/>
    <n v="0"/>
  </r>
  <r>
    <s v="AP-0660"/>
    <s v="VND-015"/>
    <s v="ExpressRoute Logistics"/>
    <s v="Logistics"/>
    <s v="South"/>
    <s v="Laura Chen"/>
    <d v="2025-09-25T00:00:00"/>
    <d v="2025-12-24T00:00:00"/>
    <n v="90"/>
    <n v="11306.32"/>
    <n v="11306.32"/>
    <n v="0"/>
    <d v="2026-01-06T00:00:00"/>
    <s v="Paid"/>
    <s v="Credit Card"/>
    <n v="103"/>
    <n v="-13"/>
    <x v="1"/>
    <s v="No"/>
    <n v="0"/>
    <s v="No"/>
    <n v="0"/>
  </r>
  <r>
    <s v="AP-0661"/>
    <s v="VND-014"/>
    <s v="NetConnect Systems"/>
    <s v="IT"/>
    <s v="North"/>
    <s v="Pedro Alvarez"/>
    <d v="2026-01-21T00:00:00"/>
    <d v="2026-03-22T00:00:00"/>
    <n v="60"/>
    <n v="38191.71"/>
    <n v="38191.71"/>
    <n v="0"/>
    <d v="2026-03-23T00:00:00"/>
    <s v="Paid"/>
    <s v="Credit Card"/>
    <n v="61"/>
    <n v="-1"/>
    <x v="1"/>
    <s v="Yes"/>
    <n v="0.01"/>
    <s v="No"/>
    <n v="0"/>
  </r>
  <r>
    <s v="AP-0662"/>
    <s v="VND-022"/>
    <s v="Apex Consulting"/>
    <s v="Services"/>
    <s v="East"/>
    <s v="Marco Diaz"/>
    <d v="2025-05-18T00:00:00"/>
    <d v="2025-07-17T00:00:00"/>
    <n v="60"/>
    <n v="14561.01"/>
    <n v="14561.01"/>
    <n v="0"/>
    <d v="2025-07-09T00:00:00"/>
    <s v="Paid"/>
    <s v="Credit Card"/>
    <n v="52"/>
    <n v="8"/>
    <x v="0"/>
    <s v="Yes"/>
    <n v="0.01"/>
    <s v="No"/>
    <n v="0"/>
  </r>
  <r>
    <s v="AP-0663"/>
    <s v="VND-018"/>
    <s v="BuildFast Materials"/>
    <s v="Materials"/>
    <s v="Central"/>
    <s v="Ana Torres"/>
    <d v="2025-06-10T00:00:00"/>
    <d v="2025-09-08T00:00:00"/>
    <n v="90"/>
    <n v="26320.880000000001"/>
    <n v="26320.880000000001"/>
    <n v="0"/>
    <d v="2025-09-05T00:00:00"/>
    <s v="Paid"/>
    <s v="Credit Card"/>
    <n v="87"/>
    <n v="3"/>
    <x v="0"/>
    <s v="Yes"/>
    <n v="5.0000000000000001E-3"/>
    <s v="No"/>
    <n v="0"/>
  </r>
  <r>
    <s v="AP-0664"/>
    <s v="VND-013"/>
    <s v="SafetyFirst Supplies"/>
    <s v="Materials"/>
    <s v="Central"/>
    <s v="Laura Chen"/>
    <d v="2025-03-04T00:00:00"/>
    <d v="2025-05-03T00:00:00"/>
    <n v="60"/>
    <n v="3351.06"/>
    <n v="1589.87"/>
    <n v="1761.19"/>
    <d v="2025-05-21T00:00:00"/>
    <s v="Partial"/>
    <s v="Check"/>
    <n v="78"/>
    <n v="-18"/>
    <x v="1"/>
    <s v="Yes"/>
    <n v="0.01"/>
    <s v="No"/>
    <n v="0"/>
  </r>
  <r>
    <s v="AP-0665"/>
    <s v="VND-019"/>
    <s v="SkyNet IT Solutions"/>
    <s v="IT"/>
    <s v="North"/>
    <s v="Laura Chen"/>
    <d v="2026-03-15T00:00:00"/>
    <d v="2026-04-14T00:00:00"/>
    <n v="30"/>
    <n v="30885.73"/>
    <n v="30885.73"/>
    <n v="0"/>
    <d v="2026-04-14T00:00:00"/>
    <s v="Paid"/>
    <s v="Credit Card"/>
    <n v="30"/>
    <n v="0"/>
    <x v="0"/>
    <s v="Yes"/>
    <n v="0.01"/>
    <s v="No"/>
    <n v="0"/>
  </r>
  <r>
    <s v="AP-0666"/>
    <s v="VND-019"/>
    <s v="SkyNet IT Solutions"/>
    <s v="IT"/>
    <s v="North"/>
    <s v="Sofia Reyes"/>
    <d v="2025-12-12T00:00:00"/>
    <d v="2026-01-11T00:00:00"/>
    <n v="30"/>
    <n v="17733.439999999999"/>
    <n v="17733.439999999999"/>
    <n v="0"/>
    <d v="2026-01-22T00:00:00"/>
    <s v="Paid"/>
    <s v="Check"/>
    <n v="41"/>
    <n v="-11"/>
    <x v="1"/>
    <s v="Yes"/>
    <n v="0.01"/>
    <s v="No"/>
    <n v="0"/>
  </r>
  <r>
    <s v="AP-0667"/>
    <s v="VND-022"/>
    <s v="Apex Consulting"/>
    <s v="Services"/>
    <s v="West"/>
    <s v="Ana Torres"/>
    <d v="2025-01-21T00:00:00"/>
    <d v="2025-03-07T00:00:00"/>
    <n v="45"/>
    <n v="28750.46"/>
    <n v="0"/>
    <n v="28750.46"/>
    <m/>
    <s v="Overdue"/>
    <s v="Credit Card"/>
    <m/>
    <n v="-450"/>
    <x v="1"/>
    <s v="Yes"/>
    <n v="1.4999999999999999E-2"/>
    <s v="No"/>
    <n v="0"/>
  </r>
  <r>
    <s v="AP-0668"/>
    <s v="VND-013"/>
    <s v="SafetyFirst Supplies"/>
    <s v="Materials"/>
    <s v="Central"/>
    <s v="Pedro Alvarez"/>
    <d v="2026-05-16T00:00:00"/>
    <d v="2026-06-15T00:00:00"/>
    <n v="30"/>
    <n v="6802.72"/>
    <n v="6802.72"/>
    <n v="0"/>
    <d v="2026-05-31T00:00:00"/>
    <s v="Paid"/>
    <s v="Check"/>
    <n v="15"/>
    <n v="15"/>
    <x v="0"/>
    <s v="Yes"/>
    <n v="0.01"/>
    <s v="No"/>
    <n v="0"/>
  </r>
  <r>
    <s v="AP-0669"/>
    <s v="VND-020"/>
    <s v="TrustBuild Facilities"/>
    <s v="Facilities"/>
    <s v="East"/>
    <s v="Laura Chen"/>
    <d v="2026-05-24T00:00:00"/>
    <d v="2026-06-23T00:00:00"/>
    <n v="30"/>
    <n v="22969.66"/>
    <n v="22969.66"/>
    <n v="0"/>
    <d v="2026-05-31T00:00:00"/>
    <s v="Paid"/>
    <s v="Credit Card"/>
    <n v="7"/>
    <n v="23"/>
    <x v="0"/>
    <s v="No"/>
    <n v="0"/>
    <s v="No"/>
    <n v="0"/>
  </r>
  <r>
    <s v="AP-0670"/>
    <s v="VND-007"/>
    <s v="ProStaff Services"/>
    <s v="Services"/>
    <s v="East"/>
    <s v="Laura Chen"/>
    <d v="2026-02-16T00:00:00"/>
    <d v="2026-04-02T00:00:00"/>
    <n v="45"/>
    <n v="32770.31"/>
    <n v="0"/>
    <n v="32770.31"/>
    <m/>
    <s v="Overdue"/>
    <s v="ACH"/>
    <m/>
    <n v="-59"/>
    <x v="1"/>
    <s v="Yes"/>
    <n v="1.4999999999999999E-2"/>
    <s v="No"/>
    <n v="0"/>
  </r>
  <r>
    <s v="AP-0671"/>
    <s v="VND-019"/>
    <s v="SkyNet IT Solutions"/>
    <s v="IT"/>
    <s v="North"/>
    <s v="Ana Torres"/>
    <d v="2025-03-10T00:00:00"/>
    <d v="2025-04-24T00:00:00"/>
    <n v="45"/>
    <n v="47482.12"/>
    <n v="47482.12"/>
    <n v="0"/>
    <d v="2025-04-23T00:00:00"/>
    <s v="Paid"/>
    <s v="Check"/>
    <n v="44"/>
    <n v="1"/>
    <x v="0"/>
    <s v="Yes"/>
    <n v="1.4999999999999999E-2"/>
    <s v="No"/>
    <n v="0"/>
  </r>
  <r>
    <s v="AP-0672"/>
    <s v="VND-010"/>
    <s v="DataBridge IT"/>
    <s v="IT"/>
    <s v="Central"/>
    <s v="Laura Chen"/>
    <d v="2025-07-24T00:00:00"/>
    <d v="2025-09-22T00:00:00"/>
    <n v="60"/>
    <n v="36073.57"/>
    <n v="36073.57"/>
    <n v="0"/>
    <d v="2025-09-24T00:00:00"/>
    <s v="Paid"/>
    <s v="Credit Card"/>
    <n v="62"/>
    <n v="-2"/>
    <x v="1"/>
    <s v="Yes"/>
    <n v="0.01"/>
    <s v="No"/>
    <n v="0"/>
  </r>
  <r>
    <s v="AP-0673"/>
    <s v="VND-022"/>
    <s v="Apex Consulting"/>
    <s v="Services"/>
    <s v="Central"/>
    <s v="Marco Diaz"/>
    <d v="2026-05-27T00:00:00"/>
    <d v="2026-06-26T00:00:00"/>
    <n v="30"/>
    <n v="10879.25"/>
    <n v="10879.25"/>
    <n v="0"/>
    <d v="2026-05-31T00:00:00"/>
    <s v="Paid"/>
    <s v="ACH"/>
    <n v="4"/>
    <n v="26"/>
    <x v="0"/>
    <s v="No"/>
    <n v="0"/>
    <s v="No"/>
    <n v="0"/>
  </r>
  <r>
    <s v="AP-0674"/>
    <s v="VND-020"/>
    <s v="TrustBuild Facilities"/>
    <s v="Facilities"/>
    <s v="West"/>
    <s v="Ana Torres"/>
    <d v="2026-01-09T00:00:00"/>
    <d v="2026-02-08T00:00:00"/>
    <n v="30"/>
    <n v="17262.060000000001"/>
    <n v="17262.060000000001"/>
    <n v="0"/>
    <d v="2026-02-05T00:00:00"/>
    <s v="Paid"/>
    <s v="ACH"/>
    <n v="27"/>
    <n v="3"/>
    <x v="0"/>
    <s v="Yes"/>
    <n v="0.01"/>
    <s v="No"/>
    <n v="0"/>
  </r>
  <r>
    <s v="AP-0675"/>
    <s v="VND-025"/>
    <s v="RapidShip Co."/>
    <s v="Logistics"/>
    <s v="East"/>
    <s v="Pedro Alvarez"/>
    <d v="2025-03-07T00:00:00"/>
    <d v="2025-05-06T00:00:00"/>
    <n v="60"/>
    <n v="13044.62"/>
    <n v="13044.62"/>
    <n v="0"/>
    <d v="2025-05-05T00:00:00"/>
    <s v="Paid"/>
    <s v="Credit Card"/>
    <n v="59"/>
    <n v="1"/>
    <x v="0"/>
    <s v="No"/>
    <n v="0"/>
    <s v="No"/>
    <n v="0"/>
  </r>
  <r>
    <s v="AP-0676"/>
    <s v="VND-022"/>
    <s v="Apex Consulting"/>
    <s v="Services"/>
    <s v="Central"/>
    <s v="Marco Diaz"/>
    <d v="2025-04-27T00:00:00"/>
    <d v="2025-05-27T00:00:00"/>
    <n v="30"/>
    <n v="8548.6"/>
    <n v="3891.92"/>
    <n v="4656.68"/>
    <d v="2025-06-06T00:00:00"/>
    <s v="Partial"/>
    <s v="Credit Card"/>
    <n v="40"/>
    <n v="-10"/>
    <x v="1"/>
    <s v="Yes"/>
    <n v="0.01"/>
    <s v="No"/>
    <n v="0"/>
  </r>
  <r>
    <s v="AP-0677"/>
    <s v="VND-018"/>
    <s v="BuildFast Materials"/>
    <s v="Materials"/>
    <s v="West"/>
    <s v="Pedro Alvarez"/>
    <d v="2025-06-13T00:00:00"/>
    <d v="2025-07-13T00:00:00"/>
    <n v="30"/>
    <n v="15090.17"/>
    <n v="6622.86"/>
    <n v="8467.31"/>
    <d v="2025-07-25T00:00:00"/>
    <s v="Partial"/>
    <s v="ACH"/>
    <n v="42"/>
    <n v="-12"/>
    <x v="1"/>
    <s v="Yes"/>
    <n v="0.01"/>
    <s v="No"/>
    <n v="0"/>
  </r>
  <r>
    <s v="AP-0678"/>
    <s v="VND-006"/>
    <s v="PowerGrid Utilities"/>
    <s v="Utilities"/>
    <s v="North"/>
    <s v="Pedro Alvarez"/>
    <d v="2025-03-27T00:00:00"/>
    <d v="2025-04-11T00:00:00"/>
    <n v="15"/>
    <n v="5051.62"/>
    <n v="5051.62"/>
    <n v="0"/>
    <d v="2025-04-15T00:00:00"/>
    <s v="Paid"/>
    <s v="ACH"/>
    <n v="19"/>
    <n v="-4"/>
    <x v="1"/>
    <s v="Yes"/>
    <n v="0.02"/>
    <s v="No"/>
    <n v="0"/>
  </r>
  <r>
    <s v="AP-0679"/>
    <s v="VND-014"/>
    <s v="NetConnect Systems"/>
    <s v="IT"/>
    <s v="East"/>
    <s v="Sofia Reyes"/>
    <d v="2025-08-30T00:00:00"/>
    <d v="2025-09-29T00:00:00"/>
    <n v="30"/>
    <n v="13394.93"/>
    <n v="0"/>
    <n v="13394.93"/>
    <m/>
    <s v="Overdue"/>
    <s v="Credit Card"/>
    <m/>
    <n v="-244"/>
    <x v="1"/>
    <s v="No"/>
    <n v="0"/>
    <s v="No"/>
    <n v="0"/>
  </r>
  <r>
    <s v="AP-0680"/>
    <s v="VND-017"/>
    <s v="OfficePro Services"/>
    <s v="Services"/>
    <s v="Central"/>
    <s v="Ana Torres"/>
    <d v="2025-04-03T00:00:00"/>
    <d v="2025-07-02T00:00:00"/>
    <n v="90"/>
    <n v="11808.84"/>
    <n v="5486.89"/>
    <n v="6321.95"/>
    <d v="2025-07-15T00:00:00"/>
    <s v="Partial"/>
    <s v="Check"/>
    <n v="103"/>
    <n v="-13"/>
    <x v="1"/>
    <s v="Yes"/>
    <n v="5.0000000000000001E-3"/>
    <s v="No"/>
    <n v="0"/>
  </r>
  <r>
    <s v="AP-0681"/>
    <s v="VND-024"/>
    <s v="EliteFacilities Corp."/>
    <s v="Facilities"/>
    <s v="West"/>
    <s v="Marco Diaz"/>
    <d v="2025-05-28T00:00:00"/>
    <d v="2025-06-27T00:00:00"/>
    <n v="30"/>
    <n v="5524.86"/>
    <n v="5524.86"/>
    <n v="0"/>
    <d v="2025-06-14T00:00:00"/>
    <s v="Paid"/>
    <s v="Credit Card"/>
    <n v="17"/>
    <n v="13"/>
    <x v="0"/>
    <s v="Yes"/>
    <n v="0.01"/>
    <s v="No"/>
    <n v="0"/>
  </r>
  <r>
    <s v="AP-0682"/>
    <s v="VND-002"/>
    <s v="TechCore Solutions"/>
    <s v="IT"/>
    <s v="West"/>
    <s v="Ana Torres"/>
    <d v="2025-11-21T00:00:00"/>
    <d v="2025-12-21T00:00:00"/>
    <n v="30"/>
    <n v="45930.879999999997"/>
    <n v="45930.879999999997"/>
    <n v="0"/>
    <d v="2025-12-29T00:00:00"/>
    <s v="Paid"/>
    <s v="Check"/>
    <n v="38"/>
    <n v="-8"/>
    <x v="1"/>
    <s v="Yes"/>
    <n v="0.01"/>
    <s v="No"/>
    <n v="0"/>
  </r>
  <r>
    <s v="AP-0683"/>
    <s v="VND-009"/>
    <s v="MetalWorks Ltd."/>
    <s v="Materials"/>
    <s v="South"/>
    <s v="Laura Chen"/>
    <d v="2025-11-12T00:00:00"/>
    <d v="2026-01-11T00:00:00"/>
    <n v="60"/>
    <n v="3011.56"/>
    <n v="3011.56"/>
    <n v="0"/>
    <d v="2026-01-17T00:00:00"/>
    <s v="Paid"/>
    <s v="Credit Card"/>
    <n v="66"/>
    <n v="-6"/>
    <x v="1"/>
    <s v="No"/>
    <n v="0"/>
    <s v="No"/>
    <n v="0"/>
  </r>
  <r>
    <s v="AP-0684"/>
    <s v="VND-002"/>
    <s v="TechCore Solutions"/>
    <s v="IT"/>
    <s v="South"/>
    <s v="Laura Chen"/>
    <d v="2026-01-07T00:00:00"/>
    <d v="2026-02-21T00:00:00"/>
    <n v="45"/>
    <n v="72736.78"/>
    <n v="72736.78"/>
    <n v="0"/>
    <d v="2026-02-12T00:00:00"/>
    <s v="Paid"/>
    <s v="Credit Card"/>
    <n v="36"/>
    <n v="9"/>
    <x v="0"/>
    <s v="Yes"/>
    <n v="1.4999999999999999E-2"/>
    <s v="No"/>
    <n v="0"/>
  </r>
  <r>
    <s v="AP-0685"/>
    <s v="VND-008"/>
    <s v="GreenEnergy Corp."/>
    <s v="Utilities"/>
    <s v="West"/>
    <s v="Pedro Alvarez"/>
    <d v="2025-09-19T00:00:00"/>
    <d v="2025-11-18T00:00:00"/>
    <n v="60"/>
    <n v="4862.88"/>
    <n v="4862.88"/>
    <n v="0"/>
    <d v="2025-11-14T00:00:00"/>
    <s v="Paid"/>
    <s v="ACH"/>
    <n v="56"/>
    <n v="4"/>
    <x v="0"/>
    <s v="No"/>
    <n v="0"/>
    <s v="No"/>
    <n v="0"/>
  </r>
  <r>
    <s v="AP-0686"/>
    <s v="VND-006"/>
    <s v="PowerGrid Utilities"/>
    <s v="Utilities"/>
    <s v="West"/>
    <s v="Laura Chen"/>
    <d v="2025-10-08T00:00:00"/>
    <d v="2025-10-23T00:00:00"/>
    <n v="15"/>
    <n v="13063.45"/>
    <n v="0"/>
    <n v="13063.45"/>
    <m/>
    <s v="Overdue"/>
    <s v="Credit Card"/>
    <m/>
    <n v="-220"/>
    <x v="1"/>
    <s v="No"/>
    <n v="0"/>
    <s v="No"/>
    <n v="0"/>
  </r>
  <r>
    <s v="AP-0687"/>
    <s v="VND-016"/>
    <s v="CleanWater Utilities"/>
    <s v="Utilities"/>
    <s v="West"/>
    <s v="Laura Chen"/>
    <d v="2025-06-14T00:00:00"/>
    <d v="2025-07-14T00:00:00"/>
    <n v="30"/>
    <n v="10627.99"/>
    <n v="10627.99"/>
    <n v="0"/>
    <d v="2025-07-29T00:00:00"/>
    <s v="Paid"/>
    <s v="Credit Card"/>
    <n v="45"/>
    <n v="-15"/>
    <x v="1"/>
    <s v="Yes"/>
    <n v="0.01"/>
    <s v="No"/>
    <n v="0"/>
  </r>
  <r>
    <s v="AP-0688"/>
    <s v="VND-020"/>
    <s v="TrustBuild Facilities"/>
    <s v="Facilities"/>
    <s v="Central"/>
    <s v="Laura Chen"/>
    <d v="2025-02-23T00:00:00"/>
    <d v="2025-03-10T00:00:00"/>
    <n v="15"/>
    <n v="23165.3"/>
    <n v="23165.3"/>
    <n v="0"/>
    <d v="2025-03-10T00:00:00"/>
    <s v="Paid"/>
    <s v="Credit Card"/>
    <n v="15"/>
    <n v="0"/>
    <x v="0"/>
    <s v="Yes"/>
    <n v="0.02"/>
    <s v="No"/>
    <n v="0"/>
  </r>
  <r>
    <s v="AP-0689"/>
    <s v="VND-007"/>
    <s v="ProStaff Services"/>
    <s v="Services"/>
    <s v="East"/>
    <s v="Laura Chen"/>
    <d v="2025-06-11T00:00:00"/>
    <d v="2025-07-11T00:00:00"/>
    <n v="30"/>
    <n v="12235.33"/>
    <n v="12235.33"/>
    <n v="0"/>
    <d v="2025-07-11T00:00:00"/>
    <s v="Paid"/>
    <s v="ACH"/>
    <n v="30"/>
    <n v="0"/>
    <x v="0"/>
    <s v="No"/>
    <n v="0"/>
    <s v="No"/>
    <n v="0"/>
  </r>
  <r>
    <s v="AP-0690"/>
    <s v="VND-021"/>
    <s v="PrimePack Logistics"/>
    <s v="Logistics"/>
    <s v="South"/>
    <s v="Ana Torres"/>
    <d v="2026-04-08T00:00:00"/>
    <d v="2026-06-07T00:00:00"/>
    <n v="60"/>
    <n v="10088.94"/>
    <n v="10088.94"/>
    <n v="0"/>
    <d v="2026-05-31T00:00:00"/>
    <s v="Paid"/>
    <s v="Credit Card"/>
    <n v="53"/>
    <n v="7"/>
    <x v="0"/>
    <s v="No"/>
    <n v="0"/>
    <s v="No"/>
    <n v="0"/>
  </r>
  <r>
    <s v="AP-0691"/>
    <s v="VND-007"/>
    <s v="ProStaff Services"/>
    <s v="Services"/>
    <s v="North"/>
    <s v="Pedro Alvarez"/>
    <d v="2026-02-07T00:00:00"/>
    <d v="2026-03-09T00:00:00"/>
    <n v="30"/>
    <n v="35426.43"/>
    <n v="14604.32"/>
    <n v="20822.11"/>
    <d v="2026-03-04T00:00:00"/>
    <s v="Partial"/>
    <s v="Check"/>
    <n v="25"/>
    <n v="5"/>
    <x v="0"/>
    <s v="No"/>
    <n v="0"/>
    <s v="No"/>
    <n v="0"/>
  </r>
  <r>
    <s v="AP-0692"/>
    <s v="VND-018"/>
    <s v="BuildFast Materials"/>
    <s v="Materials"/>
    <s v="Central"/>
    <s v="Marco Diaz"/>
    <d v="2025-07-23T00:00:00"/>
    <d v="2025-10-21T00:00:00"/>
    <n v="90"/>
    <n v="14565.59"/>
    <n v="14565.59"/>
    <n v="0"/>
    <d v="2025-10-09T00:00:00"/>
    <s v="Paid"/>
    <s v="ACH"/>
    <n v="78"/>
    <n v="12"/>
    <x v="0"/>
    <s v="No"/>
    <n v="0"/>
    <s v="No"/>
    <n v="0"/>
  </r>
  <r>
    <s v="AP-0693"/>
    <s v="VND-020"/>
    <s v="TrustBuild Facilities"/>
    <s v="Facilities"/>
    <s v="West"/>
    <s v="Ana Torres"/>
    <d v="2025-04-02T00:00:00"/>
    <d v="2025-05-02T00:00:00"/>
    <n v="30"/>
    <n v="33615.08"/>
    <n v="33615.08"/>
    <n v="0"/>
    <d v="2025-05-11T00:00:00"/>
    <s v="Paid"/>
    <s v="Check"/>
    <n v="39"/>
    <n v="-9"/>
    <x v="1"/>
    <s v="Yes"/>
    <n v="0.01"/>
    <s v="No"/>
    <n v="0"/>
  </r>
  <r>
    <s v="AP-0694"/>
    <s v="VND-025"/>
    <s v="RapidShip Co."/>
    <s v="Logistics"/>
    <s v="West"/>
    <s v="Pedro Alvarez"/>
    <d v="2025-07-28T00:00:00"/>
    <d v="2025-08-27T00:00:00"/>
    <n v="30"/>
    <n v="4620.34"/>
    <n v="2051.34"/>
    <n v="2569"/>
    <d v="2025-09-06T00:00:00"/>
    <s v="Partial"/>
    <s v="ACH"/>
    <n v="40"/>
    <n v="-10"/>
    <x v="1"/>
    <s v="No"/>
    <n v="0"/>
    <s v="No"/>
    <n v="0"/>
  </r>
  <r>
    <s v="AP-0695"/>
    <s v="VND-013"/>
    <s v="SafetyFirst Supplies"/>
    <s v="Materials"/>
    <s v="South"/>
    <s v="Pedro Alvarez"/>
    <d v="2025-10-17T00:00:00"/>
    <d v="2025-11-16T00:00:00"/>
    <n v="30"/>
    <n v="36881.99"/>
    <n v="36881.99"/>
    <n v="0"/>
    <d v="2025-11-16T00:00:00"/>
    <s v="Paid"/>
    <s v="Wire"/>
    <n v="30"/>
    <n v="0"/>
    <x v="0"/>
    <s v="Yes"/>
    <n v="0.01"/>
    <s v="No"/>
    <n v="0"/>
  </r>
  <r>
    <s v="AP-0696"/>
    <s v="VND-005"/>
    <s v="CloudSys Inc."/>
    <s v="IT"/>
    <s v="North"/>
    <s v="Laura Chen"/>
    <d v="2026-04-07T00:00:00"/>
    <d v="2026-05-07T00:00:00"/>
    <n v="30"/>
    <n v="73049.62"/>
    <n v="73049.62"/>
    <n v="0"/>
    <d v="2026-05-11T00:00:00"/>
    <s v="Paid"/>
    <s v="Check"/>
    <n v="34"/>
    <n v="-4"/>
    <x v="1"/>
    <s v="Yes"/>
    <n v="0.01"/>
    <s v="No"/>
    <n v="0"/>
  </r>
  <r>
    <s v="AP-0697"/>
    <s v="VND-011"/>
    <s v="QuickFreight Inc."/>
    <s v="Logistics"/>
    <s v="West"/>
    <s v="Marco Diaz"/>
    <d v="2025-09-20T00:00:00"/>
    <d v="2025-11-19T00:00:00"/>
    <n v="60"/>
    <n v="2388.06"/>
    <n v="2388.06"/>
    <n v="0"/>
    <d v="2025-11-19T00:00:00"/>
    <s v="Paid"/>
    <s v="Credit Card"/>
    <n v="60"/>
    <n v="0"/>
    <x v="0"/>
    <s v="Yes"/>
    <n v="0.01"/>
    <s v="No"/>
    <n v="0"/>
  </r>
  <r>
    <s v="AP-0698"/>
    <s v="VND-008"/>
    <s v="GreenEnergy Corp."/>
    <s v="Utilities"/>
    <s v="West"/>
    <s v="Laura Chen"/>
    <d v="2025-09-17T00:00:00"/>
    <d v="2025-10-02T00:00:00"/>
    <n v="15"/>
    <n v="7815.86"/>
    <n v="0"/>
    <n v="7815.86"/>
    <m/>
    <s v="Overdue"/>
    <s v="ACH"/>
    <m/>
    <n v="-241"/>
    <x v="1"/>
    <s v="Yes"/>
    <n v="0.02"/>
    <s v="No"/>
    <n v="0"/>
  </r>
  <r>
    <s v="AP-0699"/>
    <s v="VND-022"/>
    <s v="Apex Consulting"/>
    <s v="Services"/>
    <s v="East"/>
    <s v="Marco Diaz"/>
    <d v="2025-09-24T00:00:00"/>
    <d v="2025-10-24T00:00:00"/>
    <n v="30"/>
    <n v="9285.06"/>
    <n v="9285.06"/>
    <n v="0"/>
    <d v="2025-10-21T00:00:00"/>
    <s v="Paid"/>
    <s v="ACH"/>
    <n v="27"/>
    <n v="3"/>
    <x v="0"/>
    <s v="Yes"/>
    <n v="0.01"/>
    <s v="No"/>
    <n v="0"/>
  </r>
  <r>
    <s v="AP-0700"/>
    <s v="VND-023"/>
    <s v="CoolTech Systems"/>
    <s v="IT"/>
    <s v="Central"/>
    <s v="Pedro Alvarez"/>
    <d v="2025-04-30T00:00:00"/>
    <d v="2025-06-14T00:00:00"/>
    <n v="45"/>
    <n v="28495.22"/>
    <n v="28495.22"/>
    <n v="0"/>
    <d v="2025-06-14T00:00:00"/>
    <s v="Paid"/>
    <s v="Wire"/>
    <n v="45"/>
    <n v="0"/>
    <x v="0"/>
    <s v="No"/>
    <n v="0"/>
    <s v="No"/>
    <n v="0"/>
  </r>
  <r>
    <s v="AP-0701"/>
    <s v="VND-009"/>
    <s v="MetalWorks Ltd."/>
    <s v="Materials"/>
    <s v="East"/>
    <s v="Pedro Alvarez"/>
    <d v="2025-09-28T00:00:00"/>
    <d v="2025-11-12T00:00:00"/>
    <n v="45"/>
    <n v="26814.69"/>
    <n v="26814.69"/>
    <n v="0"/>
    <d v="2025-11-12T00:00:00"/>
    <s v="Paid"/>
    <s v="Check"/>
    <n v="45"/>
    <n v="0"/>
    <x v="0"/>
    <s v="Yes"/>
    <n v="1.4999999999999999E-2"/>
    <s v="No"/>
    <n v="0"/>
  </r>
  <r>
    <s v="AP-0702"/>
    <s v="VND-005"/>
    <s v="CloudSys Inc."/>
    <s v="IT"/>
    <s v="Central"/>
    <s v="Pedro Alvarez"/>
    <d v="2025-06-02T00:00:00"/>
    <d v="2025-07-02T00:00:00"/>
    <n v="30"/>
    <n v="9092.5400000000009"/>
    <n v="9092.5400000000009"/>
    <n v="0"/>
    <d v="2025-06-23T00:00:00"/>
    <s v="Paid"/>
    <s v="ACH"/>
    <n v="21"/>
    <n v="9"/>
    <x v="0"/>
    <s v="Yes"/>
    <n v="0.01"/>
    <s v="No"/>
    <n v="0"/>
  </r>
  <r>
    <s v="AP-0703"/>
    <s v="VND-006"/>
    <s v="PowerGrid Utilities"/>
    <s v="Utilities"/>
    <s v="West"/>
    <s v="Pedro Alvarez"/>
    <d v="2025-02-11T00:00:00"/>
    <d v="2025-05-12T00:00:00"/>
    <n v="90"/>
    <n v="6902.04"/>
    <n v="6902.04"/>
    <n v="0"/>
    <d v="2025-05-09T00:00:00"/>
    <s v="Paid"/>
    <s v="ACH"/>
    <n v="87"/>
    <n v="3"/>
    <x v="0"/>
    <s v="No"/>
    <n v="0"/>
    <s v="No"/>
    <n v="0"/>
  </r>
  <r>
    <s v="AP-0704"/>
    <s v="VND-024"/>
    <s v="EliteFacilities Corp."/>
    <s v="Facilities"/>
    <s v="South"/>
    <s v="Sofia Reyes"/>
    <d v="2025-07-28T00:00:00"/>
    <d v="2025-08-27T00:00:00"/>
    <n v="30"/>
    <n v="30649.71"/>
    <n v="30649.71"/>
    <n v="0"/>
    <d v="2025-08-28T00:00:00"/>
    <s v="Paid"/>
    <s v="Check"/>
    <n v="31"/>
    <n v="-1"/>
    <x v="1"/>
    <s v="Yes"/>
    <n v="0.01"/>
    <s v="No"/>
    <n v="0"/>
  </r>
  <r>
    <s v="AP-0705"/>
    <s v="VND-017"/>
    <s v="OfficePro Services"/>
    <s v="Services"/>
    <s v="East"/>
    <s v="Ana Torres"/>
    <d v="2025-07-04T00:00:00"/>
    <d v="2025-07-19T00:00:00"/>
    <n v="15"/>
    <n v="18407.5"/>
    <n v="18407.5"/>
    <n v="0"/>
    <d v="2025-07-12T00:00:00"/>
    <s v="Paid"/>
    <s v="Wire"/>
    <n v="8"/>
    <n v="7"/>
    <x v="0"/>
    <s v="Yes"/>
    <n v="0.02"/>
    <s v="No"/>
    <n v="0"/>
  </r>
  <r>
    <s v="AP-0706"/>
    <s v="VND-001"/>
    <s v="Acme Supplies Co."/>
    <s v="Materials"/>
    <s v="East"/>
    <s v="Sofia Reyes"/>
    <d v="2025-04-19T00:00:00"/>
    <d v="2025-06-18T00:00:00"/>
    <n v="60"/>
    <n v="42174.91"/>
    <n v="42174.91"/>
    <n v="0"/>
    <d v="2025-06-04T00:00:00"/>
    <s v="Paid"/>
    <s v="Credit Card"/>
    <n v="46"/>
    <n v="14"/>
    <x v="0"/>
    <s v="Yes"/>
    <n v="0.01"/>
    <s v="No"/>
    <n v="0"/>
  </r>
  <r>
    <s v="AP-0707"/>
    <s v="VND-023"/>
    <s v="CoolTech Systems"/>
    <s v="IT"/>
    <s v="West"/>
    <s v="Pedro Alvarez"/>
    <d v="2025-12-04T00:00:00"/>
    <d v="2025-12-19T00:00:00"/>
    <n v="15"/>
    <n v="77732.789999999994"/>
    <n v="0"/>
    <n v="77732.789999999994"/>
    <m/>
    <s v="Overdue"/>
    <s v="Check"/>
    <m/>
    <n v="-163"/>
    <x v="1"/>
    <s v="Yes"/>
    <n v="0.02"/>
    <s v="No"/>
    <n v="0"/>
  </r>
  <r>
    <s v="AP-0708"/>
    <s v="VND-011"/>
    <s v="QuickFreight Inc."/>
    <s v="Logistics"/>
    <s v="Central"/>
    <s v="Marco Diaz"/>
    <d v="2025-10-17T00:00:00"/>
    <d v="2025-11-01T00:00:00"/>
    <n v="15"/>
    <n v="7140.25"/>
    <n v="7140.25"/>
    <n v="0"/>
    <d v="2025-11-08T00:00:00"/>
    <s v="Paid"/>
    <s v="Wire"/>
    <n v="22"/>
    <n v="-7"/>
    <x v="1"/>
    <s v="Yes"/>
    <n v="0.02"/>
    <s v="No"/>
    <n v="0"/>
  </r>
  <r>
    <s v="AP-0709"/>
    <s v="VND-013"/>
    <s v="SafetyFirst Supplies"/>
    <s v="Materials"/>
    <s v="East"/>
    <s v="Marco Diaz"/>
    <d v="2025-04-02T00:00:00"/>
    <d v="2025-06-01T00:00:00"/>
    <n v="60"/>
    <n v="2984.58"/>
    <n v="2984.58"/>
    <n v="0"/>
    <d v="2025-05-30T00:00:00"/>
    <s v="Paid"/>
    <s v="Wire"/>
    <n v="58"/>
    <n v="2"/>
    <x v="0"/>
    <s v="Yes"/>
    <n v="0.01"/>
    <s v="No"/>
    <n v="0"/>
  </r>
  <r>
    <s v="AP-0710"/>
    <s v="VND-013"/>
    <s v="SafetyFirst Supplies"/>
    <s v="Materials"/>
    <s v="East"/>
    <s v="Marco Diaz"/>
    <d v="2026-05-18T00:00:00"/>
    <d v="2026-07-02T00:00:00"/>
    <n v="45"/>
    <n v="40452.82"/>
    <n v="0"/>
    <n v="40452.82"/>
    <m/>
    <s v="Overdue"/>
    <s v="ACH"/>
    <m/>
    <n v="32"/>
    <x v="1"/>
    <s v="No"/>
    <n v="0"/>
    <s v="No"/>
    <n v="0"/>
  </r>
  <r>
    <s v="AP-0711"/>
    <s v="VND-020"/>
    <s v="TrustBuild Facilities"/>
    <s v="Facilities"/>
    <s v="South"/>
    <s v="Laura Chen"/>
    <d v="2025-07-24T00:00:00"/>
    <d v="2025-09-22T00:00:00"/>
    <n v="60"/>
    <n v="18157.560000000001"/>
    <n v="18157.560000000001"/>
    <n v="0"/>
    <d v="2025-09-15T00:00:00"/>
    <s v="Paid"/>
    <s v="ACH"/>
    <n v="53"/>
    <n v="7"/>
    <x v="0"/>
    <s v="No"/>
    <n v="0"/>
    <s v="No"/>
    <n v="0"/>
  </r>
  <r>
    <s v="AP-0712"/>
    <s v="VND-025"/>
    <s v="RapidShip Co."/>
    <s v="Logistics"/>
    <s v="West"/>
    <s v="Laura Chen"/>
    <d v="2026-03-13T00:00:00"/>
    <d v="2026-05-12T00:00:00"/>
    <n v="60"/>
    <n v="2766"/>
    <n v="0"/>
    <n v="2766"/>
    <m/>
    <s v="Overdue"/>
    <s v="Wire"/>
    <m/>
    <n v="-19"/>
    <x v="1"/>
    <s v="Yes"/>
    <n v="0.01"/>
    <s v="No"/>
    <n v="0"/>
  </r>
  <r>
    <s v="AP-0713"/>
    <s v="VND-021"/>
    <s v="PrimePack Logistics"/>
    <s v="Logistics"/>
    <s v="South"/>
    <s v="Pedro Alvarez"/>
    <d v="2026-04-25T00:00:00"/>
    <d v="2026-06-09T00:00:00"/>
    <n v="45"/>
    <n v="9309.75"/>
    <n v="0"/>
    <n v="9309.75"/>
    <m/>
    <s v="Pending"/>
    <s v="ACH"/>
    <m/>
    <m/>
    <x v="2"/>
    <s v="No"/>
    <n v="0"/>
    <s v="No"/>
    <n v="0"/>
  </r>
  <r>
    <s v="AP-0714"/>
    <s v="VND-005"/>
    <s v="CloudSys Inc."/>
    <s v="IT"/>
    <s v="East"/>
    <s v="Marco Diaz"/>
    <d v="2025-02-18T00:00:00"/>
    <d v="2025-04-04T00:00:00"/>
    <n v="45"/>
    <n v="46324.57"/>
    <n v="46324.57"/>
    <n v="0"/>
    <d v="2025-04-01T00:00:00"/>
    <s v="Paid"/>
    <s v="Credit Card"/>
    <n v="42"/>
    <n v="3"/>
    <x v="0"/>
    <s v="No"/>
    <n v="0"/>
    <s v="No"/>
    <n v="0"/>
  </r>
  <r>
    <s v="AP-0715"/>
    <s v="VND-017"/>
    <s v="OfficePro Services"/>
    <s v="Services"/>
    <s v="West"/>
    <s v="Pedro Alvarez"/>
    <d v="2025-09-17T00:00:00"/>
    <d v="2025-12-16T00:00:00"/>
    <n v="90"/>
    <n v="16151.93"/>
    <n v="16151.93"/>
    <n v="0"/>
    <d v="2025-12-29T00:00:00"/>
    <s v="Paid"/>
    <s v="ACH"/>
    <n v="103"/>
    <n v="-13"/>
    <x v="1"/>
    <s v="Yes"/>
    <n v="5.0000000000000001E-3"/>
    <s v="No"/>
    <n v="0"/>
  </r>
  <r>
    <s v="AP-0716"/>
    <s v="VND-015"/>
    <s v="ExpressRoute Logistics"/>
    <s v="Logistics"/>
    <s v="South"/>
    <s v="Marco Diaz"/>
    <d v="2025-03-27T00:00:00"/>
    <d v="2025-04-11T00:00:00"/>
    <n v="15"/>
    <n v="8908.7800000000007"/>
    <n v="8908.7800000000007"/>
    <n v="0"/>
    <d v="2025-04-12T00:00:00"/>
    <s v="Paid"/>
    <s v="Credit Card"/>
    <n v="16"/>
    <n v="-1"/>
    <x v="1"/>
    <s v="No"/>
    <n v="0"/>
    <s v="No"/>
    <n v="0"/>
  </r>
  <r>
    <s v="AP-0717"/>
    <s v="VND-024"/>
    <s v="EliteFacilities Corp."/>
    <s v="Facilities"/>
    <s v="West"/>
    <s v="Pedro Alvarez"/>
    <d v="2025-07-11T00:00:00"/>
    <d v="2025-09-09T00:00:00"/>
    <n v="60"/>
    <n v="8965.26"/>
    <n v="0"/>
    <n v="8965.26"/>
    <m/>
    <s v="Overdue"/>
    <s v="Check"/>
    <m/>
    <n v="-264"/>
    <x v="1"/>
    <s v="Yes"/>
    <n v="0.01"/>
    <s v="No"/>
    <n v="0"/>
  </r>
  <r>
    <s v="AP-0718"/>
    <s v="VND-009"/>
    <s v="MetalWorks Ltd."/>
    <s v="Materials"/>
    <s v="North"/>
    <s v="Pedro Alvarez"/>
    <d v="2026-02-09T00:00:00"/>
    <d v="2026-02-24T00:00:00"/>
    <n v="15"/>
    <n v="7600.56"/>
    <n v="7600.56"/>
    <n v="0"/>
    <d v="2026-02-19T00:00:00"/>
    <s v="Paid"/>
    <s v="ACH"/>
    <n v="10"/>
    <n v="5"/>
    <x v="0"/>
    <s v="Yes"/>
    <n v="0.02"/>
    <s v="No"/>
    <n v="0"/>
  </r>
  <r>
    <s v="AP-0719"/>
    <s v="VND-024"/>
    <s v="EliteFacilities Corp."/>
    <s v="Facilities"/>
    <s v="Central"/>
    <s v="Pedro Alvarez"/>
    <d v="2026-02-09T00:00:00"/>
    <d v="2026-04-10T00:00:00"/>
    <n v="60"/>
    <n v="28553.14"/>
    <n v="0"/>
    <n v="28553.14"/>
    <m/>
    <s v="Pending"/>
    <s v="Check"/>
    <m/>
    <m/>
    <x v="2"/>
    <s v="Yes"/>
    <n v="0.01"/>
    <s v="No"/>
    <n v="0"/>
  </r>
  <r>
    <s v="AP-0720"/>
    <s v="VND-001"/>
    <s v="Acme Supplies Co."/>
    <s v="Materials"/>
    <s v="South"/>
    <s v="Sofia Reyes"/>
    <d v="2025-05-29T00:00:00"/>
    <d v="2025-08-27T00:00:00"/>
    <n v="90"/>
    <n v="33187.51"/>
    <n v="33187.51"/>
    <n v="0"/>
    <d v="2025-08-12T00:00:00"/>
    <s v="Paid"/>
    <s v="Wire"/>
    <n v="75"/>
    <n v="15"/>
    <x v="0"/>
    <s v="Yes"/>
    <n v="5.0000000000000001E-3"/>
    <s v="No"/>
    <n v="0"/>
  </r>
  <r>
    <s v="AP-0721"/>
    <s v="VND-018"/>
    <s v="BuildFast Materials"/>
    <s v="Materials"/>
    <s v="South"/>
    <s v="Sofia Reyes"/>
    <d v="2025-06-01T00:00:00"/>
    <d v="2025-08-30T00:00:00"/>
    <n v="90"/>
    <n v="24751.48"/>
    <n v="24751.48"/>
    <n v="0"/>
    <d v="2025-09-06T00:00:00"/>
    <s v="Paid"/>
    <s v="Check"/>
    <n v="97"/>
    <n v="-7"/>
    <x v="1"/>
    <s v="Yes"/>
    <n v="5.0000000000000001E-3"/>
    <s v="No"/>
    <n v="0"/>
  </r>
  <r>
    <s v="AP-0722"/>
    <s v="VND-016"/>
    <s v="CleanWater Utilities"/>
    <s v="Utilities"/>
    <s v="West"/>
    <s v="Sofia Reyes"/>
    <d v="2025-07-26T00:00:00"/>
    <d v="2025-08-25T00:00:00"/>
    <n v="30"/>
    <n v="4775.0600000000004"/>
    <n v="4775.0600000000004"/>
    <n v="0"/>
    <d v="2025-09-04T00:00:00"/>
    <s v="Paid"/>
    <s v="Credit Card"/>
    <n v="40"/>
    <n v="-10"/>
    <x v="1"/>
    <s v="No"/>
    <n v="0"/>
    <s v="No"/>
    <n v="0"/>
  </r>
  <r>
    <s v="AP-0723"/>
    <s v="VND-011"/>
    <s v="QuickFreight Inc."/>
    <s v="Logistics"/>
    <s v="North"/>
    <s v="Sofia Reyes"/>
    <d v="2026-05-23T00:00:00"/>
    <d v="2026-07-22T00:00:00"/>
    <n v="60"/>
    <n v="15004.49"/>
    <n v="0"/>
    <n v="15004.49"/>
    <m/>
    <s v="Pending"/>
    <s v="Credit Card"/>
    <m/>
    <m/>
    <x v="2"/>
    <s v="Yes"/>
    <n v="0.01"/>
    <s v="No"/>
    <n v="0"/>
  </r>
  <r>
    <s v="AP-0724"/>
    <s v="VND-016"/>
    <s v="CleanWater Utilities"/>
    <s v="Utilities"/>
    <s v="West"/>
    <s v="Pedro Alvarez"/>
    <d v="2025-03-04T00:00:00"/>
    <d v="2025-04-03T00:00:00"/>
    <n v="30"/>
    <n v="8160.48"/>
    <n v="8160.48"/>
    <n v="0"/>
    <d v="2025-04-18T00:00:00"/>
    <s v="Paid"/>
    <s v="Credit Card"/>
    <n v="45"/>
    <n v="-15"/>
    <x v="1"/>
    <s v="Yes"/>
    <n v="0.01"/>
    <s v="No"/>
    <n v="0"/>
  </r>
  <r>
    <s v="AP-0725"/>
    <s v="VND-014"/>
    <s v="NetConnect Systems"/>
    <s v="IT"/>
    <s v="West"/>
    <s v="Sofia Reyes"/>
    <d v="2026-04-05T00:00:00"/>
    <d v="2026-06-04T00:00:00"/>
    <n v="60"/>
    <n v="57313.58"/>
    <n v="0"/>
    <n v="57313.58"/>
    <m/>
    <s v="Pending"/>
    <s v="Credit Card"/>
    <m/>
    <m/>
    <x v="2"/>
    <s v="Yes"/>
    <n v="0.01"/>
    <s v="No"/>
    <n v="0"/>
  </r>
  <r>
    <s v="AP-0726"/>
    <s v="VND-012"/>
    <s v="FacilityPro Services"/>
    <s v="Facilities"/>
    <s v="West"/>
    <s v="Marco Diaz"/>
    <d v="2026-04-25T00:00:00"/>
    <d v="2026-06-24T00:00:00"/>
    <n v="60"/>
    <n v="6328.23"/>
    <n v="6328.23"/>
    <n v="0"/>
    <d v="2026-05-31T00:00:00"/>
    <s v="Paid"/>
    <s v="Wire"/>
    <n v="36"/>
    <n v="24"/>
    <x v="0"/>
    <s v="Yes"/>
    <n v="0.01"/>
    <s v="No"/>
    <n v="0"/>
  </r>
  <r>
    <s v="AP-0727"/>
    <s v="VND-022"/>
    <s v="Apex Consulting"/>
    <s v="Services"/>
    <s v="East"/>
    <s v="Pedro Alvarez"/>
    <d v="2025-10-17T00:00:00"/>
    <d v="2025-11-16T00:00:00"/>
    <n v="30"/>
    <n v="28555.81"/>
    <n v="28555.81"/>
    <n v="0"/>
    <d v="2025-11-18T00:00:00"/>
    <s v="Paid"/>
    <s v="Wire"/>
    <n v="32"/>
    <n v="-2"/>
    <x v="1"/>
    <s v="Yes"/>
    <n v="0.01"/>
    <s v="No"/>
    <n v="0"/>
  </r>
  <r>
    <s v="AP-0728"/>
    <s v="VND-016"/>
    <s v="CleanWater Utilities"/>
    <s v="Utilities"/>
    <s v="North"/>
    <s v="Pedro Alvarez"/>
    <d v="2025-08-29T00:00:00"/>
    <d v="2025-10-13T00:00:00"/>
    <n v="45"/>
    <n v="3536.78"/>
    <n v="3536.78"/>
    <n v="0"/>
    <d v="2025-10-17T00:00:00"/>
    <s v="Paid"/>
    <s v="Credit Card"/>
    <n v="49"/>
    <n v="-4"/>
    <x v="1"/>
    <s v="Yes"/>
    <n v="1.4999999999999999E-2"/>
    <s v="No"/>
    <n v="0"/>
  </r>
  <r>
    <s v="AP-0729"/>
    <s v="VND-009"/>
    <s v="MetalWorks Ltd."/>
    <s v="Materials"/>
    <s v="East"/>
    <s v="Marco Diaz"/>
    <d v="2025-03-07T00:00:00"/>
    <d v="2025-03-22T00:00:00"/>
    <n v="15"/>
    <n v="18211.27"/>
    <n v="18211.27"/>
    <n v="0"/>
    <d v="2025-03-14T00:00:00"/>
    <s v="Paid"/>
    <s v="Wire"/>
    <n v="7"/>
    <n v="8"/>
    <x v="0"/>
    <s v="Yes"/>
    <n v="0.02"/>
    <s v="No"/>
    <n v="0"/>
  </r>
  <r>
    <s v="AP-0730"/>
    <s v="VND-011"/>
    <s v="QuickFreight Inc."/>
    <s v="Logistics"/>
    <s v="East"/>
    <s v="Sofia Reyes"/>
    <d v="2025-04-17T00:00:00"/>
    <d v="2025-05-17T00:00:00"/>
    <n v="30"/>
    <n v="14421.69"/>
    <n v="14421.69"/>
    <n v="0"/>
    <d v="2025-05-14T00:00:00"/>
    <s v="Paid"/>
    <s v="Check"/>
    <n v="27"/>
    <n v="3"/>
    <x v="0"/>
    <s v="No"/>
    <n v="0"/>
    <s v="No"/>
    <n v="0"/>
  </r>
  <r>
    <s v="AP-0731"/>
    <s v="VND-015"/>
    <s v="ExpressRoute Logistics"/>
    <s v="Logistics"/>
    <s v="North"/>
    <s v="Sofia Reyes"/>
    <d v="2025-04-18T00:00:00"/>
    <d v="2025-05-03T00:00:00"/>
    <n v="15"/>
    <n v="4173.88"/>
    <n v="4173.88"/>
    <n v="0"/>
    <d v="2025-04-25T00:00:00"/>
    <s v="Paid"/>
    <s v="ACH"/>
    <n v="7"/>
    <n v="8"/>
    <x v="0"/>
    <s v="Yes"/>
    <n v="0.02"/>
    <s v="No"/>
    <n v="0"/>
  </r>
  <r>
    <s v="AP-0732"/>
    <s v="VND-023"/>
    <s v="CoolTech Systems"/>
    <s v="IT"/>
    <s v="West"/>
    <s v="Ana Torres"/>
    <d v="2025-06-07T00:00:00"/>
    <d v="2025-07-07T00:00:00"/>
    <n v="30"/>
    <n v="53531.97"/>
    <n v="53531.97"/>
    <n v="0"/>
    <d v="2025-07-16T00:00:00"/>
    <s v="Paid"/>
    <s v="Credit Card"/>
    <n v="39"/>
    <n v="-9"/>
    <x v="1"/>
    <s v="Yes"/>
    <n v="0.01"/>
    <s v="No"/>
    <n v="0"/>
  </r>
  <r>
    <s v="AP-0733"/>
    <s v="VND-007"/>
    <s v="ProStaff Services"/>
    <s v="Services"/>
    <s v="West"/>
    <s v="Pedro Alvarez"/>
    <d v="2026-05-01T00:00:00"/>
    <d v="2026-05-31T00:00:00"/>
    <n v="30"/>
    <n v="15628.84"/>
    <n v="0"/>
    <n v="15628.84"/>
    <m/>
    <s v="Pending"/>
    <s v="ACH"/>
    <m/>
    <m/>
    <x v="2"/>
    <s v="Yes"/>
    <n v="0.01"/>
    <s v="No"/>
    <n v="0"/>
  </r>
  <r>
    <s v="AP-0734"/>
    <s v="VND-025"/>
    <s v="RapidShip Co."/>
    <s v="Logistics"/>
    <s v="West"/>
    <s v="Laura Chen"/>
    <d v="2026-03-08T00:00:00"/>
    <d v="2026-04-07T00:00:00"/>
    <n v="30"/>
    <n v="15957.1"/>
    <n v="15957.1"/>
    <n v="0"/>
    <d v="2026-04-22T00:00:00"/>
    <s v="Paid"/>
    <s v="Wire"/>
    <n v="45"/>
    <n v="-15"/>
    <x v="1"/>
    <s v="Yes"/>
    <n v="0.01"/>
    <s v="No"/>
    <n v="0"/>
  </r>
  <r>
    <s v="AP-0735"/>
    <s v="VND-017"/>
    <s v="OfficePro Services"/>
    <s v="Services"/>
    <s v="East"/>
    <s v="Sofia Reyes"/>
    <d v="2025-01-11T00:00:00"/>
    <d v="2025-02-10T00:00:00"/>
    <n v="30"/>
    <n v="29552.15"/>
    <n v="29552.15"/>
    <n v="0"/>
    <d v="2025-01-30T00:00:00"/>
    <s v="Paid"/>
    <s v="Credit Card"/>
    <n v="19"/>
    <n v="11"/>
    <x v="0"/>
    <s v="Yes"/>
    <n v="0.01"/>
    <s v="No"/>
    <n v="0"/>
  </r>
  <r>
    <s v="AP-0736"/>
    <s v="VND-011"/>
    <s v="QuickFreight Inc."/>
    <s v="Logistics"/>
    <s v="East"/>
    <s v="Pedro Alvarez"/>
    <d v="2025-03-04T00:00:00"/>
    <d v="2025-05-03T00:00:00"/>
    <n v="60"/>
    <n v="8472.06"/>
    <n v="0"/>
    <n v="8472.06"/>
    <m/>
    <s v="Overdue"/>
    <s v="Wire"/>
    <m/>
    <n v="-393"/>
    <x v="1"/>
    <s v="Yes"/>
    <n v="0.01"/>
    <s v="No"/>
    <n v="0"/>
  </r>
  <r>
    <s v="AP-0737"/>
    <s v="VND-005"/>
    <s v="CloudSys Inc."/>
    <s v="IT"/>
    <s v="Central"/>
    <s v="Sofia Reyes"/>
    <d v="2026-02-16T00:00:00"/>
    <d v="2026-04-17T00:00:00"/>
    <n v="60"/>
    <n v="71433.710000000006"/>
    <n v="32634.32"/>
    <n v="38799.39"/>
    <d v="2026-04-23T00:00:00"/>
    <s v="Partial"/>
    <s v="Check"/>
    <n v="66"/>
    <n v="-6"/>
    <x v="1"/>
    <s v="No"/>
    <n v="0"/>
    <s v="No"/>
    <n v="0"/>
  </r>
  <r>
    <s v="AP-0738"/>
    <s v="VND-001"/>
    <s v="Acme Supplies Co."/>
    <s v="Materials"/>
    <s v="East"/>
    <s v="Ana Torres"/>
    <d v="2026-04-02T00:00:00"/>
    <d v="2026-06-01T00:00:00"/>
    <n v="60"/>
    <n v="32906.21"/>
    <n v="32906.21"/>
    <n v="0"/>
    <d v="2026-05-26T00:00:00"/>
    <s v="Paid"/>
    <s v="Wire"/>
    <n v="54"/>
    <n v="6"/>
    <x v="0"/>
    <s v="No"/>
    <n v="0"/>
    <s v="No"/>
    <n v="0"/>
  </r>
  <r>
    <s v="AP-0739"/>
    <s v="VND-021"/>
    <s v="PrimePack Logistics"/>
    <s v="Logistics"/>
    <s v="West"/>
    <s v="Marco Diaz"/>
    <d v="2025-02-07T00:00:00"/>
    <d v="2025-03-09T00:00:00"/>
    <n v="30"/>
    <n v="11211.24"/>
    <n v="11211.24"/>
    <n v="0"/>
    <d v="2025-03-11T00:00:00"/>
    <s v="Paid"/>
    <s v="Check"/>
    <n v="32"/>
    <n v="-2"/>
    <x v="1"/>
    <s v="Yes"/>
    <n v="0.01"/>
    <s v="No"/>
    <n v="0"/>
  </r>
  <r>
    <s v="AP-0740"/>
    <s v="VND-005"/>
    <s v="CloudSys Inc."/>
    <s v="IT"/>
    <s v="Central"/>
    <s v="Ana Torres"/>
    <d v="2025-04-06T00:00:00"/>
    <d v="2025-05-06T00:00:00"/>
    <n v="30"/>
    <n v="43375.37"/>
    <n v="43375.37"/>
    <n v="0"/>
    <d v="2025-05-05T00:00:00"/>
    <s v="Paid"/>
    <s v="Check"/>
    <n v="29"/>
    <n v="1"/>
    <x v="0"/>
    <s v="Yes"/>
    <n v="0.01"/>
    <s v="No"/>
    <n v="0"/>
  </r>
  <r>
    <s v="AP-0741"/>
    <s v="VND-018"/>
    <s v="BuildFast Materials"/>
    <s v="Materials"/>
    <s v="Central"/>
    <s v="Laura Chen"/>
    <d v="2026-03-09T00:00:00"/>
    <d v="2026-04-23T00:00:00"/>
    <n v="45"/>
    <n v="49373.83"/>
    <n v="0"/>
    <n v="49373.83"/>
    <m/>
    <s v="Pending"/>
    <s v="Wire"/>
    <m/>
    <m/>
    <x v="2"/>
    <s v="Yes"/>
    <n v="1.4999999999999999E-2"/>
    <s v="No"/>
    <n v="0"/>
  </r>
  <r>
    <s v="AP-0742"/>
    <s v="VND-021"/>
    <s v="PrimePack Logistics"/>
    <s v="Logistics"/>
    <s v="Central"/>
    <s v="Laura Chen"/>
    <d v="2025-05-08T00:00:00"/>
    <d v="2025-05-23T00:00:00"/>
    <n v="15"/>
    <n v="9526"/>
    <n v="9526"/>
    <n v="0"/>
    <d v="2025-05-22T00:00:00"/>
    <s v="Paid"/>
    <s v="ACH"/>
    <n v="14"/>
    <n v="1"/>
    <x v="0"/>
    <s v="Yes"/>
    <n v="0.02"/>
    <s v="No"/>
    <n v="0"/>
  </r>
  <r>
    <s v="AP-0743"/>
    <s v="VND-011"/>
    <s v="QuickFreight Inc."/>
    <s v="Logistics"/>
    <s v="South"/>
    <s v="Ana Torres"/>
    <d v="2025-11-03T00:00:00"/>
    <d v="2026-01-02T00:00:00"/>
    <n v="60"/>
    <n v="6406.17"/>
    <n v="6406.17"/>
    <n v="0"/>
    <d v="2025-12-28T00:00:00"/>
    <s v="Paid"/>
    <s v="Wire"/>
    <n v="55"/>
    <n v="5"/>
    <x v="0"/>
    <s v="No"/>
    <n v="0"/>
    <s v="No"/>
    <n v="0"/>
  </r>
  <r>
    <s v="AP-0744"/>
    <s v="VND-017"/>
    <s v="OfficePro Services"/>
    <s v="Services"/>
    <s v="South"/>
    <s v="Sofia Reyes"/>
    <d v="2026-01-05T00:00:00"/>
    <d v="2026-02-04T00:00:00"/>
    <n v="30"/>
    <n v="19809.45"/>
    <n v="19809.45"/>
    <n v="0"/>
    <d v="2026-01-24T00:00:00"/>
    <s v="Paid"/>
    <s v="Check"/>
    <n v="19"/>
    <n v="11"/>
    <x v="0"/>
    <s v="Yes"/>
    <n v="0.01"/>
    <s v="No"/>
    <n v="0"/>
  </r>
  <r>
    <s v="AP-0745"/>
    <s v="VND-014"/>
    <s v="NetConnect Systems"/>
    <s v="IT"/>
    <s v="North"/>
    <s v="Sofia Reyes"/>
    <d v="2025-05-14T00:00:00"/>
    <d v="2025-07-13T00:00:00"/>
    <n v="60"/>
    <n v="40718.980000000003"/>
    <n v="40718.980000000003"/>
    <n v="0"/>
    <d v="2025-07-03T00:00:00"/>
    <s v="Paid"/>
    <s v="ACH"/>
    <n v="50"/>
    <n v="10"/>
    <x v="0"/>
    <s v="Yes"/>
    <n v="0.01"/>
    <s v="No"/>
    <n v="0"/>
  </r>
  <r>
    <s v="AP-0746"/>
    <s v="VND-017"/>
    <s v="OfficePro Services"/>
    <s v="Services"/>
    <s v="West"/>
    <s v="Laura Chen"/>
    <d v="2026-03-27T00:00:00"/>
    <d v="2026-05-26T00:00:00"/>
    <n v="60"/>
    <n v="28493.66"/>
    <n v="28493.66"/>
    <n v="0"/>
    <d v="2026-05-25T00:00:00"/>
    <s v="Paid"/>
    <s v="Credit Card"/>
    <n v="59"/>
    <n v="1"/>
    <x v="0"/>
    <s v="No"/>
    <n v="0"/>
    <s v="No"/>
    <n v="0"/>
  </r>
  <r>
    <s v="AP-0747"/>
    <s v="VND-006"/>
    <s v="PowerGrid Utilities"/>
    <s v="Utilities"/>
    <s v="South"/>
    <s v="Ana Torres"/>
    <d v="2026-04-14T00:00:00"/>
    <d v="2026-07-13T00:00:00"/>
    <n v="90"/>
    <n v="2376.09"/>
    <n v="0"/>
    <n v="2376.09"/>
    <m/>
    <s v="Pending"/>
    <s v="Wire"/>
    <m/>
    <m/>
    <x v="2"/>
    <s v="No"/>
    <n v="0"/>
    <s v="No"/>
    <n v="0"/>
  </r>
  <r>
    <s v="AP-0748"/>
    <s v="VND-007"/>
    <s v="ProStaff Services"/>
    <s v="Services"/>
    <s v="West"/>
    <s v="Pedro Alvarez"/>
    <d v="2026-01-14T00:00:00"/>
    <d v="2026-02-13T00:00:00"/>
    <n v="30"/>
    <n v="37102.800000000003"/>
    <n v="13177.73"/>
    <n v="23925.07"/>
    <d v="2026-02-19T00:00:00"/>
    <s v="Partial"/>
    <s v="ACH"/>
    <n v="36"/>
    <n v="-6"/>
    <x v="1"/>
    <s v="Yes"/>
    <n v="0.01"/>
    <s v="No"/>
    <n v="0"/>
  </r>
  <r>
    <s v="AP-0749"/>
    <s v="VND-019"/>
    <s v="SkyNet IT Solutions"/>
    <s v="IT"/>
    <s v="East"/>
    <s v="Sofia Reyes"/>
    <d v="2026-01-16T00:00:00"/>
    <d v="2026-02-15T00:00:00"/>
    <n v="30"/>
    <n v="27869.34"/>
    <n v="27869.34"/>
    <n v="0"/>
    <d v="2026-02-19T00:00:00"/>
    <s v="Paid"/>
    <s v="Wire"/>
    <n v="34"/>
    <n v="-4"/>
    <x v="1"/>
    <s v="Yes"/>
    <n v="0.01"/>
    <s v="No"/>
    <n v="0"/>
  </r>
  <r>
    <s v="AP-0750"/>
    <s v="VND-019"/>
    <s v="SkyNet IT Solutions"/>
    <s v="IT"/>
    <s v="West"/>
    <s v="Sofia Reyes"/>
    <d v="2025-08-09T00:00:00"/>
    <d v="2025-09-23T00:00:00"/>
    <n v="45"/>
    <n v="18730.78"/>
    <n v="18730.78"/>
    <n v="0"/>
    <d v="2025-09-23T00:00:00"/>
    <s v="Paid"/>
    <s v="Check"/>
    <n v="45"/>
    <n v="0"/>
    <x v="0"/>
    <s v="No"/>
    <n v="0"/>
    <s v="No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450F8-0FD9-4829-90C5-8DA241851057}" name="PT_OnTime" cacheId="2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L9:M13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nvoice_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7A10E-F9E1-42E0-8BC7-3D53CC3A59AD}" name="PT_Status" cacheId="20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G9:H1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invoice_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CB4EE-3FC0-4794-9056-2593A8340391}" name="PT_Category" cacheId="24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B9:C16" firstHeaderRow="1" firstDataRow="1" firstDataCol="1"/>
  <pivotFields count="22">
    <pivotField showAll="0"/>
    <pivotField showAll="0"/>
    <pivotField showAll="0"/>
    <pivotField axis="axisRow" showAll="0">
      <items count="7">
        <item x="5"/>
        <item x="1"/>
        <item x="0"/>
        <item x="2"/>
        <item x="4"/>
        <item x="3"/>
        <item t="default"/>
      </items>
    </pivotField>
    <pivotField showAll="0">
      <items count="6">
        <item x="3"/>
        <item x="4"/>
        <item x="0"/>
        <item x="1"/>
        <item x="2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outstanding_balance" fld="11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or_category" xr10:uid="{0FFD6095-2DD3-4DF8-B9F8-63F80AC50F30}" sourceName="vendor_category">
  <pivotTables>
    <pivotTable tabId="2" name="PT_Category"/>
  </pivotTables>
  <data>
    <tabular pivotCacheId="1855641434">
      <items count="6">
        <i x="5" s="1"/>
        <i x="1" s="1"/>
        <i x="0" s="1"/>
        <i x="2" s="1"/>
        <i x="4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yment_status" xr10:uid="{0D3597ED-E71E-4D65-B558-CFD8A1E1E4DA}" sourceName="payment_status">
  <pivotTables>
    <pivotTable tabId="2" name="PT_Status"/>
  </pivotTables>
  <data>
    <tabular pivotCacheId="163159998">
      <items count="4">
        <i x="1" s="1"/>
        <i x="0" s="1"/>
        <i x="3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F52DE4E5-FB73-4ED3-8A9C-303438238591}" sourceName="region">
  <pivotTables>
    <pivotTable tabId="2" name="PT_Category"/>
  </pivotTables>
  <data>
    <tabular pivotCacheId="1855641434">
      <items count="5">
        <i x="3" s="1"/>
        <i x="4" s="1"/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Slicer" xr10:uid="{892B8E98-08BA-4822-99A6-100A364966B4}" cache="SegmentaciónDeDatos_vendor_category" caption="CategorySlicer" rowHeight="241300"/>
  <slicer name="StatusSlicer" xr10:uid="{887297D4-5FA1-4818-9FEE-6B1DDEE7742A}" cache="SegmentaciónDeDatos_payment_status" caption="StatusSlicer" rowHeight="241300"/>
  <slicer name="RegionSlicer" xr10:uid="{192D22A9-DE0C-4B9D-A3D4-4D91D2492E9E}" cache="SegmentaciónDeDatos_region" caption="RegionSlicer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AF7325-1BA5-4733-AD72-89FAC3854B2B}" name="PayablesData" displayName="PayablesData" ref="A1:V751" totalsRowShown="0">
  <autoFilter ref="A1:V751" xr:uid="{BDAF7325-1BA5-4733-AD72-89FAC3854B2B}"/>
  <tableColumns count="22">
    <tableColumn id="1" xr3:uid="{01AF9823-0462-4F24-A4BA-63FFB8D655AD}" name="invoice_id"/>
    <tableColumn id="2" xr3:uid="{F6DFA795-B94C-4EBD-8B5C-6E10A2DB51EE}" name="vendor_id"/>
    <tableColumn id="3" xr3:uid="{1C319F03-C716-40D8-AB85-CFCA40016DA1}" name="vendor_name"/>
    <tableColumn id="4" xr3:uid="{A3FD58AA-9A9C-4B6A-8D76-C5A224DF35A4}" name="vendor_category"/>
    <tableColumn id="5" xr3:uid="{BFC78D66-1062-4794-98F5-17FAA698CB2D}" name="region"/>
    <tableColumn id="6" xr3:uid="{39D4B6A3-9E05-43A9-9F67-CD9B1F11A9C8}" name="approver"/>
    <tableColumn id="7" xr3:uid="{488AE34A-4B20-459A-94B2-7189298E2276}" name="invoice_date" dataDxfId="2"/>
    <tableColumn id="8" xr3:uid="{70EC2045-3CAB-4C19-8816-81E8272A94D5}" name="due_date" dataDxfId="1"/>
    <tableColumn id="9" xr3:uid="{903A5722-2226-4A73-9D5F-44DF338B1811}" name="payment_terms"/>
    <tableColumn id="10" xr3:uid="{BB03C2C9-AE57-49AC-AD8A-C0168EF9129E}" name="invoice_amount"/>
    <tableColumn id="11" xr3:uid="{6AA36392-5DE4-425B-ABF2-1802EFE2226D}" name="paid_amount"/>
    <tableColumn id="12" xr3:uid="{89C84B95-8D24-4557-BF2D-262C0B88426F}" name="outstanding_balance"/>
    <tableColumn id="13" xr3:uid="{35C866B8-C010-4313-AE6E-986B22C49409}" name="payment_date" dataDxfId="0"/>
    <tableColumn id="14" xr3:uid="{5027A137-4C19-4EE2-9735-B092F7B82B19}" name="payment_status"/>
    <tableColumn id="15" xr3:uid="{933D2C69-3A9E-435C-8E90-256077EDA8F5}" name="payment_method"/>
    <tableColumn id="16" xr3:uid="{11A7CD61-A621-4D1F-9CDE-6DDA36D99DCD}" name="days_to_pay"/>
    <tableColumn id="17" xr3:uid="{480F7F02-FAA9-4AA7-A76F-1F622C7228F4}" name="days_early_late"/>
    <tableColumn id="18" xr3:uid="{1C236781-927A-4EFB-AD8A-437DD4CEA6A7}" name="is_on_time"/>
    <tableColumn id="19" xr3:uid="{D0FF6D7F-90C0-4AB0-ACF4-7F6A2077DC7C}" name="has_discount_terms"/>
    <tableColumn id="20" xr3:uid="{BD1C7E3A-877F-4824-8B08-A6C094433B67}" name="discount_rate"/>
    <tableColumn id="21" xr3:uid="{6F0C87CC-DF97-4A7E-A69C-67D1B0744346}" name="discount_captured"/>
    <tableColumn id="22" xr3:uid="{D101BC9D-F66B-439A-A0F4-8434264A5572}" name="discount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ECA0-87E9-4695-8BE0-4201A339B93E}">
  <sheetPr>
    <tabColor rgb="FF1F4E79"/>
  </sheetPr>
  <dimension ref="B2:N16"/>
  <sheetViews>
    <sheetView tabSelected="1" workbookViewId="0"/>
  </sheetViews>
  <sheetFormatPr baseColWidth="10" defaultRowHeight="15" x14ac:dyDescent="0.25"/>
  <cols>
    <col min="2" max="2" width="17.5703125" bestFit="1" customWidth="1"/>
    <col min="3" max="3" width="27.85546875" bestFit="1" customWidth="1"/>
    <col min="7" max="7" width="17.5703125" bestFit="1" customWidth="1"/>
    <col min="8" max="8" width="23.5703125" bestFit="1" customWidth="1"/>
    <col min="12" max="12" width="17.5703125" bestFit="1" customWidth="1"/>
    <col min="13" max="13" width="23.5703125" bestFit="1" customWidth="1"/>
  </cols>
  <sheetData>
    <row r="2" spans="2:14" x14ac:dyDescent="0.25">
      <c r="B2" s="2" t="s">
        <v>848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2:14" x14ac:dyDescent="0.25">
      <c r="B4" t="s">
        <v>849</v>
      </c>
      <c r="E4" t="s">
        <v>850</v>
      </c>
      <c r="H4" t="s">
        <v>851</v>
      </c>
      <c r="K4" t="s">
        <v>852</v>
      </c>
    </row>
    <row r="5" spans="2:14" x14ac:dyDescent="0.25">
      <c r="B5" s="3">
        <f>SUM(PayablesData[outstanding_balance])</f>
        <v>3775960.9000000004</v>
      </c>
      <c r="E5" s="4">
        <f>AVERAGEIF(PayablesData[payment_status],"Paid",PayablesData[days_to_pay])</f>
        <v>43.340659340659343</v>
      </c>
      <c r="H5" s="5">
        <f>IFERROR(COUNTIF(PayablesData[is_on_time],"Yes")/(COUNTIF(PayablesData[payment_status],"Paid")+COUNTIF(PayablesData[payment_status],"Partial")),0)</f>
        <v>0.53236245954692551</v>
      </c>
      <c r="K5" s="3">
        <f>SUM(PayablesData[discount_amount])</f>
        <v>4918.68</v>
      </c>
    </row>
    <row r="6" spans="2:14" x14ac:dyDescent="0.25">
      <c r="B6" t="s">
        <v>853</v>
      </c>
      <c r="E6" t="s">
        <v>854</v>
      </c>
      <c r="H6" t="s">
        <v>855</v>
      </c>
      <c r="K6" t="s">
        <v>856</v>
      </c>
    </row>
    <row r="8" spans="2:14" x14ac:dyDescent="0.25">
      <c r="B8" t="s">
        <v>857</v>
      </c>
      <c r="F8" t="s">
        <v>858</v>
      </c>
      <c r="J8" t="s">
        <v>859</v>
      </c>
    </row>
    <row r="9" spans="2:14" x14ac:dyDescent="0.25">
      <c r="B9" s="6" t="s">
        <v>860</v>
      </c>
      <c r="C9" t="s">
        <v>862</v>
      </c>
      <c r="G9" s="6" t="s">
        <v>860</v>
      </c>
      <c r="H9" t="s">
        <v>863</v>
      </c>
      <c r="L9" s="6" t="s">
        <v>860</v>
      </c>
      <c r="M9" t="s">
        <v>863</v>
      </c>
    </row>
    <row r="10" spans="2:14" x14ac:dyDescent="0.25">
      <c r="B10" s="7" t="s">
        <v>73</v>
      </c>
      <c r="C10" s="3">
        <v>401468.76</v>
      </c>
      <c r="G10" s="7" t="s">
        <v>59</v>
      </c>
      <c r="H10" s="8">
        <v>1612775.3599999999</v>
      </c>
      <c r="L10" s="7" t="s">
        <v>31</v>
      </c>
      <c r="M10" s="8">
        <v>8340747.4800000004</v>
      </c>
    </row>
    <row r="11" spans="2:14" x14ac:dyDescent="0.25">
      <c r="B11" s="7" t="s">
        <v>35</v>
      </c>
      <c r="C11" s="3">
        <v>1385889.6199999999</v>
      </c>
      <c r="G11" s="7" t="s">
        <v>28</v>
      </c>
      <c r="H11" s="8">
        <v>12141903.150000012</v>
      </c>
      <c r="L11" s="7" t="s">
        <v>30</v>
      </c>
      <c r="M11" s="8">
        <v>6979934.099999995</v>
      </c>
    </row>
    <row r="12" spans="2:14" x14ac:dyDescent="0.25">
      <c r="B12" s="7" t="s">
        <v>25</v>
      </c>
      <c r="C12" s="3">
        <v>332541.3899999999</v>
      </c>
      <c r="G12" s="7" t="s">
        <v>98</v>
      </c>
      <c r="H12" s="8">
        <v>1566003.0700000008</v>
      </c>
      <c r="L12" s="7" t="s">
        <v>864</v>
      </c>
      <c r="M12" s="8">
        <v>1413157.8</v>
      </c>
    </row>
    <row r="13" spans="2:14" x14ac:dyDescent="0.25">
      <c r="B13" s="7" t="s">
        <v>49</v>
      </c>
      <c r="C13" s="3">
        <v>946114.93999999971</v>
      </c>
      <c r="G13" s="7" t="s">
        <v>93</v>
      </c>
      <c r="H13" s="8">
        <v>1413157.8</v>
      </c>
      <c r="L13" s="7" t="s">
        <v>861</v>
      </c>
      <c r="M13" s="8">
        <v>16733839.379999995</v>
      </c>
    </row>
    <row r="14" spans="2:14" x14ac:dyDescent="0.25">
      <c r="B14" s="7" t="s">
        <v>58</v>
      </c>
      <c r="C14" s="3">
        <v>569906.69000000006</v>
      </c>
      <c r="G14" s="7" t="s">
        <v>861</v>
      </c>
      <c r="H14" s="8">
        <v>16733839.380000012</v>
      </c>
    </row>
    <row r="15" spans="2:14" x14ac:dyDescent="0.25">
      <c r="B15" s="7" t="s">
        <v>54</v>
      </c>
      <c r="C15" s="3">
        <v>140039.5</v>
      </c>
    </row>
    <row r="16" spans="2:14" x14ac:dyDescent="0.25">
      <c r="B16" s="7" t="s">
        <v>861</v>
      </c>
      <c r="C16" s="3">
        <v>3775960.899999999</v>
      </c>
    </row>
  </sheetData>
  <mergeCells count="1">
    <mergeCell ref="B2:N2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CC00-7AB0-4F4F-9FC9-07704C171E6F}">
  <sheetPr>
    <tabColor rgb="FF808080"/>
  </sheetPr>
  <dimension ref="A1:V751"/>
  <sheetViews>
    <sheetView workbookViewId="0"/>
  </sheetViews>
  <sheetFormatPr baseColWidth="10" defaultRowHeight="15" x14ac:dyDescent="0.25"/>
  <cols>
    <col min="1" max="1" width="12.42578125" bestFit="1" customWidth="1"/>
    <col min="2" max="2" width="12.28515625" bestFit="1" customWidth="1"/>
    <col min="3" max="3" width="15.5703125" bestFit="1" customWidth="1"/>
    <col min="4" max="4" width="18.140625" bestFit="1" customWidth="1"/>
    <col min="5" max="5" width="9" bestFit="1" customWidth="1"/>
    <col min="6" max="6" width="11.28515625" bestFit="1" customWidth="1"/>
    <col min="7" max="7" width="14.7109375" bestFit="1" customWidth="1"/>
    <col min="8" max="8" width="11.7109375" bestFit="1" customWidth="1"/>
    <col min="9" max="9" width="17.28515625" bestFit="1" customWidth="1"/>
    <col min="10" max="10" width="17.5703125" bestFit="1" customWidth="1"/>
    <col min="11" max="11" width="15" bestFit="1" customWidth="1"/>
    <col min="12" max="12" width="21.85546875" bestFit="1" customWidth="1"/>
    <col min="13" max="13" width="16.140625" bestFit="1" customWidth="1"/>
    <col min="14" max="14" width="17.42578125" bestFit="1" customWidth="1"/>
    <col min="15" max="15" width="19.28515625" bestFit="1" customWidth="1"/>
    <col min="16" max="16" width="14.28515625" bestFit="1" customWidth="1"/>
    <col min="17" max="17" width="17.140625" bestFit="1" customWidth="1"/>
    <col min="18" max="18" width="13.140625" bestFit="1" customWidth="1"/>
    <col min="19" max="19" width="21.140625" bestFit="1" customWidth="1"/>
    <col min="20" max="20" width="15.42578125" bestFit="1" customWidth="1"/>
    <col min="21" max="21" width="19.85546875" bestFit="1" customWidth="1"/>
    <col min="22" max="22" width="18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s="1">
        <v>45886</v>
      </c>
      <c r="H2" s="1">
        <v>45916</v>
      </c>
      <c r="I2">
        <v>30</v>
      </c>
      <c r="J2">
        <v>3651.22</v>
      </c>
      <c r="K2">
        <v>3651.22</v>
      </c>
      <c r="L2">
        <v>0</v>
      </c>
      <c r="M2" s="1">
        <v>45906</v>
      </c>
      <c r="N2" t="s">
        <v>28</v>
      </c>
      <c r="O2" t="s">
        <v>29</v>
      </c>
      <c r="P2">
        <v>20</v>
      </c>
      <c r="Q2">
        <v>10</v>
      </c>
      <c r="R2" t="s">
        <v>30</v>
      </c>
      <c r="S2" t="s">
        <v>30</v>
      </c>
      <c r="T2">
        <v>0.01</v>
      </c>
      <c r="U2" t="s">
        <v>31</v>
      </c>
      <c r="V2">
        <v>0</v>
      </c>
    </row>
    <row r="3" spans="1:22" x14ac:dyDescent="0.25">
      <c r="A3" t="s">
        <v>32</v>
      </c>
      <c r="B3" t="s">
        <v>33</v>
      </c>
      <c r="C3" t="s">
        <v>34</v>
      </c>
      <c r="D3" t="s">
        <v>35</v>
      </c>
      <c r="E3" t="s">
        <v>26</v>
      </c>
      <c r="F3" t="s">
        <v>27</v>
      </c>
      <c r="G3" s="1">
        <v>45685</v>
      </c>
      <c r="H3" s="1">
        <v>45715</v>
      </c>
      <c r="I3">
        <v>30</v>
      </c>
      <c r="J3">
        <v>47093.38</v>
      </c>
      <c r="K3">
        <v>47093.38</v>
      </c>
      <c r="L3">
        <v>0</v>
      </c>
      <c r="M3" s="1">
        <v>45712</v>
      </c>
      <c r="N3" t="s">
        <v>28</v>
      </c>
      <c r="O3" t="s">
        <v>36</v>
      </c>
      <c r="P3">
        <v>27</v>
      </c>
      <c r="Q3">
        <v>3</v>
      </c>
      <c r="R3" t="s">
        <v>30</v>
      </c>
      <c r="S3" t="s">
        <v>31</v>
      </c>
      <c r="T3">
        <v>0</v>
      </c>
      <c r="U3" t="s">
        <v>31</v>
      </c>
      <c r="V3">
        <v>0</v>
      </c>
    </row>
    <row r="4" spans="1:22" x14ac:dyDescent="0.25">
      <c r="A4" t="s">
        <v>37</v>
      </c>
      <c r="B4" t="s">
        <v>38</v>
      </c>
      <c r="C4" t="s">
        <v>39</v>
      </c>
      <c r="D4" t="s">
        <v>35</v>
      </c>
      <c r="E4" t="s">
        <v>40</v>
      </c>
      <c r="F4" t="s">
        <v>41</v>
      </c>
      <c r="G4" s="1">
        <v>45821</v>
      </c>
      <c r="H4" s="1">
        <v>45836</v>
      </c>
      <c r="I4">
        <v>15</v>
      </c>
      <c r="J4">
        <v>57360.45</v>
      </c>
      <c r="K4">
        <v>57360.45</v>
      </c>
      <c r="L4">
        <v>0</v>
      </c>
      <c r="M4" s="1">
        <v>45842</v>
      </c>
      <c r="N4" t="s">
        <v>28</v>
      </c>
      <c r="O4" t="s">
        <v>29</v>
      </c>
      <c r="P4">
        <v>21</v>
      </c>
      <c r="Q4">
        <v>-6</v>
      </c>
      <c r="R4" t="s">
        <v>31</v>
      </c>
      <c r="S4" t="s">
        <v>30</v>
      </c>
      <c r="T4">
        <v>0.02</v>
      </c>
      <c r="U4" t="s">
        <v>31</v>
      </c>
      <c r="V4">
        <v>0</v>
      </c>
    </row>
    <row r="5" spans="1:22" x14ac:dyDescent="0.25">
      <c r="A5" t="s">
        <v>42</v>
      </c>
      <c r="B5" t="s">
        <v>43</v>
      </c>
      <c r="C5" t="s">
        <v>44</v>
      </c>
      <c r="D5" t="s">
        <v>25</v>
      </c>
      <c r="E5" t="s">
        <v>45</v>
      </c>
      <c r="F5" t="s">
        <v>27</v>
      </c>
      <c r="G5" s="1">
        <v>45928</v>
      </c>
      <c r="H5" s="1">
        <v>45988</v>
      </c>
      <c r="I5">
        <v>60</v>
      </c>
      <c r="J5">
        <v>16335.44</v>
      </c>
      <c r="K5">
        <v>16335.44</v>
      </c>
      <c r="L5">
        <v>0</v>
      </c>
      <c r="M5" s="1">
        <v>45987</v>
      </c>
      <c r="N5" t="s">
        <v>28</v>
      </c>
      <c r="O5" t="s">
        <v>29</v>
      </c>
      <c r="P5">
        <v>59</v>
      </c>
      <c r="Q5">
        <v>1</v>
      </c>
      <c r="R5" t="s">
        <v>30</v>
      </c>
      <c r="S5" t="s">
        <v>31</v>
      </c>
      <c r="T5">
        <v>0</v>
      </c>
      <c r="U5" t="s">
        <v>31</v>
      </c>
      <c r="V5">
        <v>0</v>
      </c>
    </row>
    <row r="6" spans="1:22" x14ac:dyDescent="0.25">
      <c r="A6" t="s">
        <v>46</v>
      </c>
      <c r="B6" t="s">
        <v>47</v>
      </c>
      <c r="C6" t="s">
        <v>48</v>
      </c>
      <c r="D6" t="s">
        <v>49</v>
      </c>
      <c r="E6" t="s">
        <v>26</v>
      </c>
      <c r="F6" t="s">
        <v>50</v>
      </c>
      <c r="G6" s="1">
        <v>45854</v>
      </c>
      <c r="H6" s="1">
        <v>45914</v>
      </c>
      <c r="I6">
        <v>60</v>
      </c>
      <c r="J6">
        <v>35819.449999999997</v>
      </c>
      <c r="K6">
        <v>35819.449999999997</v>
      </c>
      <c r="L6">
        <v>0</v>
      </c>
      <c r="M6" s="1">
        <v>45914</v>
      </c>
      <c r="N6" t="s">
        <v>28</v>
      </c>
      <c r="O6" t="s">
        <v>29</v>
      </c>
      <c r="P6">
        <v>60</v>
      </c>
      <c r="Q6">
        <v>0</v>
      </c>
      <c r="R6" t="s">
        <v>30</v>
      </c>
      <c r="S6" t="s">
        <v>30</v>
      </c>
      <c r="T6">
        <v>0.01</v>
      </c>
      <c r="U6" t="s">
        <v>31</v>
      </c>
      <c r="V6">
        <v>0</v>
      </c>
    </row>
    <row r="7" spans="1:22" x14ac:dyDescent="0.25">
      <c r="A7" t="s">
        <v>51</v>
      </c>
      <c r="B7" t="s">
        <v>52</v>
      </c>
      <c r="C7" t="s">
        <v>53</v>
      </c>
      <c r="D7" t="s">
        <v>54</v>
      </c>
      <c r="E7" t="s">
        <v>26</v>
      </c>
      <c r="F7" t="s">
        <v>41</v>
      </c>
      <c r="G7" s="1">
        <v>46031</v>
      </c>
      <c r="H7" s="1">
        <v>46121</v>
      </c>
      <c r="I7">
        <v>90</v>
      </c>
      <c r="J7">
        <v>2858.48</v>
      </c>
      <c r="K7">
        <v>2858.48</v>
      </c>
      <c r="L7">
        <v>0</v>
      </c>
      <c r="M7" s="1">
        <v>46124</v>
      </c>
      <c r="N7" t="s">
        <v>28</v>
      </c>
      <c r="O7" t="s">
        <v>29</v>
      </c>
      <c r="P7">
        <v>93</v>
      </c>
      <c r="Q7">
        <v>-3</v>
      </c>
      <c r="R7" t="s">
        <v>31</v>
      </c>
      <c r="S7" t="s">
        <v>30</v>
      </c>
      <c r="T7">
        <v>5.0000000000000001E-3</v>
      </c>
      <c r="U7" t="s">
        <v>31</v>
      </c>
      <c r="V7">
        <v>0</v>
      </c>
    </row>
    <row r="8" spans="1:22" x14ac:dyDescent="0.25">
      <c r="A8" t="s">
        <v>55</v>
      </c>
      <c r="B8" t="s">
        <v>56</v>
      </c>
      <c r="C8" t="s">
        <v>57</v>
      </c>
      <c r="D8" t="s">
        <v>58</v>
      </c>
      <c r="E8" t="s">
        <v>26</v>
      </c>
      <c r="F8" t="s">
        <v>50</v>
      </c>
      <c r="G8" s="1">
        <v>45825</v>
      </c>
      <c r="H8" s="1">
        <v>45855</v>
      </c>
      <c r="I8">
        <v>30</v>
      </c>
      <c r="J8">
        <v>20103.63</v>
      </c>
      <c r="K8">
        <v>0</v>
      </c>
      <c r="L8">
        <v>20103.63</v>
      </c>
      <c r="N8" t="s">
        <v>59</v>
      </c>
      <c r="O8" t="s">
        <v>36</v>
      </c>
      <c r="Q8">
        <v>-318</v>
      </c>
      <c r="R8" t="s">
        <v>31</v>
      </c>
      <c r="S8" t="s">
        <v>30</v>
      </c>
      <c r="T8">
        <v>0.01</v>
      </c>
      <c r="U8" t="s">
        <v>31</v>
      </c>
      <c r="V8">
        <v>0</v>
      </c>
    </row>
    <row r="9" spans="1:22" x14ac:dyDescent="0.25">
      <c r="A9" t="s">
        <v>60</v>
      </c>
      <c r="B9" t="s">
        <v>61</v>
      </c>
      <c r="C9" t="s">
        <v>62</v>
      </c>
      <c r="D9" t="s">
        <v>35</v>
      </c>
      <c r="E9" t="s">
        <v>63</v>
      </c>
      <c r="F9" t="s">
        <v>64</v>
      </c>
      <c r="G9" s="1">
        <v>45892</v>
      </c>
      <c r="H9" s="1">
        <v>45907</v>
      </c>
      <c r="I9">
        <v>15</v>
      </c>
      <c r="J9">
        <v>66635.19</v>
      </c>
      <c r="K9">
        <v>66635.19</v>
      </c>
      <c r="L9">
        <v>0</v>
      </c>
      <c r="M9" s="1">
        <v>45923</v>
      </c>
      <c r="N9" t="s">
        <v>28</v>
      </c>
      <c r="O9" t="s">
        <v>29</v>
      </c>
      <c r="P9">
        <v>31</v>
      </c>
      <c r="Q9">
        <v>-16</v>
      </c>
      <c r="R9" t="s">
        <v>31</v>
      </c>
      <c r="S9" t="s">
        <v>31</v>
      </c>
      <c r="T9">
        <v>0</v>
      </c>
      <c r="U9" t="s">
        <v>31</v>
      </c>
      <c r="V9">
        <v>0</v>
      </c>
    </row>
    <row r="10" spans="1:22" x14ac:dyDescent="0.25">
      <c r="A10" t="s">
        <v>65</v>
      </c>
      <c r="B10" t="s">
        <v>66</v>
      </c>
      <c r="C10" t="s">
        <v>67</v>
      </c>
      <c r="D10" t="s">
        <v>35</v>
      </c>
      <c r="E10" t="s">
        <v>68</v>
      </c>
      <c r="F10" t="s">
        <v>64</v>
      </c>
      <c r="G10" s="1">
        <v>46127</v>
      </c>
      <c r="H10" s="1">
        <v>46187</v>
      </c>
      <c r="I10">
        <v>60</v>
      </c>
      <c r="J10">
        <v>15715.37</v>
      </c>
      <c r="K10">
        <v>15715.37</v>
      </c>
      <c r="L10">
        <v>0</v>
      </c>
      <c r="M10" s="1">
        <v>46173</v>
      </c>
      <c r="N10" t="s">
        <v>28</v>
      </c>
      <c r="O10" t="s">
        <v>69</v>
      </c>
      <c r="P10">
        <v>46</v>
      </c>
      <c r="Q10">
        <v>14</v>
      </c>
      <c r="R10" t="s">
        <v>30</v>
      </c>
      <c r="S10" t="s">
        <v>30</v>
      </c>
      <c r="T10">
        <v>0.01</v>
      </c>
      <c r="U10" t="s">
        <v>31</v>
      </c>
      <c r="V10">
        <v>0</v>
      </c>
    </row>
    <row r="11" spans="1:22" x14ac:dyDescent="0.25">
      <c r="A11" t="s">
        <v>70</v>
      </c>
      <c r="B11" t="s">
        <v>71</v>
      </c>
      <c r="C11" t="s">
        <v>72</v>
      </c>
      <c r="D11" t="s">
        <v>73</v>
      </c>
      <c r="E11" t="s">
        <v>63</v>
      </c>
      <c r="F11" t="s">
        <v>41</v>
      </c>
      <c r="G11" s="1">
        <v>45882</v>
      </c>
      <c r="H11" s="1">
        <v>45942</v>
      </c>
      <c r="I11">
        <v>60</v>
      </c>
      <c r="J11">
        <v>34911.75</v>
      </c>
      <c r="K11">
        <v>34911.75</v>
      </c>
      <c r="L11">
        <v>0</v>
      </c>
      <c r="M11" s="1">
        <v>45942</v>
      </c>
      <c r="N11" t="s">
        <v>28</v>
      </c>
      <c r="O11" t="s">
        <v>69</v>
      </c>
      <c r="P11">
        <v>60</v>
      </c>
      <c r="Q11">
        <v>0</v>
      </c>
      <c r="R11" t="s">
        <v>30</v>
      </c>
      <c r="S11" t="s">
        <v>30</v>
      </c>
      <c r="T11">
        <v>0.01</v>
      </c>
      <c r="U11" t="s">
        <v>31</v>
      </c>
      <c r="V11">
        <v>0</v>
      </c>
    </row>
    <row r="12" spans="1:22" x14ac:dyDescent="0.25">
      <c r="A12" t="s">
        <v>74</v>
      </c>
      <c r="B12" t="s">
        <v>75</v>
      </c>
      <c r="C12" t="s">
        <v>76</v>
      </c>
      <c r="D12" t="s">
        <v>35</v>
      </c>
      <c r="E12" t="s">
        <v>40</v>
      </c>
      <c r="F12" t="s">
        <v>41</v>
      </c>
      <c r="G12" s="1">
        <v>46048</v>
      </c>
      <c r="H12" s="1">
        <v>46108</v>
      </c>
      <c r="I12">
        <v>60</v>
      </c>
      <c r="J12">
        <v>49691.63</v>
      </c>
      <c r="K12">
        <v>49691.63</v>
      </c>
      <c r="L12">
        <v>0</v>
      </c>
      <c r="M12" s="1">
        <v>46093</v>
      </c>
      <c r="N12" t="s">
        <v>28</v>
      </c>
      <c r="O12" t="s">
        <v>77</v>
      </c>
      <c r="P12">
        <v>45</v>
      </c>
      <c r="Q12">
        <v>15</v>
      </c>
      <c r="R12" t="s">
        <v>30</v>
      </c>
      <c r="S12" t="s">
        <v>30</v>
      </c>
      <c r="T12">
        <v>0.01</v>
      </c>
      <c r="U12" t="s">
        <v>31</v>
      </c>
      <c r="V12">
        <v>0</v>
      </c>
    </row>
    <row r="13" spans="1:22" x14ac:dyDescent="0.25">
      <c r="A13" t="s">
        <v>78</v>
      </c>
      <c r="B13" t="s">
        <v>79</v>
      </c>
      <c r="C13" t="s">
        <v>80</v>
      </c>
      <c r="D13" t="s">
        <v>49</v>
      </c>
      <c r="E13" t="s">
        <v>26</v>
      </c>
      <c r="F13" t="s">
        <v>27</v>
      </c>
      <c r="G13" s="1">
        <v>45772</v>
      </c>
      <c r="H13" s="1">
        <v>45832</v>
      </c>
      <c r="I13">
        <v>60</v>
      </c>
      <c r="J13">
        <v>16088.01</v>
      </c>
      <c r="K13">
        <v>16088.01</v>
      </c>
      <c r="L13">
        <v>0</v>
      </c>
      <c r="M13" s="1">
        <v>45830</v>
      </c>
      <c r="N13" t="s">
        <v>28</v>
      </c>
      <c r="O13" t="s">
        <v>29</v>
      </c>
      <c r="P13">
        <v>58</v>
      </c>
      <c r="Q13">
        <v>2</v>
      </c>
      <c r="R13" t="s">
        <v>30</v>
      </c>
      <c r="S13" t="s">
        <v>30</v>
      </c>
      <c r="T13">
        <v>0.01</v>
      </c>
      <c r="U13" t="s">
        <v>31</v>
      </c>
      <c r="V13">
        <v>0</v>
      </c>
    </row>
    <row r="14" spans="1:22" x14ac:dyDescent="0.25">
      <c r="A14" t="s">
        <v>81</v>
      </c>
      <c r="B14" t="s">
        <v>82</v>
      </c>
      <c r="C14" t="s">
        <v>83</v>
      </c>
      <c r="D14" t="s">
        <v>58</v>
      </c>
      <c r="E14" t="s">
        <v>40</v>
      </c>
      <c r="F14" t="s">
        <v>50</v>
      </c>
      <c r="G14" s="1">
        <v>45861</v>
      </c>
      <c r="H14" s="1">
        <v>45906</v>
      </c>
      <c r="I14">
        <v>45</v>
      </c>
      <c r="J14">
        <v>8655.0499999999993</v>
      </c>
      <c r="K14">
        <v>8655.0499999999993</v>
      </c>
      <c r="L14">
        <v>0</v>
      </c>
      <c r="M14" s="1">
        <v>45894</v>
      </c>
      <c r="N14" t="s">
        <v>28</v>
      </c>
      <c r="O14" t="s">
        <v>77</v>
      </c>
      <c r="P14">
        <v>33</v>
      </c>
      <c r="Q14">
        <v>12</v>
      </c>
      <c r="R14" t="s">
        <v>30</v>
      </c>
      <c r="S14" t="s">
        <v>31</v>
      </c>
      <c r="T14">
        <v>0</v>
      </c>
      <c r="U14" t="s">
        <v>31</v>
      </c>
      <c r="V14">
        <v>0</v>
      </c>
    </row>
    <row r="15" spans="1:22" x14ac:dyDescent="0.25">
      <c r="A15" t="s">
        <v>84</v>
      </c>
      <c r="B15" t="s">
        <v>85</v>
      </c>
      <c r="C15" t="s">
        <v>86</v>
      </c>
      <c r="D15" t="s">
        <v>25</v>
      </c>
      <c r="E15" t="s">
        <v>63</v>
      </c>
      <c r="F15" t="s">
        <v>27</v>
      </c>
      <c r="G15" s="1">
        <v>45677</v>
      </c>
      <c r="H15" s="1">
        <v>45767</v>
      </c>
      <c r="I15">
        <v>90</v>
      </c>
      <c r="J15">
        <v>3125.49</v>
      </c>
      <c r="K15">
        <v>0</v>
      </c>
      <c r="L15">
        <v>3125.49</v>
      </c>
      <c r="N15" t="s">
        <v>59</v>
      </c>
      <c r="O15" t="s">
        <v>29</v>
      </c>
      <c r="Q15">
        <v>-406</v>
      </c>
      <c r="R15" t="s">
        <v>31</v>
      </c>
      <c r="S15" t="s">
        <v>30</v>
      </c>
      <c r="T15">
        <v>5.0000000000000001E-3</v>
      </c>
      <c r="U15" t="s">
        <v>31</v>
      </c>
      <c r="V15">
        <v>0</v>
      </c>
    </row>
    <row r="16" spans="1:22" x14ac:dyDescent="0.25">
      <c r="A16" t="s">
        <v>87</v>
      </c>
      <c r="B16" t="s">
        <v>88</v>
      </c>
      <c r="C16" t="s">
        <v>89</v>
      </c>
      <c r="D16" t="s">
        <v>35</v>
      </c>
      <c r="E16" t="s">
        <v>40</v>
      </c>
      <c r="F16" t="s">
        <v>27</v>
      </c>
      <c r="G16" s="1">
        <v>45745</v>
      </c>
      <c r="H16" s="1">
        <v>45775</v>
      </c>
      <c r="I16">
        <v>30</v>
      </c>
      <c r="J16">
        <v>59893.07</v>
      </c>
      <c r="K16">
        <v>0</v>
      </c>
      <c r="L16">
        <v>59893.07</v>
      </c>
      <c r="N16" t="s">
        <v>59</v>
      </c>
      <c r="O16" t="s">
        <v>36</v>
      </c>
      <c r="Q16">
        <v>-398</v>
      </c>
      <c r="R16" t="s">
        <v>31</v>
      </c>
      <c r="S16" t="s">
        <v>31</v>
      </c>
      <c r="T16">
        <v>0</v>
      </c>
      <c r="U16" t="s">
        <v>31</v>
      </c>
      <c r="V16">
        <v>0</v>
      </c>
    </row>
    <row r="17" spans="1:22" x14ac:dyDescent="0.25">
      <c r="A17" t="s">
        <v>90</v>
      </c>
      <c r="B17" t="s">
        <v>79</v>
      </c>
      <c r="C17" t="s">
        <v>80</v>
      </c>
      <c r="D17" t="s">
        <v>49</v>
      </c>
      <c r="E17" t="s">
        <v>40</v>
      </c>
      <c r="F17" t="s">
        <v>64</v>
      </c>
      <c r="G17" s="1">
        <v>45929</v>
      </c>
      <c r="H17" s="1">
        <v>45959</v>
      </c>
      <c r="I17">
        <v>30</v>
      </c>
      <c r="J17">
        <v>27328.34</v>
      </c>
      <c r="K17">
        <v>0</v>
      </c>
      <c r="L17">
        <v>27328.34</v>
      </c>
      <c r="N17" t="s">
        <v>59</v>
      </c>
      <c r="O17" t="s">
        <v>69</v>
      </c>
      <c r="Q17">
        <v>-214</v>
      </c>
      <c r="R17" t="s">
        <v>31</v>
      </c>
      <c r="S17" t="s">
        <v>30</v>
      </c>
      <c r="T17">
        <v>0.01</v>
      </c>
      <c r="U17" t="s">
        <v>31</v>
      </c>
      <c r="V17">
        <v>0</v>
      </c>
    </row>
    <row r="18" spans="1:22" x14ac:dyDescent="0.25">
      <c r="A18" t="s">
        <v>91</v>
      </c>
      <c r="B18" t="s">
        <v>79</v>
      </c>
      <c r="C18" t="s">
        <v>80</v>
      </c>
      <c r="D18" t="s">
        <v>49</v>
      </c>
      <c r="E18" t="s">
        <v>40</v>
      </c>
      <c r="F18" t="s">
        <v>92</v>
      </c>
      <c r="G18" s="1">
        <v>46106</v>
      </c>
      <c r="H18" s="1">
        <v>46166</v>
      </c>
      <c r="I18">
        <v>60</v>
      </c>
      <c r="J18">
        <v>45181.48</v>
      </c>
      <c r="K18">
        <v>0</v>
      </c>
      <c r="L18">
        <v>45181.48</v>
      </c>
      <c r="N18" t="s">
        <v>93</v>
      </c>
      <c r="O18" t="s">
        <v>69</v>
      </c>
      <c r="S18" t="s">
        <v>30</v>
      </c>
      <c r="T18">
        <v>0.01</v>
      </c>
      <c r="U18" t="s">
        <v>31</v>
      </c>
      <c r="V18">
        <v>0</v>
      </c>
    </row>
    <row r="19" spans="1:22" x14ac:dyDescent="0.25">
      <c r="A19" t="s">
        <v>94</v>
      </c>
      <c r="B19" t="s">
        <v>95</v>
      </c>
      <c r="C19" t="s">
        <v>96</v>
      </c>
      <c r="D19" t="s">
        <v>49</v>
      </c>
      <c r="E19" t="s">
        <v>63</v>
      </c>
      <c r="F19" t="s">
        <v>50</v>
      </c>
      <c r="G19" s="1">
        <v>45665</v>
      </c>
      <c r="H19" s="1">
        <v>45695</v>
      </c>
      <c r="I19">
        <v>30</v>
      </c>
      <c r="J19">
        <v>5407.67</v>
      </c>
      <c r="K19">
        <v>5407.67</v>
      </c>
      <c r="L19">
        <v>0</v>
      </c>
      <c r="M19" s="1">
        <v>45708</v>
      </c>
      <c r="N19" t="s">
        <v>28</v>
      </c>
      <c r="O19" t="s">
        <v>36</v>
      </c>
      <c r="P19">
        <v>43</v>
      </c>
      <c r="Q19">
        <v>-13</v>
      </c>
      <c r="R19" t="s">
        <v>31</v>
      </c>
      <c r="S19" t="s">
        <v>30</v>
      </c>
      <c r="T19">
        <v>0.01</v>
      </c>
      <c r="U19" t="s">
        <v>31</v>
      </c>
      <c r="V19">
        <v>0</v>
      </c>
    </row>
    <row r="20" spans="1:22" x14ac:dyDescent="0.25">
      <c r="A20" t="s">
        <v>97</v>
      </c>
      <c r="B20" t="s">
        <v>43</v>
      </c>
      <c r="C20" t="s">
        <v>44</v>
      </c>
      <c r="D20" t="s">
        <v>25</v>
      </c>
      <c r="E20" t="s">
        <v>63</v>
      </c>
      <c r="F20" t="s">
        <v>64</v>
      </c>
      <c r="G20" s="1">
        <v>45877</v>
      </c>
      <c r="H20" s="1">
        <v>45967</v>
      </c>
      <c r="I20">
        <v>90</v>
      </c>
      <c r="J20">
        <v>11245.44</v>
      </c>
      <c r="K20">
        <v>6613.51</v>
      </c>
      <c r="L20">
        <v>4631.93</v>
      </c>
      <c r="M20" s="1">
        <v>45969</v>
      </c>
      <c r="N20" t="s">
        <v>98</v>
      </c>
      <c r="O20" t="s">
        <v>29</v>
      </c>
      <c r="P20">
        <v>92</v>
      </c>
      <c r="Q20">
        <v>-2</v>
      </c>
      <c r="R20" t="s">
        <v>31</v>
      </c>
      <c r="S20" t="s">
        <v>31</v>
      </c>
      <c r="T20">
        <v>0</v>
      </c>
      <c r="U20" t="s">
        <v>31</v>
      </c>
      <c r="V20">
        <v>0</v>
      </c>
    </row>
    <row r="21" spans="1:22" x14ac:dyDescent="0.25">
      <c r="A21" t="s">
        <v>99</v>
      </c>
      <c r="B21" t="s">
        <v>100</v>
      </c>
      <c r="C21" t="s">
        <v>101</v>
      </c>
      <c r="D21" t="s">
        <v>54</v>
      </c>
      <c r="E21" t="s">
        <v>45</v>
      </c>
      <c r="F21" t="s">
        <v>64</v>
      </c>
      <c r="G21" s="1">
        <v>46099</v>
      </c>
      <c r="H21" s="1">
        <v>46129</v>
      </c>
      <c r="I21">
        <v>30</v>
      </c>
      <c r="J21">
        <v>5637.31</v>
      </c>
      <c r="K21">
        <v>0</v>
      </c>
      <c r="L21">
        <v>5637.31</v>
      </c>
      <c r="N21" t="s">
        <v>93</v>
      </c>
      <c r="O21" t="s">
        <v>77</v>
      </c>
      <c r="S21" t="s">
        <v>30</v>
      </c>
      <c r="T21">
        <v>0.01</v>
      </c>
      <c r="U21" t="s">
        <v>31</v>
      </c>
      <c r="V21">
        <v>0</v>
      </c>
    </row>
    <row r="22" spans="1:22" x14ac:dyDescent="0.25">
      <c r="A22" t="s">
        <v>102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s="1">
        <v>45769</v>
      </c>
      <c r="H22" s="1">
        <v>45829</v>
      </c>
      <c r="I22">
        <v>60</v>
      </c>
      <c r="J22">
        <v>5724.47</v>
      </c>
      <c r="K22">
        <v>5724.47</v>
      </c>
      <c r="L22">
        <v>0</v>
      </c>
      <c r="M22" s="1">
        <v>45821</v>
      </c>
      <c r="N22" t="s">
        <v>28</v>
      </c>
      <c r="O22" t="s">
        <v>69</v>
      </c>
      <c r="P22">
        <v>52</v>
      </c>
      <c r="Q22">
        <v>8</v>
      </c>
      <c r="R22" t="s">
        <v>30</v>
      </c>
      <c r="S22" t="s">
        <v>30</v>
      </c>
      <c r="T22">
        <v>0.01</v>
      </c>
      <c r="U22" t="s">
        <v>31</v>
      </c>
      <c r="V22">
        <v>0</v>
      </c>
    </row>
    <row r="23" spans="1:22" x14ac:dyDescent="0.25">
      <c r="A23" t="s">
        <v>103</v>
      </c>
      <c r="B23" t="s">
        <v>38</v>
      </c>
      <c r="C23" t="s">
        <v>39</v>
      </c>
      <c r="D23" t="s">
        <v>35</v>
      </c>
      <c r="E23" t="s">
        <v>40</v>
      </c>
      <c r="F23" t="s">
        <v>92</v>
      </c>
      <c r="G23" s="1">
        <v>45735</v>
      </c>
      <c r="H23" s="1">
        <v>45765</v>
      </c>
      <c r="I23">
        <v>30</v>
      </c>
      <c r="J23">
        <v>38234.81</v>
      </c>
      <c r="K23">
        <v>38234.81</v>
      </c>
      <c r="L23">
        <v>0</v>
      </c>
      <c r="M23" s="1">
        <v>45793</v>
      </c>
      <c r="N23" t="s">
        <v>28</v>
      </c>
      <c r="O23" t="s">
        <v>69</v>
      </c>
      <c r="P23">
        <v>58</v>
      </c>
      <c r="Q23">
        <v>-28</v>
      </c>
      <c r="R23" t="s">
        <v>31</v>
      </c>
      <c r="S23" t="s">
        <v>31</v>
      </c>
      <c r="T23">
        <v>0</v>
      </c>
      <c r="U23" t="s">
        <v>31</v>
      </c>
      <c r="V23">
        <v>0</v>
      </c>
    </row>
    <row r="24" spans="1:22" x14ac:dyDescent="0.25">
      <c r="A24" t="s">
        <v>104</v>
      </c>
      <c r="B24" t="s">
        <v>95</v>
      </c>
      <c r="C24" t="s">
        <v>96</v>
      </c>
      <c r="D24" t="s">
        <v>49</v>
      </c>
      <c r="E24" t="s">
        <v>26</v>
      </c>
      <c r="F24" t="s">
        <v>64</v>
      </c>
      <c r="G24" s="1">
        <v>46155</v>
      </c>
      <c r="H24" s="1">
        <v>46215</v>
      </c>
      <c r="I24">
        <v>60</v>
      </c>
      <c r="J24">
        <v>25105.200000000001</v>
      </c>
      <c r="K24">
        <v>0</v>
      </c>
      <c r="L24">
        <v>25105.200000000001</v>
      </c>
      <c r="N24" t="s">
        <v>93</v>
      </c>
      <c r="O24" t="s">
        <v>36</v>
      </c>
      <c r="S24" t="s">
        <v>31</v>
      </c>
      <c r="T24">
        <v>0</v>
      </c>
      <c r="U24" t="s">
        <v>31</v>
      </c>
      <c r="V24">
        <v>0</v>
      </c>
    </row>
    <row r="25" spans="1:22" x14ac:dyDescent="0.25">
      <c r="A25" t="s">
        <v>105</v>
      </c>
      <c r="B25" t="s">
        <v>95</v>
      </c>
      <c r="C25" t="s">
        <v>96</v>
      </c>
      <c r="D25" t="s">
        <v>49</v>
      </c>
      <c r="E25" t="s">
        <v>45</v>
      </c>
      <c r="F25" t="s">
        <v>92</v>
      </c>
      <c r="G25" s="1">
        <v>46091</v>
      </c>
      <c r="H25" s="1">
        <v>46136</v>
      </c>
      <c r="I25">
        <v>45</v>
      </c>
      <c r="J25">
        <v>35436.39</v>
      </c>
      <c r="K25">
        <v>19253.86</v>
      </c>
      <c r="L25">
        <v>16182.53</v>
      </c>
      <c r="M25" s="1">
        <v>46137</v>
      </c>
      <c r="N25" t="s">
        <v>98</v>
      </c>
      <c r="O25" t="s">
        <v>69</v>
      </c>
      <c r="P25">
        <v>46</v>
      </c>
      <c r="Q25">
        <v>-1</v>
      </c>
      <c r="R25" t="s">
        <v>31</v>
      </c>
      <c r="S25" t="s">
        <v>31</v>
      </c>
      <c r="T25">
        <v>0</v>
      </c>
      <c r="U25" t="s">
        <v>31</v>
      </c>
      <c r="V25">
        <v>0</v>
      </c>
    </row>
    <row r="26" spans="1:22" x14ac:dyDescent="0.25">
      <c r="A26" t="s">
        <v>106</v>
      </c>
      <c r="B26" t="s">
        <v>88</v>
      </c>
      <c r="C26" t="s">
        <v>89</v>
      </c>
      <c r="D26" t="s">
        <v>35</v>
      </c>
      <c r="E26" t="s">
        <v>40</v>
      </c>
      <c r="F26" t="s">
        <v>27</v>
      </c>
      <c r="G26" s="1">
        <v>45716</v>
      </c>
      <c r="H26" s="1">
        <v>45776</v>
      </c>
      <c r="I26">
        <v>60</v>
      </c>
      <c r="J26">
        <v>8760.68</v>
      </c>
      <c r="K26">
        <v>0</v>
      </c>
      <c r="L26">
        <v>8760.68</v>
      </c>
      <c r="N26" t="s">
        <v>59</v>
      </c>
      <c r="O26" t="s">
        <v>77</v>
      </c>
      <c r="Q26">
        <v>-397</v>
      </c>
      <c r="R26" t="s">
        <v>31</v>
      </c>
      <c r="S26" t="s">
        <v>30</v>
      </c>
      <c r="T26">
        <v>0.01</v>
      </c>
      <c r="U26" t="s">
        <v>31</v>
      </c>
      <c r="V26">
        <v>0</v>
      </c>
    </row>
    <row r="27" spans="1:22" x14ac:dyDescent="0.25">
      <c r="A27" t="s">
        <v>107</v>
      </c>
      <c r="B27" t="s">
        <v>82</v>
      </c>
      <c r="C27" t="s">
        <v>83</v>
      </c>
      <c r="D27" t="s">
        <v>58</v>
      </c>
      <c r="E27" t="s">
        <v>40</v>
      </c>
      <c r="F27" t="s">
        <v>27</v>
      </c>
      <c r="G27" s="1">
        <v>45728</v>
      </c>
      <c r="H27" s="1">
        <v>45758</v>
      </c>
      <c r="I27">
        <v>30</v>
      </c>
      <c r="J27">
        <v>25016.3</v>
      </c>
      <c r="K27">
        <v>25016.3</v>
      </c>
      <c r="L27">
        <v>0</v>
      </c>
      <c r="M27" s="1">
        <v>45767</v>
      </c>
      <c r="N27" t="s">
        <v>28</v>
      </c>
      <c r="O27" t="s">
        <v>77</v>
      </c>
      <c r="P27">
        <v>39</v>
      </c>
      <c r="Q27">
        <v>-9</v>
      </c>
      <c r="R27" t="s">
        <v>31</v>
      </c>
      <c r="S27" t="s">
        <v>30</v>
      </c>
      <c r="T27">
        <v>0.01</v>
      </c>
      <c r="U27" t="s">
        <v>31</v>
      </c>
      <c r="V27">
        <v>0</v>
      </c>
    </row>
    <row r="28" spans="1:22" x14ac:dyDescent="0.25">
      <c r="A28" t="s">
        <v>108</v>
      </c>
      <c r="B28" t="s">
        <v>109</v>
      </c>
      <c r="C28" t="s">
        <v>110</v>
      </c>
      <c r="D28" t="s">
        <v>49</v>
      </c>
      <c r="E28" t="s">
        <v>63</v>
      </c>
      <c r="F28" t="s">
        <v>64</v>
      </c>
      <c r="G28" s="1">
        <v>46087</v>
      </c>
      <c r="H28" s="1">
        <v>46117</v>
      </c>
      <c r="I28">
        <v>30</v>
      </c>
      <c r="J28">
        <v>33553.910000000003</v>
      </c>
      <c r="K28">
        <v>0</v>
      </c>
      <c r="L28">
        <v>33553.910000000003</v>
      </c>
      <c r="N28" t="s">
        <v>93</v>
      </c>
      <c r="O28" t="s">
        <v>77</v>
      </c>
      <c r="S28" t="s">
        <v>30</v>
      </c>
      <c r="T28">
        <v>0.01</v>
      </c>
      <c r="U28" t="s">
        <v>31</v>
      </c>
      <c r="V28">
        <v>0</v>
      </c>
    </row>
    <row r="29" spans="1:22" x14ac:dyDescent="0.25">
      <c r="A29" t="s">
        <v>111</v>
      </c>
      <c r="B29" t="s">
        <v>56</v>
      </c>
      <c r="C29" t="s">
        <v>57</v>
      </c>
      <c r="D29" t="s">
        <v>58</v>
      </c>
      <c r="E29" t="s">
        <v>68</v>
      </c>
      <c r="F29" t="s">
        <v>64</v>
      </c>
      <c r="G29" s="1">
        <v>45792</v>
      </c>
      <c r="H29" s="1">
        <v>45852</v>
      </c>
      <c r="I29">
        <v>60</v>
      </c>
      <c r="J29">
        <v>27852.54</v>
      </c>
      <c r="K29">
        <v>27852.54</v>
      </c>
      <c r="L29">
        <v>0</v>
      </c>
      <c r="M29" s="1">
        <v>45852</v>
      </c>
      <c r="N29" t="s">
        <v>28</v>
      </c>
      <c r="O29" t="s">
        <v>29</v>
      </c>
      <c r="P29">
        <v>60</v>
      </c>
      <c r="Q29">
        <v>0</v>
      </c>
      <c r="R29" t="s">
        <v>30</v>
      </c>
      <c r="S29" t="s">
        <v>30</v>
      </c>
      <c r="T29">
        <v>0.01</v>
      </c>
      <c r="U29" t="s">
        <v>31</v>
      </c>
      <c r="V29">
        <v>0</v>
      </c>
    </row>
    <row r="30" spans="1:22" x14ac:dyDescent="0.25">
      <c r="A30" t="s">
        <v>112</v>
      </c>
      <c r="B30" t="s">
        <v>113</v>
      </c>
      <c r="C30" t="s">
        <v>114</v>
      </c>
      <c r="D30" t="s">
        <v>25</v>
      </c>
      <c r="E30" t="s">
        <v>63</v>
      </c>
      <c r="F30" t="s">
        <v>50</v>
      </c>
      <c r="G30" s="1">
        <v>45876</v>
      </c>
      <c r="H30" s="1">
        <v>45906</v>
      </c>
      <c r="I30">
        <v>30</v>
      </c>
      <c r="J30">
        <v>10611.81</v>
      </c>
      <c r="K30">
        <v>10611.81</v>
      </c>
      <c r="L30">
        <v>0</v>
      </c>
      <c r="M30" s="1">
        <v>45903</v>
      </c>
      <c r="N30" t="s">
        <v>28</v>
      </c>
      <c r="O30" t="s">
        <v>77</v>
      </c>
      <c r="P30">
        <v>27</v>
      </c>
      <c r="Q30">
        <v>3</v>
      </c>
      <c r="R30" t="s">
        <v>30</v>
      </c>
      <c r="S30" t="s">
        <v>30</v>
      </c>
      <c r="T30">
        <v>0.01</v>
      </c>
      <c r="U30" t="s">
        <v>31</v>
      </c>
      <c r="V30">
        <v>0</v>
      </c>
    </row>
    <row r="31" spans="1:22" x14ac:dyDescent="0.25">
      <c r="A31" t="s">
        <v>115</v>
      </c>
      <c r="B31" t="s">
        <v>43</v>
      </c>
      <c r="C31" t="s">
        <v>44</v>
      </c>
      <c r="D31" t="s">
        <v>25</v>
      </c>
      <c r="E31" t="s">
        <v>40</v>
      </c>
      <c r="F31" t="s">
        <v>92</v>
      </c>
      <c r="G31" s="1">
        <v>46106</v>
      </c>
      <c r="H31" s="1">
        <v>46136</v>
      </c>
      <c r="I31">
        <v>30</v>
      </c>
      <c r="J31">
        <v>16841.150000000001</v>
      </c>
      <c r="K31">
        <v>16841.150000000001</v>
      </c>
      <c r="L31">
        <v>0</v>
      </c>
      <c r="M31" s="1">
        <v>46136</v>
      </c>
      <c r="N31" t="s">
        <v>28</v>
      </c>
      <c r="O31" t="s">
        <v>29</v>
      </c>
      <c r="P31">
        <v>30</v>
      </c>
      <c r="Q31">
        <v>0</v>
      </c>
      <c r="R31" t="s">
        <v>30</v>
      </c>
      <c r="S31" t="s">
        <v>31</v>
      </c>
      <c r="T31">
        <v>0</v>
      </c>
      <c r="U31" t="s">
        <v>31</v>
      </c>
      <c r="V31">
        <v>0</v>
      </c>
    </row>
    <row r="32" spans="1:22" x14ac:dyDescent="0.25">
      <c r="A32" t="s">
        <v>116</v>
      </c>
      <c r="B32" t="s">
        <v>79</v>
      </c>
      <c r="C32" t="s">
        <v>80</v>
      </c>
      <c r="D32" t="s">
        <v>49</v>
      </c>
      <c r="E32" t="s">
        <v>68</v>
      </c>
      <c r="F32" t="s">
        <v>27</v>
      </c>
      <c r="G32" s="1">
        <v>45776</v>
      </c>
      <c r="H32" s="1">
        <v>45821</v>
      </c>
      <c r="I32">
        <v>45</v>
      </c>
      <c r="J32">
        <v>44706.21</v>
      </c>
      <c r="K32">
        <v>44706.21</v>
      </c>
      <c r="L32">
        <v>0</v>
      </c>
      <c r="M32" s="1">
        <v>45821</v>
      </c>
      <c r="N32" t="s">
        <v>28</v>
      </c>
      <c r="O32" t="s">
        <v>36</v>
      </c>
      <c r="P32">
        <v>45</v>
      </c>
      <c r="Q32">
        <v>0</v>
      </c>
      <c r="R32" t="s">
        <v>30</v>
      </c>
      <c r="S32" t="s">
        <v>31</v>
      </c>
      <c r="T32">
        <v>0</v>
      </c>
      <c r="U32" t="s">
        <v>31</v>
      </c>
      <c r="V32">
        <v>0</v>
      </c>
    </row>
    <row r="33" spans="1:22" x14ac:dyDescent="0.25">
      <c r="A33" t="s">
        <v>117</v>
      </c>
      <c r="B33" t="s">
        <v>88</v>
      </c>
      <c r="C33" t="s">
        <v>89</v>
      </c>
      <c r="D33" t="s">
        <v>35</v>
      </c>
      <c r="E33" t="s">
        <v>63</v>
      </c>
      <c r="F33" t="s">
        <v>64</v>
      </c>
      <c r="G33" s="1">
        <v>45928</v>
      </c>
      <c r="H33" s="1">
        <v>45958</v>
      </c>
      <c r="I33">
        <v>30</v>
      </c>
      <c r="J33">
        <v>42905.68</v>
      </c>
      <c r="K33">
        <v>0</v>
      </c>
      <c r="L33">
        <v>42905.68</v>
      </c>
      <c r="N33" t="s">
        <v>59</v>
      </c>
      <c r="O33" t="s">
        <v>29</v>
      </c>
      <c r="Q33">
        <v>-215</v>
      </c>
      <c r="R33" t="s">
        <v>31</v>
      </c>
      <c r="S33" t="s">
        <v>30</v>
      </c>
      <c r="T33">
        <v>0.01</v>
      </c>
      <c r="U33" t="s">
        <v>31</v>
      </c>
      <c r="V33">
        <v>0</v>
      </c>
    </row>
    <row r="34" spans="1:22" x14ac:dyDescent="0.25">
      <c r="A34" t="s">
        <v>118</v>
      </c>
      <c r="B34" t="s">
        <v>33</v>
      </c>
      <c r="C34" t="s">
        <v>34</v>
      </c>
      <c r="D34" t="s">
        <v>35</v>
      </c>
      <c r="E34" t="s">
        <v>26</v>
      </c>
      <c r="F34" t="s">
        <v>41</v>
      </c>
      <c r="G34" s="1">
        <v>45661</v>
      </c>
      <c r="H34" s="1">
        <v>45676</v>
      </c>
      <c r="I34">
        <v>15</v>
      </c>
      <c r="J34">
        <v>30016.74</v>
      </c>
      <c r="K34">
        <v>0</v>
      </c>
      <c r="L34">
        <v>30016.74</v>
      </c>
      <c r="N34" t="s">
        <v>59</v>
      </c>
      <c r="O34" t="s">
        <v>29</v>
      </c>
      <c r="Q34">
        <v>-497</v>
      </c>
      <c r="R34" t="s">
        <v>31</v>
      </c>
      <c r="S34" t="s">
        <v>30</v>
      </c>
      <c r="T34">
        <v>0.02</v>
      </c>
      <c r="U34" t="s">
        <v>31</v>
      </c>
      <c r="V34">
        <v>0</v>
      </c>
    </row>
    <row r="35" spans="1:22" x14ac:dyDescent="0.25">
      <c r="A35" t="s">
        <v>119</v>
      </c>
      <c r="B35" t="s">
        <v>120</v>
      </c>
      <c r="C35" t="s">
        <v>121</v>
      </c>
      <c r="D35" t="s">
        <v>54</v>
      </c>
      <c r="E35" t="s">
        <v>45</v>
      </c>
      <c r="F35" t="s">
        <v>50</v>
      </c>
      <c r="G35" s="1">
        <v>45772</v>
      </c>
      <c r="H35" s="1">
        <v>45787</v>
      </c>
      <c r="I35">
        <v>15</v>
      </c>
      <c r="J35">
        <v>1591.04</v>
      </c>
      <c r="K35">
        <v>0</v>
      </c>
      <c r="L35">
        <v>1591.04</v>
      </c>
      <c r="N35" t="s">
        <v>59</v>
      </c>
      <c r="O35" t="s">
        <v>69</v>
      </c>
      <c r="Q35">
        <v>-386</v>
      </c>
      <c r="R35" t="s">
        <v>31</v>
      </c>
      <c r="S35" t="s">
        <v>31</v>
      </c>
      <c r="T35">
        <v>0</v>
      </c>
      <c r="U35" t="s">
        <v>31</v>
      </c>
      <c r="V35">
        <v>0</v>
      </c>
    </row>
    <row r="36" spans="1:22" x14ac:dyDescent="0.25">
      <c r="A36" t="s">
        <v>122</v>
      </c>
      <c r="B36" t="s">
        <v>79</v>
      </c>
      <c r="C36" t="s">
        <v>80</v>
      </c>
      <c r="D36" t="s">
        <v>49</v>
      </c>
      <c r="E36" t="s">
        <v>26</v>
      </c>
      <c r="F36" t="s">
        <v>92</v>
      </c>
      <c r="G36" s="1">
        <v>45788</v>
      </c>
      <c r="H36" s="1">
        <v>45848</v>
      </c>
      <c r="I36">
        <v>60</v>
      </c>
      <c r="J36">
        <v>4007.79</v>
      </c>
      <c r="K36">
        <v>0</v>
      </c>
      <c r="L36">
        <v>4007.79</v>
      </c>
      <c r="N36" t="s">
        <v>59</v>
      </c>
      <c r="O36" t="s">
        <v>36</v>
      </c>
      <c r="Q36">
        <v>-325</v>
      </c>
      <c r="R36" t="s">
        <v>31</v>
      </c>
      <c r="S36" t="s">
        <v>30</v>
      </c>
      <c r="T36">
        <v>0.01</v>
      </c>
      <c r="U36" t="s">
        <v>31</v>
      </c>
      <c r="V36">
        <v>0</v>
      </c>
    </row>
    <row r="37" spans="1:22" x14ac:dyDescent="0.25">
      <c r="A37" t="s">
        <v>123</v>
      </c>
      <c r="B37" t="s">
        <v>33</v>
      </c>
      <c r="C37" t="s">
        <v>34</v>
      </c>
      <c r="D37" t="s">
        <v>35</v>
      </c>
      <c r="E37" t="s">
        <v>68</v>
      </c>
      <c r="F37" t="s">
        <v>64</v>
      </c>
      <c r="G37" s="1">
        <v>46020</v>
      </c>
      <c r="H37" s="1">
        <v>46050</v>
      </c>
      <c r="I37">
        <v>30</v>
      </c>
      <c r="J37">
        <v>63508.72</v>
      </c>
      <c r="K37">
        <v>63508.72</v>
      </c>
      <c r="L37">
        <v>0</v>
      </c>
      <c r="M37" s="1">
        <v>46047</v>
      </c>
      <c r="N37" t="s">
        <v>28</v>
      </c>
      <c r="O37" t="s">
        <v>36</v>
      </c>
      <c r="P37">
        <v>27</v>
      </c>
      <c r="Q37">
        <v>3</v>
      </c>
      <c r="R37" t="s">
        <v>30</v>
      </c>
      <c r="S37" t="s">
        <v>31</v>
      </c>
      <c r="T37">
        <v>0</v>
      </c>
      <c r="U37" t="s">
        <v>31</v>
      </c>
      <c r="V37">
        <v>0</v>
      </c>
    </row>
    <row r="38" spans="1:22" x14ac:dyDescent="0.25">
      <c r="A38" t="s">
        <v>124</v>
      </c>
      <c r="B38" t="s">
        <v>52</v>
      </c>
      <c r="C38" t="s">
        <v>53</v>
      </c>
      <c r="D38" t="s">
        <v>54</v>
      </c>
      <c r="E38" t="s">
        <v>40</v>
      </c>
      <c r="F38" t="s">
        <v>64</v>
      </c>
      <c r="G38" s="1">
        <v>45841</v>
      </c>
      <c r="H38" s="1">
        <v>45856</v>
      </c>
      <c r="I38">
        <v>15</v>
      </c>
      <c r="J38">
        <v>11180.18</v>
      </c>
      <c r="K38">
        <v>0</v>
      </c>
      <c r="L38">
        <v>11180.18</v>
      </c>
      <c r="N38" t="s">
        <v>59</v>
      </c>
      <c r="O38" t="s">
        <v>69</v>
      </c>
      <c r="Q38">
        <v>-317</v>
      </c>
      <c r="R38" t="s">
        <v>31</v>
      </c>
      <c r="S38" t="s">
        <v>30</v>
      </c>
      <c r="T38">
        <v>0.02</v>
      </c>
      <c r="U38" t="s">
        <v>31</v>
      </c>
      <c r="V38">
        <v>0</v>
      </c>
    </row>
    <row r="39" spans="1:22" x14ac:dyDescent="0.25">
      <c r="A39" t="s">
        <v>125</v>
      </c>
      <c r="B39" t="s">
        <v>56</v>
      </c>
      <c r="C39" t="s">
        <v>57</v>
      </c>
      <c r="D39" t="s">
        <v>58</v>
      </c>
      <c r="E39" t="s">
        <v>40</v>
      </c>
      <c r="F39" t="s">
        <v>92</v>
      </c>
      <c r="G39" s="1">
        <v>46049</v>
      </c>
      <c r="H39" s="1">
        <v>46079</v>
      </c>
      <c r="I39">
        <v>30</v>
      </c>
      <c r="J39">
        <v>35270.17</v>
      </c>
      <c r="K39">
        <v>35270.17</v>
      </c>
      <c r="L39">
        <v>0</v>
      </c>
      <c r="M39" s="1">
        <v>46076</v>
      </c>
      <c r="N39" t="s">
        <v>28</v>
      </c>
      <c r="O39" t="s">
        <v>36</v>
      </c>
      <c r="P39">
        <v>27</v>
      </c>
      <c r="Q39">
        <v>3</v>
      </c>
      <c r="R39" t="s">
        <v>30</v>
      </c>
      <c r="S39" t="s">
        <v>31</v>
      </c>
      <c r="T39">
        <v>0</v>
      </c>
      <c r="U39" t="s">
        <v>31</v>
      </c>
      <c r="V39">
        <v>0</v>
      </c>
    </row>
    <row r="40" spans="1:22" x14ac:dyDescent="0.25">
      <c r="A40" t="s">
        <v>126</v>
      </c>
      <c r="B40" t="s">
        <v>113</v>
      </c>
      <c r="C40" t="s">
        <v>114</v>
      </c>
      <c r="D40" t="s">
        <v>25</v>
      </c>
      <c r="E40" t="s">
        <v>68</v>
      </c>
      <c r="F40" t="s">
        <v>92</v>
      </c>
      <c r="G40" s="1">
        <v>45682</v>
      </c>
      <c r="H40" s="1">
        <v>45712</v>
      </c>
      <c r="I40">
        <v>30</v>
      </c>
      <c r="J40">
        <v>13540.63</v>
      </c>
      <c r="K40">
        <v>13540.63</v>
      </c>
      <c r="L40">
        <v>0</v>
      </c>
      <c r="M40" s="1">
        <v>45724</v>
      </c>
      <c r="N40" t="s">
        <v>28</v>
      </c>
      <c r="O40" t="s">
        <v>36</v>
      </c>
      <c r="P40">
        <v>42</v>
      </c>
      <c r="Q40">
        <v>-12</v>
      </c>
      <c r="R40" t="s">
        <v>31</v>
      </c>
      <c r="S40" t="s">
        <v>30</v>
      </c>
      <c r="T40">
        <v>0.01</v>
      </c>
      <c r="U40" t="s">
        <v>31</v>
      </c>
      <c r="V40">
        <v>0</v>
      </c>
    </row>
    <row r="41" spans="1:22" x14ac:dyDescent="0.25">
      <c r="A41" t="s">
        <v>127</v>
      </c>
      <c r="B41" t="s">
        <v>128</v>
      </c>
      <c r="C41" t="s">
        <v>129</v>
      </c>
      <c r="D41" t="s">
        <v>73</v>
      </c>
      <c r="E41" t="s">
        <v>63</v>
      </c>
      <c r="F41" t="s">
        <v>41</v>
      </c>
      <c r="G41" s="1">
        <v>45776</v>
      </c>
      <c r="H41" s="1">
        <v>45791</v>
      </c>
      <c r="I41">
        <v>15</v>
      </c>
      <c r="J41">
        <v>30942.27</v>
      </c>
      <c r="K41">
        <v>30942.27</v>
      </c>
      <c r="L41">
        <v>0</v>
      </c>
      <c r="M41" s="1">
        <v>45796</v>
      </c>
      <c r="N41" t="s">
        <v>28</v>
      </c>
      <c r="O41" t="s">
        <v>29</v>
      </c>
      <c r="P41">
        <v>20</v>
      </c>
      <c r="Q41">
        <v>-5</v>
      </c>
      <c r="R41" t="s">
        <v>31</v>
      </c>
      <c r="S41" t="s">
        <v>30</v>
      </c>
      <c r="T41">
        <v>0.02</v>
      </c>
      <c r="U41" t="s">
        <v>31</v>
      </c>
      <c r="V41">
        <v>0</v>
      </c>
    </row>
    <row r="42" spans="1:22" x14ac:dyDescent="0.25">
      <c r="A42" t="s">
        <v>130</v>
      </c>
      <c r="B42" t="s">
        <v>131</v>
      </c>
      <c r="C42" t="s">
        <v>132</v>
      </c>
      <c r="D42" t="s">
        <v>49</v>
      </c>
      <c r="E42" t="s">
        <v>26</v>
      </c>
      <c r="F42" t="s">
        <v>27</v>
      </c>
      <c r="G42" s="1">
        <v>45979</v>
      </c>
      <c r="H42" s="1">
        <v>46039</v>
      </c>
      <c r="I42">
        <v>60</v>
      </c>
      <c r="J42">
        <v>22946.91</v>
      </c>
      <c r="K42">
        <v>22946.91</v>
      </c>
      <c r="L42">
        <v>0</v>
      </c>
      <c r="M42" s="1">
        <v>46043</v>
      </c>
      <c r="N42" t="s">
        <v>28</v>
      </c>
      <c r="O42" t="s">
        <v>69</v>
      </c>
      <c r="P42">
        <v>64</v>
      </c>
      <c r="Q42">
        <v>-4</v>
      </c>
      <c r="R42" t="s">
        <v>31</v>
      </c>
      <c r="S42" t="s">
        <v>31</v>
      </c>
      <c r="T42">
        <v>0</v>
      </c>
      <c r="U42" t="s">
        <v>31</v>
      </c>
      <c r="V42">
        <v>0</v>
      </c>
    </row>
    <row r="43" spans="1:22" x14ac:dyDescent="0.25">
      <c r="A43" t="s">
        <v>133</v>
      </c>
      <c r="B43" t="s">
        <v>33</v>
      </c>
      <c r="C43" t="s">
        <v>34</v>
      </c>
      <c r="D43" t="s">
        <v>35</v>
      </c>
      <c r="E43" t="s">
        <v>45</v>
      </c>
      <c r="F43" t="s">
        <v>27</v>
      </c>
      <c r="G43" s="1">
        <v>46099</v>
      </c>
      <c r="H43" s="1">
        <v>46159</v>
      </c>
      <c r="I43">
        <v>60</v>
      </c>
      <c r="J43">
        <v>10248.040000000001</v>
      </c>
      <c r="K43">
        <v>0</v>
      </c>
      <c r="L43">
        <v>10248.040000000001</v>
      </c>
      <c r="N43" t="s">
        <v>93</v>
      </c>
      <c r="O43" t="s">
        <v>36</v>
      </c>
      <c r="S43" t="s">
        <v>30</v>
      </c>
      <c r="T43">
        <v>0.01</v>
      </c>
      <c r="U43" t="s">
        <v>31</v>
      </c>
      <c r="V43">
        <v>0</v>
      </c>
    </row>
    <row r="44" spans="1:22" x14ac:dyDescent="0.25">
      <c r="A44" t="s">
        <v>134</v>
      </c>
      <c r="B44" t="s">
        <v>109</v>
      </c>
      <c r="C44" t="s">
        <v>110</v>
      </c>
      <c r="D44" t="s">
        <v>49</v>
      </c>
      <c r="E44" t="s">
        <v>68</v>
      </c>
      <c r="F44" t="s">
        <v>50</v>
      </c>
      <c r="G44" s="1">
        <v>45992</v>
      </c>
      <c r="H44" s="1">
        <v>46052</v>
      </c>
      <c r="I44">
        <v>60</v>
      </c>
      <c r="J44">
        <v>21315.22</v>
      </c>
      <c r="K44">
        <v>21315.22</v>
      </c>
      <c r="L44">
        <v>0</v>
      </c>
      <c r="M44" s="1">
        <v>46049</v>
      </c>
      <c r="N44" t="s">
        <v>28</v>
      </c>
      <c r="O44" t="s">
        <v>29</v>
      </c>
      <c r="P44">
        <v>57</v>
      </c>
      <c r="Q44">
        <v>3</v>
      </c>
      <c r="R44" t="s">
        <v>30</v>
      </c>
      <c r="S44" t="s">
        <v>30</v>
      </c>
      <c r="T44">
        <v>0.01</v>
      </c>
      <c r="U44" t="s">
        <v>31</v>
      </c>
      <c r="V44">
        <v>0</v>
      </c>
    </row>
    <row r="45" spans="1:22" x14ac:dyDescent="0.25">
      <c r="A45" t="s">
        <v>135</v>
      </c>
      <c r="B45" t="s">
        <v>38</v>
      </c>
      <c r="C45" t="s">
        <v>39</v>
      </c>
      <c r="D45" t="s">
        <v>35</v>
      </c>
      <c r="E45" t="s">
        <v>45</v>
      </c>
      <c r="F45" t="s">
        <v>64</v>
      </c>
      <c r="G45" s="1">
        <v>45658</v>
      </c>
      <c r="H45" s="1">
        <v>45718</v>
      </c>
      <c r="I45">
        <v>60</v>
      </c>
      <c r="J45">
        <v>27790.62</v>
      </c>
      <c r="K45">
        <v>16766.939999999999</v>
      </c>
      <c r="L45">
        <v>11023.68</v>
      </c>
      <c r="M45" s="1">
        <v>45723</v>
      </c>
      <c r="N45" t="s">
        <v>98</v>
      </c>
      <c r="O45" t="s">
        <v>29</v>
      </c>
      <c r="P45">
        <v>65</v>
      </c>
      <c r="Q45">
        <v>-5</v>
      </c>
      <c r="R45" t="s">
        <v>31</v>
      </c>
      <c r="S45" t="s">
        <v>30</v>
      </c>
      <c r="T45">
        <v>0.01</v>
      </c>
      <c r="U45" t="s">
        <v>31</v>
      </c>
      <c r="V45">
        <v>0</v>
      </c>
    </row>
    <row r="46" spans="1:22" x14ac:dyDescent="0.25">
      <c r="A46" t="s">
        <v>136</v>
      </c>
      <c r="B46" t="s">
        <v>113</v>
      </c>
      <c r="C46" t="s">
        <v>114</v>
      </c>
      <c r="D46" t="s">
        <v>25</v>
      </c>
      <c r="E46" t="s">
        <v>45</v>
      </c>
      <c r="F46" t="s">
        <v>41</v>
      </c>
      <c r="G46" s="1">
        <v>45831</v>
      </c>
      <c r="H46" s="1">
        <v>45921</v>
      </c>
      <c r="I46">
        <v>90</v>
      </c>
      <c r="J46">
        <v>13518.16</v>
      </c>
      <c r="K46">
        <v>13518.16</v>
      </c>
      <c r="L46">
        <v>0</v>
      </c>
      <c r="M46" s="1">
        <v>45919</v>
      </c>
      <c r="N46" t="s">
        <v>28</v>
      </c>
      <c r="O46" t="s">
        <v>36</v>
      </c>
      <c r="P46">
        <v>88</v>
      </c>
      <c r="Q46">
        <v>2</v>
      </c>
      <c r="R46" t="s">
        <v>30</v>
      </c>
      <c r="S46" t="s">
        <v>30</v>
      </c>
      <c r="T46">
        <v>5.0000000000000001E-3</v>
      </c>
      <c r="U46" t="s">
        <v>31</v>
      </c>
      <c r="V46">
        <v>0</v>
      </c>
    </row>
    <row r="47" spans="1:22" x14ac:dyDescent="0.25">
      <c r="A47" t="s">
        <v>137</v>
      </c>
      <c r="B47" t="s">
        <v>85</v>
      </c>
      <c r="C47" t="s">
        <v>86</v>
      </c>
      <c r="D47" t="s">
        <v>25</v>
      </c>
      <c r="E47" t="s">
        <v>40</v>
      </c>
      <c r="F47" t="s">
        <v>92</v>
      </c>
      <c r="G47" s="1">
        <v>45808</v>
      </c>
      <c r="H47" s="1">
        <v>45838</v>
      </c>
      <c r="I47">
        <v>30</v>
      </c>
      <c r="J47">
        <v>1464.08</v>
      </c>
      <c r="K47">
        <v>1464.08</v>
      </c>
      <c r="L47">
        <v>0</v>
      </c>
      <c r="M47" s="1">
        <v>45836</v>
      </c>
      <c r="N47" t="s">
        <v>28</v>
      </c>
      <c r="O47" t="s">
        <v>36</v>
      </c>
      <c r="P47">
        <v>28</v>
      </c>
      <c r="Q47">
        <v>2</v>
      </c>
      <c r="R47" t="s">
        <v>30</v>
      </c>
      <c r="S47" t="s">
        <v>30</v>
      </c>
      <c r="T47">
        <v>0.01</v>
      </c>
      <c r="U47" t="s">
        <v>31</v>
      </c>
      <c r="V47">
        <v>0</v>
      </c>
    </row>
    <row r="48" spans="1:22" x14ac:dyDescent="0.25">
      <c r="A48" t="s">
        <v>138</v>
      </c>
      <c r="B48" t="s">
        <v>85</v>
      </c>
      <c r="C48" t="s">
        <v>86</v>
      </c>
      <c r="D48" t="s">
        <v>25</v>
      </c>
      <c r="E48" t="s">
        <v>26</v>
      </c>
      <c r="F48" t="s">
        <v>41</v>
      </c>
      <c r="G48" s="1">
        <v>46051</v>
      </c>
      <c r="H48" s="1">
        <v>46081</v>
      </c>
      <c r="I48">
        <v>30</v>
      </c>
      <c r="J48">
        <v>10393.17</v>
      </c>
      <c r="K48">
        <v>10393.17</v>
      </c>
      <c r="L48">
        <v>0</v>
      </c>
      <c r="M48" s="1">
        <v>46094</v>
      </c>
      <c r="N48" t="s">
        <v>28</v>
      </c>
      <c r="O48" t="s">
        <v>69</v>
      </c>
      <c r="P48">
        <v>43</v>
      </c>
      <c r="Q48">
        <v>-13</v>
      </c>
      <c r="R48" t="s">
        <v>31</v>
      </c>
      <c r="S48" t="s">
        <v>30</v>
      </c>
      <c r="T48">
        <v>0.01</v>
      </c>
      <c r="U48" t="s">
        <v>31</v>
      </c>
      <c r="V48">
        <v>0</v>
      </c>
    </row>
    <row r="49" spans="1:22" x14ac:dyDescent="0.25">
      <c r="A49" t="s">
        <v>139</v>
      </c>
      <c r="B49" t="s">
        <v>85</v>
      </c>
      <c r="C49" t="s">
        <v>86</v>
      </c>
      <c r="D49" t="s">
        <v>25</v>
      </c>
      <c r="E49" t="s">
        <v>26</v>
      </c>
      <c r="F49" t="s">
        <v>41</v>
      </c>
      <c r="G49" s="1">
        <v>46133</v>
      </c>
      <c r="H49" s="1">
        <v>46163</v>
      </c>
      <c r="I49">
        <v>30</v>
      </c>
      <c r="J49">
        <v>1954.15</v>
      </c>
      <c r="K49">
        <v>1369.29</v>
      </c>
      <c r="L49">
        <v>584.86</v>
      </c>
      <c r="M49" s="1">
        <v>46173</v>
      </c>
      <c r="N49" t="s">
        <v>98</v>
      </c>
      <c r="O49" t="s">
        <v>36</v>
      </c>
      <c r="P49">
        <v>40</v>
      </c>
      <c r="Q49">
        <v>-10</v>
      </c>
      <c r="R49" t="s">
        <v>31</v>
      </c>
      <c r="S49" t="s">
        <v>30</v>
      </c>
      <c r="T49">
        <v>0.01</v>
      </c>
      <c r="U49" t="s">
        <v>31</v>
      </c>
      <c r="V49">
        <v>0</v>
      </c>
    </row>
    <row r="50" spans="1:22" x14ac:dyDescent="0.25">
      <c r="A50" t="s">
        <v>140</v>
      </c>
      <c r="B50" t="s">
        <v>82</v>
      </c>
      <c r="C50" t="s">
        <v>83</v>
      </c>
      <c r="D50" t="s">
        <v>58</v>
      </c>
      <c r="E50" t="s">
        <v>63</v>
      </c>
      <c r="F50" t="s">
        <v>50</v>
      </c>
      <c r="G50" s="1">
        <v>46094</v>
      </c>
      <c r="H50" s="1">
        <v>46184</v>
      </c>
      <c r="I50">
        <v>90</v>
      </c>
      <c r="J50">
        <v>33731.06</v>
      </c>
      <c r="K50">
        <v>18124.95</v>
      </c>
      <c r="L50">
        <v>15606.11</v>
      </c>
      <c r="M50" s="1">
        <v>46173</v>
      </c>
      <c r="N50" t="s">
        <v>98</v>
      </c>
      <c r="O50" t="s">
        <v>29</v>
      </c>
      <c r="P50">
        <v>79</v>
      </c>
      <c r="Q50">
        <v>11</v>
      </c>
      <c r="R50" t="s">
        <v>30</v>
      </c>
      <c r="S50" t="s">
        <v>30</v>
      </c>
      <c r="T50">
        <v>5.0000000000000001E-3</v>
      </c>
      <c r="U50" t="s">
        <v>31</v>
      </c>
      <c r="V50">
        <v>0</v>
      </c>
    </row>
    <row r="51" spans="1:22" x14ac:dyDescent="0.25">
      <c r="A51" t="s">
        <v>141</v>
      </c>
      <c r="B51" t="s">
        <v>85</v>
      </c>
      <c r="C51" t="s">
        <v>86</v>
      </c>
      <c r="D51" t="s">
        <v>25</v>
      </c>
      <c r="E51" t="s">
        <v>40</v>
      </c>
      <c r="F51" t="s">
        <v>92</v>
      </c>
      <c r="G51" s="1">
        <v>45939</v>
      </c>
      <c r="H51" s="1">
        <v>45969</v>
      </c>
      <c r="I51">
        <v>30</v>
      </c>
      <c r="J51">
        <v>9357.58</v>
      </c>
      <c r="K51">
        <v>9357.58</v>
      </c>
      <c r="L51">
        <v>0</v>
      </c>
      <c r="M51" s="1">
        <v>45969</v>
      </c>
      <c r="N51" t="s">
        <v>28</v>
      </c>
      <c r="O51" t="s">
        <v>69</v>
      </c>
      <c r="P51">
        <v>30</v>
      </c>
      <c r="Q51">
        <v>0</v>
      </c>
      <c r="R51" t="s">
        <v>30</v>
      </c>
      <c r="S51" t="s">
        <v>31</v>
      </c>
      <c r="T51">
        <v>0</v>
      </c>
      <c r="U51" t="s">
        <v>31</v>
      </c>
      <c r="V51">
        <v>0</v>
      </c>
    </row>
    <row r="52" spans="1:22" x14ac:dyDescent="0.25">
      <c r="A52" t="s">
        <v>142</v>
      </c>
      <c r="B52" t="s">
        <v>143</v>
      </c>
      <c r="C52" t="s">
        <v>144</v>
      </c>
      <c r="D52" t="s">
        <v>25</v>
      </c>
      <c r="E52" t="s">
        <v>68</v>
      </c>
      <c r="F52" t="s">
        <v>50</v>
      </c>
      <c r="G52" s="1">
        <v>45812</v>
      </c>
      <c r="H52" s="1">
        <v>45842</v>
      </c>
      <c r="I52">
        <v>30</v>
      </c>
      <c r="J52">
        <v>5393.97</v>
      </c>
      <c r="K52">
        <v>5393.97</v>
      </c>
      <c r="L52">
        <v>0</v>
      </c>
      <c r="M52" s="1">
        <v>45849</v>
      </c>
      <c r="N52" t="s">
        <v>28</v>
      </c>
      <c r="O52" t="s">
        <v>77</v>
      </c>
      <c r="P52">
        <v>37</v>
      </c>
      <c r="Q52">
        <v>-7</v>
      </c>
      <c r="R52" t="s">
        <v>31</v>
      </c>
      <c r="S52" t="s">
        <v>30</v>
      </c>
      <c r="T52">
        <v>0.01</v>
      </c>
      <c r="U52" t="s">
        <v>31</v>
      </c>
      <c r="V52">
        <v>0</v>
      </c>
    </row>
    <row r="53" spans="1:22" x14ac:dyDescent="0.25">
      <c r="A53" t="s">
        <v>145</v>
      </c>
      <c r="B53" t="s">
        <v>79</v>
      </c>
      <c r="C53" t="s">
        <v>80</v>
      </c>
      <c r="D53" t="s">
        <v>49</v>
      </c>
      <c r="E53" t="s">
        <v>45</v>
      </c>
      <c r="F53" t="s">
        <v>41</v>
      </c>
      <c r="G53" s="1">
        <v>46088</v>
      </c>
      <c r="H53" s="1">
        <v>46118</v>
      </c>
      <c r="I53">
        <v>30</v>
      </c>
      <c r="J53">
        <v>20694.89</v>
      </c>
      <c r="K53">
        <v>0</v>
      </c>
      <c r="L53">
        <v>20694.89</v>
      </c>
      <c r="N53" t="s">
        <v>93</v>
      </c>
      <c r="O53" t="s">
        <v>77</v>
      </c>
      <c r="S53" t="s">
        <v>31</v>
      </c>
      <c r="T53">
        <v>0</v>
      </c>
      <c r="U53" t="s">
        <v>31</v>
      </c>
      <c r="V53">
        <v>0</v>
      </c>
    </row>
    <row r="54" spans="1:22" x14ac:dyDescent="0.25">
      <c r="A54" t="s">
        <v>146</v>
      </c>
      <c r="B54" t="s">
        <v>85</v>
      </c>
      <c r="C54" t="s">
        <v>86</v>
      </c>
      <c r="D54" t="s">
        <v>25</v>
      </c>
      <c r="E54" t="s">
        <v>63</v>
      </c>
      <c r="F54" t="s">
        <v>41</v>
      </c>
      <c r="G54" s="1">
        <v>46018</v>
      </c>
      <c r="H54" s="1">
        <v>46033</v>
      </c>
      <c r="I54">
        <v>15</v>
      </c>
      <c r="J54">
        <v>6673.64</v>
      </c>
      <c r="K54">
        <v>4790.7700000000004</v>
      </c>
      <c r="L54">
        <v>1882.87</v>
      </c>
      <c r="M54" s="1">
        <v>46045</v>
      </c>
      <c r="N54" t="s">
        <v>98</v>
      </c>
      <c r="O54" t="s">
        <v>69</v>
      </c>
      <c r="P54">
        <v>27</v>
      </c>
      <c r="Q54">
        <v>-12</v>
      </c>
      <c r="R54" t="s">
        <v>31</v>
      </c>
      <c r="S54" t="s">
        <v>30</v>
      </c>
      <c r="T54">
        <v>0.02</v>
      </c>
      <c r="U54" t="s">
        <v>31</v>
      </c>
      <c r="V54">
        <v>0</v>
      </c>
    </row>
    <row r="55" spans="1:22" x14ac:dyDescent="0.25">
      <c r="A55" t="s">
        <v>147</v>
      </c>
      <c r="B55" t="s">
        <v>71</v>
      </c>
      <c r="C55" t="s">
        <v>72</v>
      </c>
      <c r="D55" t="s">
        <v>73</v>
      </c>
      <c r="E55" t="s">
        <v>63</v>
      </c>
      <c r="F55" t="s">
        <v>50</v>
      </c>
      <c r="G55" s="1">
        <v>45882</v>
      </c>
      <c r="H55" s="1">
        <v>45972</v>
      </c>
      <c r="I55">
        <v>90</v>
      </c>
      <c r="J55">
        <v>11006.87</v>
      </c>
      <c r="K55">
        <v>11006.87</v>
      </c>
      <c r="L55">
        <v>0</v>
      </c>
      <c r="M55" s="1">
        <v>45975</v>
      </c>
      <c r="N55" t="s">
        <v>28</v>
      </c>
      <c r="O55" t="s">
        <v>36</v>
      </c>
      <c r="P55">
        <v>93</v>
      </c>
      <c r="Q55">
        <v>-3</v>
      </c>
      <c r="R55" t="s">
        <v>31</v>
      </c>
      <c r="S55" t="s">
        <v>30</v>
      </c>
      <c r="T55">
        <v>5.0000000000000001E-3</v>
      </c>
      <c r="U55" t="s">
        <v>31</v>
      </c>
      <c r="V55">
        <v>0</v>
      </c>
    </row>
    <row r="56" spans="1:22" x14ac:dyDescent="0.25">
      <c r="A56" t="s">
        <v>148</v>
      </c>
      <c r="B56" t="s">
        <v>56</v>
      </c>
      <c r="C56" t="s">
        <v>57</v>
      </c>
      <c r="D56" t="s">
        <v>58</v>
      </c>
      <c r="E56" t="s">
        <v>45</v>
      </c>
      <c r="F56" t="s">
        <v>64</v>
      </c>
      <c r="G56" s="1">
        <v>45685</v>
      </c>
      <c r="H56" s="1">
        <v>45715</v>
      </c>
      <c r="I56">
        <v>30</v>
      </c>
      <c r="J56">
        <v>36556.370000000003</v>
      </c>
      <c r="K56">
        <v>36556.370000000003</v>
      </c>
      <c r="L56">
        <v>0</v>
      </c>
      <c r="M56" s="1">
        <v>45722</v>
      </c>
      <c r="N56" t="s">
        <v>28</v>
      </c>
      <c r="O56" t="s">
        <v>69</v>
      </c>
      <c r="P56">
        <v>37</v>
      </c>
      <c r="Q56">
        <v>-7</v>
      </c>
      <c r="R56" t="s">
        <v>31</v>
      </c>
      <c r="S56" t="s">
        <v>30</v>
      </c>
      <c r="T56">
        <v>0.01</v>
      </c>
      <c r="U56" t="s">
        <v>31</v>
      </c>
      <c r="V56">
        <v>0</v>
      </c>
    </row>
    <row r="57" spans="1:22" x14ac:dyDescent="0.25">
      <c r="A57" t="s">
        <v>149</v>
      </c>
      <c r="B57" t="s">
        <v>113</v>
      </c>
      <c r="C57" t="s">
        <v>114</v>
      </c>
      <c r="D57" t="s">
        <v>25</v>
      </c>
      <c r="E57" t="s">
        <v>40</v>
      </c>
      <c r="F57" t="s">
        <v>27</v>
      </c>
      <c r="G57" s="1">
        <v>45993</v>
      </c>
      <c r="H57" s="1">
        <v>46053</v>
      </c>
      <c r="I57">
        <v>60</v>
      </c>
      <c r="J57">
        <v>5021.55</v>
      </c>
      <c r="K57">
        <v>5021.55</v>
      </c>
      <c r="L57">
        <v>0</v>
      </c>
      <c r="M57" s="1">
        <v>46057</v>
      </c>
      <c r="N57" t="s">
        <v>28</v>
      </c>
      <c r="O57" t="s">
        <v>29</v>
      </c>
      <c r="P57">
        <v>64</v>
      </c>
      <c r="Q57">
        <v>-4</v>
      </c>
      <c r="R57" t="s">
        <v>31</v>
      </c>
      <c r="S57" t="s">
        <v>30</v>
      </c>
      <c r="T57">
        <v>0.01</v>
      </c>
      <c r="U57" t="s">
        <v>31</v>
      </c>
      <c r="V57">
        <v>0</v>
      </c>
    </row>
    <row r="58" spans="1:22" x14ac:dyDescent="0.25">
      <c r="A58" t="s">
        <v>150</v>
      </c>
      <c r="B58" t="s">
        <v>47</v>
      </c>
      <c r="C58" t="s">
        <v>48</v>
      </c>
      <c r="D58" t="s">
        <v>49</v>
      </c>
      <c r="E58" t="s">
        <v>68</v>
      </c>
      <c r="F58" t="s">
        <v>41</v>
      </c>
      <c r="G58" s="1">
        <v>46139</v>
      </c>
      <c r="H58" s="1">
        <v>46169</v>
      </c>
      <c r="I58">
        <v>30</v>
      </c>
      <c r="J58">
        <v>2930.4</v>
      </c>
      <c r="K58">
        <v>0</v>
      </c>
      <c r="L58">
        <v>2930.4</v>
      </c>
      <c r="N58" t="s">
        <v>93</v>
      </c>
      <c r="O58" t="s">
        <v>29</v>
      </c>
      <c r="S58" t="s">
        <v>30</v>
      </c>
      <c r="T58">
        <v>0.01</v>
      </c>
      <c r="U58" t="s">
        <v>31</v>
      </c>
      <c r="V58">
        <v>0</v>
      </c>
    </row>
    <row r="59" spans="1:22" x14ac:dyDescent="0.25">
      <c r="A59" t="s">
        <v>151</v>
      </c>
      <c r="B59" t="s">
        <v>23</v>
      </c>
      <c r="C59" t="s">
        <v>24</v>
      </c>
      <c r="D59" t="s">
        <v>25</v>
      </c>
      <c r="E59" t="s">
        <v>26</v>
      </c>
      <c r="F59" t="s">
        <v>27</v>
      </c>
      <c r="G59" s="1">
        <v>45862</v>
      </c>
      <c r="H59" s="1">
        <v>45892</v>
      </c>
      <c r="I59">
        <v>30</v>
      </c>
      <c r="J59">
        <v>16945.349999999999</v>
      </c>
      <c r="K59">
        <v>16945.349999999999</v>
      </c>
      <c r="L59">
        <v>0</v>
      </c>
      <c r="M59" s="1">
        <v>45889</v>
      </c>
      <c r="N59" t="s">
        <v>28</v>
      </c>
      <c r="O59" t="s">
        <v>77</v>
      </c>
      <c r="P59">
        <v>27</v>
      </c>
      <c r="Q59">
        <v>3</v>
      </c>
      <c r="R59" t="s">
        <v>30</v>
      </c>
      <c r="S59" t="s">
        <v>30</v>
      </c>
      <c r="T59">
        <v>0.01</v>
      </c>
      <c r="U59" t="s">
        <v>31</v>
      </c>
      <c r="V59">
        <v>0</v>
      </c>
    </row>
    <row r="60" spans="1:22" x14ac:dyDescent="0.25">
      <c r="A60" t="s">
        <v>152</v>
      </c>
      <c r="B60" t="s">
        <v>153</v>
      </c>
      <c r="C60" t="s">
        <v>154</v>
      </c>
      <c r="D60" t="s">
        <v>58</v>
      </c>
      <c r="E60" t="s">
        <v>45</v>
      </c>
      <c r="F60" t="s">
        <v>92</v>
      </c>
      <c r="G60" s="1">
        <v>45775</v>
      </c>
      <c r="H60" s="1">
        <v>45805</v>
      </c>
      <c r="I60">
        <v>30</v>
      </c>
      <c r="J60">
        <v>31778.3</v>
      </c>
      <c r="K60">
        <v>31778.3</v>
      </c>
      <c r="L60">
        <v>0</v>
      </c>
      <c r="M60" s="1">
        <v>45805</v>
      </c>
      <c r="N60" t="s">
        <v>28</v>
      </c>
      <c r="O60" t="s">
        <v>29</v>
      </c>
      <c r="P60">
        <v>30</v>
      </c>
      <c r="Q60">
        <v>0</v>
      </c>
      <c r="R60" t="s">
        <v>30</v>
      </c>
      <c r="S60" t="s">
        <v>30</v>
      </c>
      <c r="T60">
        <v>0.01</v>
      </c>
      <c r="U60" t="s">
        <v>31</v>
      </c>
      <c r="V60">
        <v>0</v>
      </c>
    </row>
    <row r="61" spans="1:22" x14ac:dyDescent="0.25">
      <c r="A61" t="s">
        <v>155</v>
      </c>
      <c r="B61" t="s">
        <v>66</v>
      </c>
      <c r="C61" t="s">
        <v>67</v>
      </c>
      <c r="D61" t="s">
        <v>35</v>
      </c>
      <c r="E61" t="s">
        <v>26</v>
      </c>
      <c r="F61" t="s">
        <v>92</v>
      </c>
      <c r="G61" s="1">
        <v>45861</v>
      </c>
      <c r="H61" s="1">
        <v>45921</v>
      </c>
      <c r="I61">
        <v>60</v>
      </c>
      <c r="J61">
        <v>10699.74</v>
      </c>
      <c r="K61">
        <v>10699.74</v>
      </c>
      <c r="L61">
        <v>0</v>
      </c>
      <c r="M61" s="1">
        <v>45932</v>
      </c>
      <c r="N61" t="s">
        <v>28</v>
      </c>
      <c r="O61" t="s">
        <v>69</v>
      </c>
      <c r="P61">
        <v>71</v>
      </c>
      <c r="Q61">
        <v>-11</v>
      </c>
      <c r="R61" t="s">
        <v>31</v>
      </c>
      <c r="S61" t="s">
        <v>30</v>
      </c>
      <c r="T61">
        <v>0.01</v>
      </c>
      <c r="U61" t="s">
        <v>31</v>
      </c>
      <c r="V61">
        <v>0</v>
      </c>
    </row>
    <row r="62" spans="1:22" x14ac:dyDescent="0.25">
      <c r="A62" t="s">
        <v>156</v>
      </c>
      <c r="B62" t="s">
        <v>56</v>
      </c>
      <c r="C62" t="s">
        <v>57</v>
      </c>
      <c r="D62" t="s">
        <v>58</v>
      </c>
      <c r="E62" t="s">
        <v>63</v>
      </c>
      <c r="F62" t="s">
        <v>27</v>
      </c>
      <c r="G62" s="1">
        <v>46096</v>
      </c>
      <c r="H62" s="1">
        <v>46156</v>
      </c>
      <c r="I62">
        <v>60</v>
      </c>
      <c r="J62">
        <v>27476.29</v>
      </c>
      <c r="K62">
        <v>0</v>
      </c>
      <c r="L62">
        <v>27476.29</v>
      </c>
      <c r="N62" t="s">
        <v>93</v>
      </c>
      <c r="O62" t="s">
        <v>77</v>
      </c>
      <c r="S62" t="s">
        <v>30</v>
      </c>
      <c r="T62">
        <v>0.01</v>
      </c>
      <c r="U62" t="s">
        <v>31</v>
      </c>
      <c r="V62">
        <v>0</v>
      </c>
    </row>
    <row r="63" spans="1:22" x14ac:dyDescent="0.25">
      <c r="A63" t="s">
        <v>157</v>
      </c>
      <c r="B63" t="s">
        <v>38</v>
      </c>
      <c r="C63" t="s">
        <v>39</v>
      </c>
      <c r="D63" t="s">
        <v>35</v>
      </c>
      <c r="E63" t="s">
        <v>45</v>
      </c>
      <c r="F63" t="s">
        <v>27</v>
      </c>
      <c r="G63" s="1">
        <v>46128</v>
      </c>
      <c r="H63" s="1">
        <v>46188</v>
      </c>
      <c r="I63">
        <v>60</v>
      </c>
      <c r="J63">
        <v>58048.15</v>
      </c>
      <c r="K63">
        <v>58048.15</v>
      </c>
      <c r="L63">
        <v>0</v>
      </c>
      <c r="M63" s="1">
        <v>46173</v>
      </c>
      <c r="N63" t="s">
        <v>28</v>
      </c>
      <c r="O63" t="s">
        <v>69</v>
      </c>
      <c r="P63">
        <v>45</v>
      </c>
      <c r="Q63">
        <v>15</v>
      </c>
      <c r="R63" t="s">
        <v>30</v>
      </c>
      <c r="S63" t="s">
        <v>30</v>
      </c>
      <c r="T63">
        <v>0.01</v>
      </c>
      <c r="U63" t="s">
        <v>31</v>
      </c>
      <c r="V63">
        <v>0</v>
      </c>
    </row>
    <row r="64" spans="1:22" x14ac:dyDescent="0.25">
      <c r="A64" t="s">
        <v>158</v>
      </c>
      <c r="B64" t="s">
        <v>131</v>
      </c>
      <c r="C64" t="s">
        <v>132</v>
      </c>
      <c r="D64" t="s">
        <v>49</v>
      </c>
      <c r="E64" t="s">
        <v>63</v>
      </c>
      <c r="F64" t="s">
        <v>50</v>
      </c>
      <c r="G64" s="1">
        <v>46104</v>
      </c>
      <c r="H64" s="1">
        <v>46194</v>
      </c>
      <c r="I64">
        <v>90</v>
      </c>
      <c r="J64">
        <v>41635.26</v>
      </c>
      <c r="K64">
        <v>0</v>
      </c>
      <c r="L64">
        <v>41635.26</v>
      </c>
      <c r="N64" t="s">
        <v>93</v>
      </c>
      <c r="O64" t="s">
        <v>69</v>
      </c>
      <c r="S64" t="s">
        <v>30</v>
      </c>
      <c r="T64">
        <v>5.0000000000000001E-3</v>
      </c>
      <c r="U64" t="s">
        <v>31</v>
      </c>
      <c r="V64">
        <v>0</v>
      </c>
    </row>
    <row r="65" spans="1:22" x14ac:dyDescent="0.25">
      <c r="A65" t="s">
        <v>159</v>
      </c>
      <c r="B65" t="s">
        <v>43</v>
      </c>
      <c r="C65" t="s">
        <v>44</v>
      </c>
      <c r="D65" t="s">
        <v>25</v>
      </c>
      <c r="E65" t="s">
        <v>68</v>
      </c>
      <c r="F65" t="s">
        <v>41</v>
      </c>
      <c r="G65" s="1">
        <v>46046</v>
      </c>
      <c r="H65" s="1">
        <v>46136</v>
      </c>
      <c r="I65">
        <v>90</v>
      </c>
      <c r="J65">
        <v>7391.54</v>
      </c>
      <c r="K65">
        <v>7391.54</v>
      </c>
      <c r="L65">
        <v>0</v>
      </c>
      <c r="M65" s="1">
        <v>46133</v>
      </c>
      <c r="N65" t="s">
        <v>28</v>
      </c>
      <c r="O65" t="s">
        <v>36</v>
      </c>
      <c r="P65">
        <v>87</v>
      </c>
      <c r="Q65">
        <v>3</v>
      </c>
      <c r="R65" t="s">
        <v>30</v>
      </c>
      <c r="S65" t="s">
        <v>30</v>
      </c>
      <c r="T65">
        <v>5.0000000000000001E-3</v>
      </c>
      <c r="U65" t="s">
        <v>31</v>
      </c>
      <c r="V65">
        <v>0</v>
      </c>
    </row>
    <row r="66" spans="1:22" x14ac:dyDescent="0.25">
      <c r="A66" t="s">
        <v>160</v>
      </c>
      <c r="B66" t="s">
        <v>131</v>
      </c>
      <c r="C66" t="s">
        <v>132</v>
      </c>
      <c r="D66" t="s">
        <v>49</v>
      </c>
      <c r="E66" t="s">
        <v>63</v>
      </c>
      <c r="F66" t="s">
        <v>92</v>
      </c>
      <c r="G66" s="1">
        <v>45745</v>
      </c>
      <c r="H66" s="1">
        <v>45775</v>
      </c>
      <c r="I66">
        <v>30</v>
      </c>
      <c r="J66">
        <v>13585.09</v>
      </c>
      <c r="K66">
        <v>13585.09</v>
      </c>
      <c r="L66">
        <v>0</v>
      </c>
      <c r="M66" s="1">
        <v>45779</v>
      </c>
      <c r="N66" t="s">
        <v>28</v>
      </c>
      <c r="O66" t="s">
        <v>77</v>
      </c>
      <c r="P66">
        <v>34</v>
      </c>
      <c r="Q66">
        <v>-4</v>
      </c>
      <c r="R66" t="s">
        <v>31</v>
      </c>
      <c r="S66" t="s">
        <v>30</v>
      </c>
      <c r="T66">
        <v>0.01</v>
      </c>
      <c r="U66" t="s">
        <v>31</v>
      </c>
      <c r="V66">
        <v>0</v>
      </c>
    </row>
    <row r="67" spans="1:22" x14ac:dyDescent="0.25">
      <c r="A67" t="s">
        <v>161</v>
      </c>
      <c r="B67" t="s">
        <v>52</v>
      </c>
      <c r="C67" t="s">
        <v>53</v>
      </c>
      <c r="D67" t="s">
        <v>54</v>
      </c>
      <c r="E67" t="s">
        <v>45</v>
      </c>
      <c r="F67" t="s">
        <v>41</v>
      </c>
      <c r="G67" s="1">
        <v>45753</v>
      </c>
      <c r="H67" s="1">
        <v>45768</v>
      </c>
      <c r="I67">
        <v>15</v>
      </c>
      <c r="J67">
        <v>4766.42</v>
      </c>
      <c r="K67">
        <v>4766.42</v>
      </c>
      <c r="L67">
        <v>0</v>
      </c>
      <c r="M67" s="1">
        <v>45765</v>
      </c>
      <c r="N67" t="s">
        <v>28</v>
      </c>
      <c r="O67" t="s">
        <v>69</v>
      </c>
      <c r="P67">
        <v>12</v>
      </c>
      <c r="Q67">
        <v>3</v>
      </c>
      <c r="R67" t="s">
        <v>30</v>
      </c>
      <c r="S67" t="s">
        <v>30</v>
      </c>
      <c r="T67">
        <v>0.02</v>
      </c>
      <c r="U67" t="s">
        <v>31</v>
      </c>
      <c r="V67">
        <v>0</v>
      </c>
    </row>
    <row r="68" spans="1:22" x14ac:dyDescent="0.25">
      <c r="A68" t="s">
        <v>162</v>
      </c>
      <c r="B68" t="s">
        <v>79</v>
      </c>
      <c r="C68" t="s">
        <v>80</v>
      </c>
      <c r="D68" t="s">
        <v>49</v>
      </c>
      <c r="E68" t="s">
        <v>63</v>
      </c>
      <c r="F68" t="s">
        <v>92</v>
      </c>
      <c r="G68" s="1">
        <v>46018</v>
      </c>
      <c r="H68" s="1">
        <v>46078</v>
      </c>
      <c r="I68">
        <v>60</v>
      </c>
      <c r="J68">
        <v>35737.040000000001</v>
      </c>
      <c r="K68">
        <v>35737.040000000001</v>
      </c>
      <c r="L68">
        <v>0</v>
      </c>
      <c r="M68" s="1">
        <v>46072</v>
      </c>
      <c r="N68" t="s">
        <v>28</v>
      </c>
      <c r="O68" t="s">
        <v>69</v>
      </c>
      <c r="P68">
        <v>54</v>
      </c>
      <c r="Q68">
        <v>6</v>
      </c>
      <c r="R68" t="s">
        <v>30</v>
      </c>
      <c r="S68" t="s">
        <v>30</v>
      </c>
      <c r="T68">
        <v>0.01</v>
      </c>
      <c r="U68" t="s">
        <v>31</v>
      </c>
      <c r="V68">
        <v>0</v>
      </c>
    </row>
    <row r="69" spans="1:22" x14ac:dyDescent="0.25">
      <c r="A69" t="s">
        <v>163</v>
      </c>
      <c r="B69" t="s">
        <v>109</v>
      </c>
      <c r="C69" t="s">
        <v>110</v>
      </c>
      <c r="D69" t="s">
        <v>49</v>
      </c>
      <c r="E69" t="s">
        <v>40</v>
      </c>
      <c r="F69" t="s">
        <v>92</v>
      </c>
      <c r="G69" s="1">
        <v>45854</v>
      </c>
      <c r="H69" s="1">
        <v>45884</v>
      </c>
      <c r="I69">
        <v>30</v>
      </c>
      <c r="J69">
        <v>12386.46</v>
      </c>
      <c r="K69">
        <v>12386.46</v>
      </c>
      <c r="L69">
        <v>0</v>
      </c>
      <c r="M69" s="1">
        <v>45893</v>
      </c>
      <c r="N69" t="s">
        <v>28</v>
      </c>
      <c r="O69" t="s">
        <v>77</v>
      </c>
      <c r="P69">
        <v>39</v>
      </c>
      <c r="Q69">
        <v>-9</v>
      </c>
      <c r="R69" t="s">
        <v>31</v>
      </c>
      <c r="S69" t="s">
        <v>30</v>
      </c>
      <c r="T69">
        <v>0.01</v>
      </c>
      <c r="U69" t="s">
        <v>31</v>
      </c>
      <c r="V69">
        <v>0</v>
      </c>
    </row>
    <row r="70" spans="1:22" x14ac:dyDescent="0.25">
      <c r="A70" t="s">
        <v>164</v>
      </c>
      <c r="B70" t="s">
        <v>88</v>
      </c>
      <c r="C70" t="s">
        <v>89</v>
      </c>
      <c r="D70" t="s">
        <v>35</v>
      </c>
      <c r="E70" t="s">
        <v>26</v>
      </c>
      <c r="F70" t="s">
        <v>64</v>
      </c>
      <c r="G70" s="1">
        <v>46027</v>
      </c>
      <c r="H70" s="1">
        <v>46057</v>
      </c>
      <c r="I70">
        <v>30</v>
      </c>
      <c r="J70">
        <v>18458.12</v>
      </c>
      <c r="K70">
        <v>18458.12</v>
      </c>
      <c r="L70">
        <v>0</v>
      </c>
      <c r="M70" s="1">
        <v>46056</v>
      </c>
      <c r="N70" t="s">
        <v>28</v>
      </c>
      <c r="O70" t="s">
        <v>29</v>
      </c>
      <c r="P70">
        <v>29</v>
      </c>
      <c r="Q70">
        <v>1</v>
      </c>
      <c r="R70" t="s">
        <v>30</v>
      </c>
      <c r="S70" t="s">
        <v>30</v>
      </c>
      <c r="T70">
        <v>0.01</v>
      </c>
      <c r="U70" t="s">
        <v>31</v>
      </c>
      <c r="V70">
        <v>0</v>
      </c>
    </row>
    <row r="71" spans="1:22" x14ac:dyDescent="0.25">
      <c r="A71" t="s">
        <v>165</v>
      </c>
      <c r="B71" t="s">
        <v>131</v>
      </c>
      <c r="C71" t="s">
        <v>132</v>
      </c>
      <c r="D71" t="s">
        <v>49</v>
      </c>
      <c r="E71" t="s">
        <v>26</v>
      </c>
      <c r="F71" t="s">
        <v>27</v>
      </c>
      <c r="G71" s="1">
        <v>46160</v>
      </c>
      <c r="H71" s="1">
        <v>46190</v>
      </c>
      <c r="I71">
        <v>30</v>
      </c>
      <c r="J71">
        <v>6924.21</v>
      </c>
      <c r="K71">
        <v>6924.21</v>
      </c>
      <c r="L71">
        <v>0</v>
      </c>
      <c r="M71" s="1">
        <v>46173</v>
      </c>
      <c r="N71" t="s">
        <v>28</v>
      </c>
      <c r="O71" t="s">
        <v>29</v>
      </c>
      <c r="P71">
        <v>13</v>
      </c>
      <c r="Q71">
        <v>17</v>
      </c>
      <c r="R71" t="s">
        <v>30</v>
      </c>
      <c r="S71" t="s">
        <v>30</v>
      </c>
      <c r="T71">
        <v>0.01</v>
      </c>
      <c r="U71" t="s">
        <v>31</v>
      </c>
      <c r="V71">
        <v>0</v>
      </c>
    </row>
    <row r="72" spans="1:22" x14ac:dyDescent="0.25">
      <c r="A72" t="s">
        <v>166</v>
      </c>
      <c r="B72" t="s">
        <v>131</v>
      </c>
      <c r="C72" t="s">
        <v>132</v>
      </c>
      <c r="D72" t="s">
        <v>49</v>
      </c>
      <c r="E72" t="s">
        <v>45</v>
      </c>
      <c r="F72" t="s">
        <v>27</v>
      </c>
      <c r="G72" s="1">
        <v>46161</v>
      </c>
      <c r="H72" s="1">
        <v>46221</v>
      </c>
      <c r="I72">
        <v>60</v>
      </c>
      <c r="J72">
        <v>5555.94</v>
      </c>
      <c r="K72">
        <v>0</v>
      </c>
      <c r="L72">
        <v>5555.94</v>
      </c>
      <c r="N72" t="s">
        <v>93</v>
      </c>
      <c r="O72" t="s">
        <v>77</v>
      </c>
      <c r="S72" t="s">
        <v>30</v>
      </c>
      <c r="T72">
        <v>0.01</v>
      </c>
      <c r="U72" t="s">
        <v>31</v>
      </c>
      <c r="V72">
        <v>0</v>
      </c>
    </row>
    <row r="73" spans="1:22" x14ac:dyDescent="0.25">
      <c r="A73" t="s">
        <v>167</v>
      </c>
      <c r="B73" t="s">
        <v>66</v>
      </c>
      <c r="C73" t="s">
        <v>67</v>
      </c>
      <c r="D73" t="s">
        <v>35</v>
      </c>
      <c r="E73" t="s">
        <v>68</v>
      </c>
      <c r="F73" t="s">
        <v>27</v>
      </c>
      <c r="G73" s="1">
        <v>46084</v>
      </c>
      <c r="H73" s="1">
        <v>46114</v>
      </c>
      <c r="I73">
        <v>30</v>
      </c>
      <c r="J73">
        <v>50473.82</v>
      </c>
      <c r="K73">
        <v>50473.82</v>
      </c>
      <c r="L73">
        <v>0</v>
      </c>
      <c r="M73" s="1">
        <v>46131</v>
      </c>
      <c r="N73" t="s">
        <v>28</v>
      </c>
      <c r="O73" t="s">
        <v>36</v>
      </c>
      <c r="P73">
        <v>47</v>
      </c>
      <c r="Q73">
        <v>-17</v>
      </c>
      <c r="R73" t="s">
        <v>31</v>
      </c>
      <c r="S73" t="s">
        <v>31</v>
      </c>
      <c r="T73">
        <v>0</v>
      </c>
      <c r="U73" t="s">
        <v>31</v>
      </c>
      <c r="V73">
        <v>0</v>
      </c>
    </row>
    <row r="74" spans="1:22" x14ac:dyDescent="0.25">
      <c r="A74" t="s">
        <v>168</v>
      </c>
      <c r="B74" t="s">
        <v>113</v>
      </c>
      <c r="C74" t="s">
        <v>114</v>
      </c>
      <c r="D74" t="s">
        <v>25</v>
      </c>
      <c r="E74" t="s">
        <v>45</v>
      </c>
      <c r="F74" t="s">
        <v>92</v>
      </c>
      <c r="G74" s="1">
        <v>45719</v>
      </c>
      <c r="H74" s="1">
        <v>45764</v>
      </c>
      <c r="I74">
        <v>45</v>
      </c>
      <c r="J74">
        <v>12582.99</v>
      </c>
      <c r="K74">
        <v>0</v>
      </c>
      <c r="L74">
        <v>12582.99</v>
      </c>
      <c r="N74" t="s">
        <v>59</v>
      </c>
      <c r="O74" t="s">
        <v>69</v>
      </c>
      <c r="Q74">
        <v>-409</v>
      </c>
      <c r="R74" t="s">
        <v>31</v>
      </c>
      <c r="S74" t="s">
        <v>31</v>
      </c>
      <c r="T74">
        <v>0</v>
      </c>
      <c r="U74" t="s">
        <v>31</v>
      </c>
      <c r="V74">
        <v>0</v>
      </c>
    </row>
    <row r="75" spans="1:22" x14ac:dyDescent="0.25">
      <c r="A75" t="s">
        <v>169</v>
      </c>
      <c r="B75" t="s">
        <v>153</v>
      </c>
      <c r="C75" t="s">
        <v>154</v>
      </c>
      <c r="D75" t="s">
        <v>58</v>
      </c>
      <c r="E75" t="s">
        <v>40</v>
      </c>
      <c r="F75" t="s">
        <v>92</v>
      </c>
      <c r="G75" s="1">
        <v>45903</v>
      </c>
      <c r="H75" s="1">
        <v>45933</v>
      </c>
      <c r="I75">
        <v>30</v>
      </c>
      <c r="J75">
        <v>9431.1</v>
      </c>
      <c r="K75">
        <v>9431.1</v>
      </c>
      <c r="L75">
        <v>0</v>
      </c>
      <c r="M75" s="1">
        <v>45923</v>
      </c>
      <c r="N75" t="s">
        <v>28</v>
      </c>
      <c r="O75" t="s">
        <v>77</v>
      </c>
      <c r="P75">
        <v>20</v>
      </c>
      <c r="Q75">
        <v>10</v>
      </c>
      <c r="R75" t="s">
        <v>30</v>
      </c>
      <c r="S75" t="s">
        <v>30</v>
      </c>
      <c r="T75">
        <v>0.01</v>
      </c>
      <c r="U75" t="s">
        <v>31</v>
      </c>
      <c r="V75">
        <v>0</v>
      </c>
    </row>
    <row r="76" spans="1:22" x14ac:dyDescent="0.25">
      <c r="A76" t="s">
        <v>170</v>
      </c>
      <c r="B76" t="s">
        <v>88</v>
      </c>
      <c r="C76" t="s">
        <v>89</v>
      </c>
      <c r="D76" t="s">
        <v>35</v>
      </c>
      <c r="E76" t="s">
        <v>26</v>
      </c>
      <c r="F76" t="s">
        <v>64</v>
      </c>
      <c r="G76" s="1">
        <v>46122</v>
      </c>
      <c r="H76" s="1">
        <v>46167</v>
      </c>
      <c r="I76">
        <v>45</v>
      </c>
      <c r="J76">
        <v>10338.48</v>
      </c>
      <c r="K76">
        <v>10338.48</v>
      </c>
      <c r="L76">
        <v>0</v>
      </c>
      <c r="M76" s="1">
        <v>46170</v>
      </c>
      <c r="N76" t="s">
        <v>28</v>
      </c>
      <c r="O76" t="s">
        <v>29</v>
      </c>
      <c r="P76">
        <v>48</v>
      </c>
      <c r="Q76">
        <v>-3</v>
      </c>
      <c r="R76" t="s">
        <v>31</v>
      </c>
      <c r="S76" t="s">
        <v>30</v>
      </c>
      <c r="T76">
        <v>1.4999999999999999E-2</v>
      </c>
      <c r="U76" t="s">
        <v>31</v>
      </c>
      <c r="V76">
        <v>0</v>
      </c>
    </row>
    <row r="77" spans="1:22" x14ac:dyDescent="0.25">
      <c r="A77" t="s">
        <v>171</v>
      </c>
      <c r="B77" t="s">
        <v>66</v>
      </c>
      <c r="C77" t="s">
        <v>67</v>
      </c>
      <c r="D77" t="s">
        <v>35</v>
      </c>
      <c r="E77" t="s">
        <v>40</v>
      </c>
      <c r="F77" t="s">
        <v>41</v>
      </c>
      <c r="G77" s="1">
        <v>45810</v>
      </c>
      <c r="H77" s="1">
        <v>45840</v>
      </c>
      <c r="I77">
        <v>30</v>
      </c>
      <c r="J77">
        <v>73130.86</v>
      </c>
      <c r="K77">
        <v>73130.86</v>
      </c>
      <c r="L77">
        <v>0</v>
      </c>
      <c r="M77" s="1">
        <v>45843</v>
      </c>
      <c r="N77" t="s">
        <v>28</v>
      </c>
      <c r="O77" t="s">
        <v>77</v>
      </c>
      <c r="P77">
        <v>33</v>
      </c>
      <c r="Q77">
        <v>-3</v>
      </c>
      <c r="R77" t="s">
        <v>31</v>
      </c>
      <c r="S77" t="s">
        <v>31</v>
      </c>
      <c r="T77">
        <v>0</v>
      </c>
      <c r="U77" t="s">
        <v>31</v>
      </c>
      <c r="V77">
        <v>0</v>
      </c>
    </row>
    <row r="78" spans="1:22" x14ac:dyDescent="0.25">
      <c r="A78" t="s">
        <v>172</v>
      </c>
      <c r="B78" t="s">
        <v>71</v>
      </c>
      <c r="C78" t="s">
        <v>72</v>
      </c>
      <c r="D78" t="s">
        <v>73</v>
      </c>
      <c r="E78" t="s">
        <v>63</v>
      </c>
      <c r="F78" t="s">
        <v>92</v>
      </c>
      <c r="G78" s="1">
        <v>46137</v>
      </c>
      <c r="H78" s="1">
        <v>46167</v>
      </c>
      <c r="I78">
        <v>30</v>
      </c>
      <c r="J78">
        <v>24726.37</v>
      </c>
      <c r="K78">
        <v>0</v>
      </c>
      <c r="L78">
        <v>24726.37</v>
      </c>
      <c r="N78" t="s">
        <v>59</v>
      </c>
      <c r="O78" t="s">
        <v>69</v>
      </c>
      <c r="Q78">
        <v>-6</v>
      </c>
      <c r="R78" t="s">
        <v>31</v>
      </c>
      <c r="S78" t="s">
        <v>30</v>
      </c>
      <c r="T78">
        <v>0.01</v>
      </c>
      <c r="U78" t="s">
        <v>31</v>
      </c>
      <c r="V78">
        <v>0</v>
      </c>
    </row>
    <row r="79" spans="1:22" x14ac:dyDescent="0.25">
      <c r="A79" t="s">
        <v>173</v>
      </c>
      <c r="B79" t="s">
        <v>100</v>
      </c>
      <c r="C79" t="s">
        <v>101</v>
      </c>
      <c r="D79" t="s">
        <v>54</v>
      </c>
      <c r="E79" t="s">
        <v>45</v>
      </c>
      <c r="F79" t="s">
        <v>27</v>
      </c>
      <c r="G79" s="1">
        <v>45988</v>
      </c>
      <c r="H79" s="1">
        <v>46048</v>
      </c>
      <c r="I79">
        <v>60</v>
      </c>
      <c r="J79">
        <v>9253.85</v>
      </c>
      <c r="K79">
        <v>9253.85</v>
      </c>
      <c r="L79">
        <v>0</v>
      </c>
      <c r="M79" s="1">
        <v>46053</v>
      </c>
      <c r="N79" t="s">
        <v>28</v>
      </c>
      <c r="O79" t="s">
        <v>77</v>
      </c>
      <c r="P79">
        <v>65</v>
      </c>
      <c r="Q79">
        <v>-5</v>
      </c>
      <c r="R79" t="s">
        <v>31</v>
      </c>
      <c r="S79" t="s">
        <v>30</v>
      </c>
      <c r="T79">
        <v>0.01</v>
      </c>
      <c r="U79" t="s">
        <v>31</v>
      </c>
      <c r="V79">
        <v>0</v>
      </c>
    </row>
    <row r="80" spans="1:22" x14ac:dyDescent="0.25">
      <c r="A80" t="s">
        <v>174</v>
      </c>
      <c r="B80" t="s">
        <v>56</v>
      </c>
      <c r="C80" t="s">
        <v>57</v>
      </c>
      <c r="D80" t="s">
        <v>58</v>
      </c>
      <c r="E80" t="s">
        <v>63</v>
      </c>
      <c r="F80" t="s">
        <v>50</v>
      </c>
      <c r="G80" s="1">
        <v>45699</v>
      </c>
      <c r="H80" s="1">
        <v>45744</v>
      </c>
      <c r="I80">
        <v>45</v>
      </c>
      <c r="J80">
        <v>31235.03</v>
      </c>
      <c r="K80">
        <v>31235.03</v>
      </c>
      <c r="L80">
        <v>0</v>
      </c>
      <c r="M80" s="1">
        <v>45738</v>
      </c>
      <c r="N80" t="s">
        <v>28</v>
      </c>
      <c r="O80" t="s">
        <v>77</v>
      </c>
      <c r="P80">
        <v>39</v>
      </c>
      <c r="Q80">
        <v>6</v>
      </c>
      <c r="R80" t="s">
        <v>30</v>
      </c>
      <c r="S80" t="s">
        <v>30</v>
      </c>
      <c r="T80">
        <v>1.4999999999999999E-2</v>
      </c>
      <c r="U80" t="s">
        <v>31</v>
      </c>
      <c r="V80">
        <v>0</v>
      </c>
    </row>
    <row r="81" spans="1:22" x14ac:dyDescent="0.25">
      <c r="A81" t="s">
        <v>175</v>
      </c>
      <c r="B81" t="s">
        <v>66</v>
      </c>
      <c r="C81" t="s">
        <v>67</v>
      </c>
      <c r="D81" t="s">
        <v>35</v>
      </c>
      <c r="E81" t="s">
        <v>45</v>
      </c>
      <c r="F81" t="s">
        <v>41</v>
      </c>
      <c r="G81" s="1">
        <v>46014</v>
      </c>
      <c r="H81" s="1">
        <v>46104</v>
      </c>
      <c r="I81">
        <v>90</v>
      </c>
      <c r="J81">
        <v>35626.11</v>
      </c>
      <c r="K81">
        <v>35626.11</v>
      </c>
      <c r="L81">
        <v>0</v>
      </c>
      <c r="M81" s="1">
        <v>46106</v>
      </c>
      <c r="N81" t="s">
        <v>28</v>
      </c>
      <c r="O81" t="s">
        <v>77</v>
      </c>
      <c r="P81">
        <v>92</v>
      </c>
      <c r="Q81">
        <v>-2</v>
      </c>
      <c r="R81" t="s">
        <v>31</v>
      </c>
      <c r="S81" t="s">
        <v>30</v>
      </c>
      <c r="T81">
        <v>5.0000000000000001E-3</v>
      </c>
      <c r="U81" t="s">
        <v>31</v>
      </c>
      <c r="V81">
        <v>0</v>
      </c>
    </row>
    <row r="82" spans="1:22" x14ac:dyDescent="0.25">
      <c r="A82" t="s">
        <v>176</v>
      </c>
      <c r="B82" t="s">
        <v>120</v>
      </c>
      <c r="C82" t="s">
        <v>121</v>
      </c>
      <c r="D82" t="s">
        <v>54</v>
      </c>
      <c r="E82" t="s">
        <v>68</v>
      </c>
      <c r="F82" t="s">
        <v>41</v>
      </c>
      <c r="G82" s="1">
        <v>46068</v>
      </c>
      <c r="H82" s="1">
        <v>46113</v>
      </c>
      <c r="I82">
        <v>45</v>
      </c>
      <c r="J82">
        <v>12296.71</v>
      </c>
      <c r="K82">
        <v>12296.71</v>
      </c>
      <c r="L82">
        <v>0</v>
      </c>
      <c r="M82" s="1">
        <v>46111</v>
      </c>
      <c r="N82" t="s">
        <v>28</v>
      </c>
      <c r="O82" t="s">
        <v>69</v>
      </c>
      <c r="P82">
        <v>43</v>
      </c>
      <c r="Q82">
        <v>2</v>
      </c>
      <c r="R82" t="s">
        <v>30</v>
      </c>
      <c r="S82" t="s">
        <v>30</v>
      </c>
      <c r="T82">
        <v>1.4999999999999999E-2</v>
      </c>
      <c r="U82" t="s">
        <v>31</v>
      </c>
      <c r="V82">
        <v>0</v>
      </c>
    </row>
    <row r="83" spans="1:22" x14ac:dyDescent="0.25">
      <c r="A83" t="s">
        <v>177</v>
      </c>
      <c r="B83" t="s">
        <v>85</v>
      </c>
      <c r="C83" t="s">
        <v>86</v>
      </c>
      <c r="D83" t="s">
        <v>25</v>
      </c>
      <c r="E83" t="s">
        <v>45</v>
      </c>
      <c r="F83" t="s">
        <v>50</v>
      </c>
      <c r="G83" s="1">
        <v>46081</v>
      </c>
      <c r="H83" s="1">
        <v>46171</v>
      </c>
      <c r="I83">
        <v>90</v>
      </c>
      <c r="J83">
        <v>2029.88</v>
      </c>
      <c r="K83">
        <v>2029.88</v>
      </c>
      <c r="L83">
        <v>0</v>
      </c>
      <c r="M83" s="1">
        <v>46173</v>
      </c>
      <c r="N83" t="s">
        <v>28</v>
      </c>
      <c r="O83" t="s">
        <v>77</v>
      </c>
      <c r="P83">
        <v>92</v>
      </c>
      <c r="Q83">
        <v>-2</v>
      </c>
      <c r="R83" t="s">
        <v>31</v>
      </c>
      <c r="S83" t="s">
        <v>30</v>
      </c>
      <c r="T83">
        <v>5.0000000000000001E-3</v>
      </c>
      <c r="U83" t="s">
        <v>31</v>
      </c>
      <c r="V83">
        <v>0</v>
      </c>
    </row>
    <row r="84" spans="1:22" x14ac:dyDescent="0.25">
      <c r="A84" t="s">
        <v>178</v>
      </c>
      <c r="B84" t="s">
        <v>113</v>
      </c>
      <c r="C84" t="s">
        <v>114</v>
      </c>
      <c r="D84" t="s">
        <v>25</v>
      </c>
      <c r="E84" t="s">
        <v>26</v>
      </c>
      <c r="F84" t="s">
        <v>64</v>
      </c>
      <c r="G84" s="1">
        <v>45952</v>
      </c>
      <c r="H84" s="1">
        <v>45982</v>
      </c>
      <c r="I84">
        <v>30</v>
      </c>
      <c r="J84">
        <v>9324.2099999999991</v>
      </c>
      <c r="K84">
        <v>9324.2099999999991</v>
      </c>
      <c r="L84">
        <v>0</v>
      </c>
      <c r="M84" s="1">
        <v>45992</v>
      </c>
      <c r="N84" t="s">
        <v>28</v>
      </c>
      <c r="O84" t="s">
        <v>29</v>
      </c>
      <c r="P84">
        <v>40</v>
      </c>
      <c r="Q84">
        <v>-10</v>
      </c>
      <c r="R84" t="s">
        <v>31</v>
      </c>
      <c r="S84" t="s">
        <v>30</v>
      </c>
      <c r="T84">
        <v>0.01</v>
      </c>
      <c r="U84" t="s">
        <v>31</v>
      </c>
      <c r="V84">
        <v>0</v>
      </c>
    </row>
    <row r="85" spans="1:22" x14ac:dyDescent="0.25">
      <c r="A85" t="s">
        <v>179</v>
      </c>
      <c r="B85" t="s">
        <v>52</v>
      </c>
      <c r="C85" t="s">
        <v>53</v>
      </c>
      <c r="D85" t="s">
        <v>54</v>
      </c>
      <c r="E85" t="s">
        <v>40</v>
      </c>
      <c r="F85" t="s">
        <v>92</v>
      </c>
      <c r="G85" s="1">
        <v>45753</v>
      </c>
      <c r="H85" s="1">
        <v>45813</v>
      </c>
      <c r="I85">
        <v>60</v>
      </c>
      <c r="J85">
        <v>3758.16</v>
      </c>
      <c r="K85">
        <v>3758.16</v>
      </c>
      <c r="L85">
        <v>0</v>
      </c>
      <c r="M85" s="1">
        <v>45812</v>
      </c>
      <c r="N85" t="s">
        <v>28</v>
      </c>
      <c r="O85" t="s">
        <v>77</v>
      </c>
      <c r="P85">
        <v>59</v>
      </c>
      <c r="Q85">
        <v>1</v>
      </c>
      <c r="R85" t="s">
        <v>30</v>
      </c>
      <c r="S85" t="s">
        <v>31</v>
      </c>
      <c r="T85">
        <v>0</v>
      </c>
      <c r="U85" t="s">
        <v>31</v>
      </c>
      <c r="V85">
        <v>0</v>
      </c>
    </row>
    <row r="86" spans="1:22" x14ac:dyDescent="0.25">
      <c r="A86" t="s">
        <v>180</v>
      </c>
      <c r="B86" t="s">
        <v>109</v>
      </c>
      <c r="C86" t="s">
        <v>110</v>
      </c>
      <c r="D86" t="s">
        <v>49</v>
      </c>
      <c r="E86" t="s">
        <v>40</v>
      </c>
      <c r="F86" t="s">
        <v>41</v>
      </c>
      <c r="G86" s="1">
        <v>46083</v>
      </c>
      <c r="H86" s="1">
        <v>46128</v>
      </c>
      <c r="I86">
        <v>45</v>
      </c>
      <c r="J86">
        <v>42066.75</v>
      </c>
      <c r="K86">
        <v>42066.75</v>
      </c>
      <c r="L86">
        <v>0</v>
      </c>
      <c r="M86" s="1">
        <v>46115</v>
      </c>
      <c r="N86" t="s">
        <v>28</v>
      </c>
      <c r="O86" t="s">
        <v>29</v>
      </c>
      <c r="P86">
        <v>32</v>
      </c>
      <c r="Q86">
        <v>13</v>
      </c>
      <c r="R86" t="s">
        <v>30</v>
      </c>
      <c r="S86" t="s">
        <v>31</v>
      </c>
      <c r="T86">
        <v>0</v>
      </c>
      <c r="U86" t="s">
        <v>31</v>
      </c>
      <c r="V86">
        <v>0</v>
      </c>
    </row>
    <row r="87" spans="1:22" x14ac:dyDescent="0.25">
      <c r="A87" t="s">
        <v>181</v>
      </c>
      <c r="B87" t="s">
        <v>82</v>
      </c>
      <c r="C87" t="s">
        <v>83</v>
      </c>
      <c r="D87" t="s">
        <v>58</v>
      </c>
      <c r="E87" t="s">
        <v>40</v>
      </c>
      <c r="F87" t="s">
        <v>27</v>
      </c>
      <c r="G87" s="1">
        <v>46006</v>
      </c>
      <c r="H87" s="1">
        <v>46066</v>
      </c>
      <c r="I87">
        <v>60</v>
      </c>
      <c r="J87">
        <v>37567.19</v>
      </c>
      <c r="K87">
        <v>16582.89</v>
      </c>
      <c r="L87">
        <v>20984.3</v>
      </c>
      <c r="M87" s="1">
        <v>46070</v>
      </c>
      <c r="N87" t="s">
        <v>98</v>
      </c>
      <c r="O87" t="s">
        <v>29</v>
      </c>
      <c r="P87">
        <v>64</v>
      </c>
      <c r="Q87">
        <v>-4</v>
      </c>
      <c r="R87" t="s">
        <v>31</v>
      </c>
      <c r="S87" t="s">
        <v>30</v>
      </c>
      <c r="T87">
        <v>0.01</v>
      </c>
      <c r="U87" t="s">
        <v>31</v>
      </c>
      <c r="V87">
        <v>0</v>
      </c>
    </row>
    <row r="88" spans="1:22" x14ac:dyDescent="0.25">
      <c r="A88" t="s">
        <v>182</v>
      </c>
      <c r="B88" t="s">
        <v>66</v>
      </c>
      <c r="C88" t="s">
        <v>67</v>
      </c>
      <c r="D88" t="s">
        <v>35</v>
      </c>
      <c r="E88" t="s">
        <v>63</v>
      </c>
      <c r="F88" t="s">
        <v>41</v>
      </c>
      <c r="G88" s="1">
        <v>46153</v>
      </c>
      <c r="H88" s="1">
        <v>46243</v>
      </c>
      <c r="I88">
        <v>90</v>
      </c>
      <c r="J88">
        <v>30884.3</v>
      </c>
      <c r="K88">
        <v>30884.3</v>
      </c>
      <c r="L88">
        <v>0</v>
      </c>
      <c r="M88" s="1">
        <v>46173</v>
      </c>
      <c r="N88" t="s">
        <v>28</v>
      </c>
      <c r="O88" t="s">
        <v>36</v>
      </c>
      <c r="P88">
        <v>20</v>
      </c>
      <c r="Q88">
        <v>70</v>
      </c>
      <c r="R88" t="s">
        <v>30</v>
      </c>
      <c r="S88" t="s">
        <v>30</v>
      </c>
      <c r="T88">
        <v>5.0000000000000001E-3</v>
      </c>
      <c r="U88" t="s">
        <v>30</v>
      </c>
      <c r="V88">
        <v>154.41999999999999</v>
      </c>
    </row>
    <row r="89" spans="1:22" x14ac:dyDescent="0.25">
      <c r="A89" t="s">
        <v>183</v>
      </c>
      <c r="B89" t="s">
        <v>143</v>
      </c>
      <c r="C89" t="s">
        <v>144</v>
      </c>
      <c r="D89" t="s">
        <v>25</v>
      </c>
      <c r="E89" t="s">
        <v>40</v>
      </c>
      <c r="F89" t="s">
        <v>64</v>
      </c>
      <c r="G89" s="1">
        <v>46078</v>
      </c>
      <c r="H89" s="1">
        <v>46108</v>
      </c>
      <c r="I89">
        <v>30</v>
      </c>
      <c r="J89">
        <v>1829.3</v>
      </c>
      <c r="K89">
        <v>1829.3</v>
      </c>
      <c r="L89">
        <v>0</v>
      </c>
      <c r="M89" s="1">
        <v>46110</v>
      </c>
      <c r="N89" t="s">
        <v>28</v>
      </c>
      <c r="O89" t="s">
        <v>69</v>
      </c>
      <c r="P89">
        <v>32</v>
      </c>
      <c r="Q89">
        <v>-2</v>
      </c>
      <c r="R89" t="s">
        <v>31</v>
      </c>
      <c r="S89" t="s">
        <v>31</v>
      </c>
      <c r="T89">
        <v>0</v>
      </c>
      <c r="U89" t="s">
        <v>31</v>
      </c>
      <c r="V89">
        <v>0</v>
      </c>
    </row>
    <row r="90" spans="1:22" x14ac:dyDescent="0.25">
      <c r="A90" t="s">
        <v>184</v>
      </c>
      <c r="B90" t="s">
        <v>56</v>
      </c>
      <c r="C90" t="s">
        <v>57</v>
      </c>
      <c r="D90" t="s">
        <v>58</v>
      </c>
      <c r="E90" t="s">
        <v>40</v>
      </c>
      <c r="F90" t="s">
        <v>41</v>
      </c>
      <c r="G90" s="1">
        <v>46172</v>
      </c>
      <c r="H90" s="1">
        <v>46202</v>
      </c>
      <c r="I90">
        <v>30</v>
      </c>
      <c r="J90">
        <v>38718.080000000002</v>
      </c>
      <c r="K90">
        <v>38718.080000000002</v>
      </c>
      <c r="L90">
        <v>0</v>
      </c>
      <c r="M90" s="1">
        <v>46173</v>
      </c>
      <c r="N90" t="s">
        <v>28</v>
      </c>
      <c r="O90" t="s">
        <v>77</v>
      </c>
      <c r="P90">
        <v>1</v>
      </c>
      <c r="Q90">
        <v>29</v>
      </c>
      <c r="R90" t="s">
        <v>30</v>
      </c>
      <c r="S90" t="s">
        <v>30</v>
      </c>
      <c r="T90">
        <v>0.01</v>
      </c>
      <c r="U90" t="s">
        <v>30</v>
      </c>
      <c r="V90">
        <v>387.18</v>
      </c>
    </row>
    <row r="91" spans="1:22" x14ac:dyDescent="0.25">
      <c r="A91" t="s">
        <v>185</v>
      </c>
      <c r="B91" t="s">
        <v>109</v>
      </c>
      <c r="C91" t="s">
        <v>110</v>
      </c>
      <c r="D91" t="s">
        <v>49</v>
      </c>
      <c r="E91" t="s">
        <v>63</v>
      </c>
      <c r="F91" t="s">
        <v>41</v>
      </c>
      <c r="G91" s="1">
        <v>46077</v>
      </c>
      <c r="H91" s="1">
        <v>46107</v>
      </c>
      <c r="I91">
        <v>30</v>
      </c>
      <c r="J91">
        <v>43804.78</v>
      </c>
      <c r="K91">
        <v>43804.78</v>
      </c>
      <c r="L91">
        <v>0</v>
      </c>
      <c r="M91" s="1">
        <v>46108</v>
      </c>
      <c r="N91" t="s">
        <v>28</v>
      </c>
      <c r="O91" t="s">
        <v>77</v>
      </c>
      <c r="P91">
        <v>31</v>
      </c>
      <c r="Q91">
        <v>-1</v>
      </c>
      <c r="R91" t="s">
        <v>31</v>
      </c>
      <c r="S91" t="s">
        <v>31</v>
      </c>
      <c r="T91">
        <v>0</v>
      </c>
      <c r="U91" t="s">
        <v>31</v>
      </c>
      <c r="V91">
        <v>0</v>
      </c>
    </row>
    <row r="92" spans="1:22" x14ac:dyDescent="0.25">
      <c r="A92" t="s">
        <v>186</v>
      </c>
      <c r="B92" t="s">
        <v>187</v>
      </c>
      <c r="C92" t="s">
        <v>188</v>
      </c>
      <c r="D92" t="s">
        <v>73</v>
      </c>
      <c r="E92" t="s">
        <v>45</v>
      </c>
      <c r="F92" t="s">
        <v>27</v>
      </c>
      <c r="G92" s="1">
        <v>45982</v>
      </c>
      <c r="H92" s="1">
        <v>46042</v>
      </c>
      <c r="I92">
        <v>60</v>
      </c>
      <c r="J92">
        <v>22684.37</v>
      </c>
      <c r="K92">
        <v>22684.37</v>
      </c>
      <c r="L92">
        <v>0</v>
      </c>
      <c r="M92" s="1">
        <v>46036</v>
      </c>
      <c r="N92" t="s">
        <v>28</v>
      </c>
      <c r="O92" t="s">
        <v>29</v>
      </c>
      <c r="P92">
        <v>54</v>
      </c>
      <c r="Q92">
        <v>6</v>
      </c>
      <c r="R92" t="s">
        <v>30</v>
      </c>
      <c r="S92" t="s">
        <v>31</v>
      </c>
      <c r="T92">
        <v>0</v>
      </c>
      <c r="U92" t="s">
        <v>31</v>
      </c>
      <c r="V92">
        <v>0</v>
      </c>
    </row>
    <row r="93" spans="1:22" x14ac:dyDescent="0.25">
      <c r="A93" t="s">
        <v>189</v>
      </c>
      <c r="B93" t="s">
        <v>79</v>
      </c>
      <c r="C93" t="s">
        <v>80</v>
      </c>
      <c r="D93" t="s">
        <v>49</v>
      </c>
      <c r="E93" t="s">
        <v>26</v>
      </c>
      <c r="F93" t="s">
        <v>50</v>
      </c>
      <c r="G93" s="1">
        <v>45952</v>
      </c>
      <c r="H93" s="1">
        <v>45982</v>
      </c>
      <c r="I93">
        <v>30</v>
      </c>
      <c r="J93">
        <v>49876.44</v>
      </c>
      <c r="K93">
        <v>49876.44</v>
      </c>
      <c r="L93">
        <v>0</v>
      </c>
      <c r="M93" s="1">
        <v>45991</v>
      </c>
      <c r="N93" t="s">
        <v>28</v>
      </c>
      <c r="O93" t="s">
        <v>77</v>
      </c>
      <c r="P93">
        <v>39</v>
      </c>
      <c r="Q93">
        <v>-9</v>
      </c>
      <c r="R93" t="s">
        <v>31</v>
      </c>
      <c r="S93" t="s">
        <v>31</v>
      </c>
      <c r="T93">
        <v>0</v>
      </c>
      <c r="U93" t="s">
        <v>31</v>
      </c>
      <c r="V93">
        <v>0</v>
      </c>
    </row>
    <row r="94" spans="1:22" x14ac:dyDescent="0.25">
      <c r="A94" t="s">
        <v>190</v>
      </c>
      <c r="B94" t="s">
        <v>109</v>
      </c>
      <c r="C94" t="s">
        <v>110</v>
      </c>
      <c r="D94" t="s">
        <v>49</v>
      </c>
      <c r="E94" t="s">
        <v>45</v>
      </c>
      <c r="F94" t="s">
        <v>64</v>
      </c>
      <c r="G94" s="1">
        <v>45705</v>
      </c>
      <c r="H94" s="1">
        <v>45720</v>
      </c>
      <c r="I94">
        <v>15</v>
      </c>
      <c r="J94">
        <v>17569.98</v>
      </c>
      <c r="K94">
        <v>17569.98</v>
      </c>
      <c r="L94">
        <v>0</v>
      </c>
      <c r="M94" s="1">
        <v>45726</v>
      </c>
      <c r="N94" t="s">
        <v>28</v>
      </c>
      <c r="O94" t="s">
        <v>29</v>
      </c>
      <c r="P94">
        <v>21</v>
      </c>
      <c r="Q94">
        <v>-6</v>
      </c>
      <c r="R94" t="s">
        <v>31</v>
      </c>
      <c r="S94" t="s">
        <v>30</v>
      </c>
      <c r="T94">
        <v>0.02</v>
      </c>
      <c r="U94" t="s">
        <v>31</v>
      </c>
      <c r="V94">
        <v>0</v>
      </c>
    </row>
    <row r="95" spans="1:22" x14ac:dyDescent="0.25">
      <c r="A95" t="s">
        <v>191</v>
      </c>
      <c r="B95" t="s">
        <v>38</v>
      </c>
      <c r="C95" t="s">
        <v>39</v>
      </c>
      <c r="D95" t="s">
        <v>35</v>
      </c>
      <c r="E95" t="s">
        <v>40</v>
      </c>
      <c r="F95" t="s">
        <v>64</v>
      </c>
      <c r="G95" s="1">
        <v>45832</v>
      </c>
      <c r="H95" s="1">
        <v>45862</v>
      </c>
      <c r="I95">
        <v>30</v>
      </c>
      <c r="J95">
        <v>18130.2</v>
      </c>
      <c r="K95">
        <v>18130.2</v>
      </c>
      <c r="L95">
        <v>0</v>
      </c>
      <c r="M95" s="1">
        <v>45859</v>
      </c>
      <c r="N95" t="s">
        <v>28</v>
      </c>
      <c r="O95" t="s">
        <v>69</v>
      </c>
      <c r="P95">
        <v>27</v>
      </c>
      <c r="Q95">
        <v>3</v>
      </c>
      <c r="R95" t="s">
        <v>30</v>
      </c>
      <c r="S95" t="s">
        <v>30</v>
      </c>
      <c r="T95">
        <v>0.01</v>
      </c>
      <c r="U95" t="s">
        <v>31</v>
      </c>
      <c r="V95">
        <v>0</v>
      </c>
    </row>
    <row r="96" spans="1:22" x14ac:dyDescent="0.25">
      <c r="A96" t="s">
        <v>192</v>
      </c>
      <c r="B96" t="s">
        <v>66</v>
      </c>
      <c r="C96" t="s">
        <v>67</v>
      </c>
      <c r="D96" t="s">
        <v>35</v>
      </c>
      <c r="E96" t="s">
        <v>40</v>
      </c>
      <c r="F96" t="s">
        <v>64</v>
      </c>
      <c r="G96" s="1">
        <v>46128</v>
      </c>
      <c r="H96" s="1">
        <v>46173</v>
      </c>
      <c r="I96">
        <v>45</v>
      </c>
      <c r="J96">
        <v>24149.5</v>
      </c>
      <c r="K96">
        <v>15426.83</v>
      </c>
      <c r="L96">
        <v>8722.67</v>
      </c>
      <c r="M96" s="1">
        <v>46173</v>
      </c>
      <c r="N96" t="s">
        <v>98</v>
      </c>
      <c r="O96" t="s">
        <v>69</v>
      </c>
      <c r="P96">
        <v>45</v>
      </c>
      <c r="Q96">
        <v>0</v>
      </c>
      <c r="R96" t="s">
        <v>30</v>
      </c>
      <c r="S96" t="s">
        <v>30</v>
      </c>
      <c r="T96">
        <v>1.4999999999999999E-2</v>
      </c>
      <c r="U96" t="s">
        <v>31</v>
      </c>
      <c r="V96">
        <v>0</v>
      </c>
    </row>
    <row r="97" spans="1:22" x14ac:dyDescent="0.25">
      <c r="A97" t="s">
        <v>193</v>
      </c>
      <c r="B97" t="s">
        <v>43</v>
      </c>
      <c r="C97" t="s">
        <v>44</v>
      </c>
      <c r="D97" t="s">
        <v>25</v>
      </c>
      <c r="E97" t="s">
        <v>45</v>
      </c>
      <c r="F97" t="s">
        <v>92</v>
      </c>
      <c r="G97" s="1">
        <v>45914</v>
      </c>
      <c r="H97" s="1">
        <v>45974</v>
      </c>
      <c r="I97">
        <v>60</v>
      </c>
      <c r="J97">
        <v>9679.8799999999992</v>
      </c>
      <c r="K97">
        <v>0</v>
      </c>
      <c r="L97">
        <v>9679.8799999999992</v>
      </c>
      <c r="N97" t="s">
        <v>59</v>
      </c>
      <c r="O97" t="s">
        <v>29</v>
      </c>
      <c r="Q97">
        <v>-199</v>
      </c>
      <c r="R97" t="s">
        <v>31</v>
      </c>
      <c r="S97" t="s">
        <v>30</v>
      </c>
      <c r="T97">
        <v>0.01</v>
      </c>
      <c r="U97" t="s">
        <v>31</v>
      </c>
      <c r="V97">
        <v>0</v>
      </c>
    </row>
    <row r="98" spans="1:22" x14ac:dyDescent="0.25">
      <c r="A98" t="s">
        <v>194</v>
      </c>
      <c r="B98" t="s">
        <v>100</v>
      </c>
      <c r="C98" t="s">
        <v>101</v>
      </c>
      <c r="D98" t="s">
        <v>54</v>
      </c>
      <c r="E98" t="s">
        <v>26</v>
      </c>
      <c r="F98" t="s">
        <v>64</v>
      </c>
      <c r="G98" s="1">
        <v>45960</v>
      </c>
      <c r="H98" s="1">
        <v>46020</v>
      </c>
      <c r="I98">
        <v>60</v>
      </c>
      <c r="J98">
        <v>14894.03</v>
      </c>
      <c r="K98">
        <v>0</v>
      </c>
      <c r="L98">
        <v>14894.03</v>
      </c>
      <c r="N98" t="s">
        <v>59</v>
      </c>
      <c r="O98" t="s">
        <v>69</v>
      </c>
      <c r="Q98">
        <v>-153</v>
      </c>
      <c r="R98" t="s">
        <v>31</v>
      </c>
      <c r="S98" t="s">
        <v>30</v>
      </c>
      <c r="T98">
        <v>0.01</v>
      </c>
      <c r="U98" t="s">
        <v>31</v>
      </c>
      <c r="V98">
        <v>0</v>
      </c>
    </row>
    <row r="99" spans="1:22" x14ac:dyDescent="0.25">
      <c r="A99" t="s">
        <v>195</v>
      </c>
      <c r="B99" t="s">
        <v>56</v>
      </c>
      <c r="C99" t="s">
        <v>57</v>
      </c>
      <c r="D99" t="s">
        <v>58</v>
      </c>
      <c r="E99" t="s">
        <v>45</v>
      </c>
      <c r="F99" t="s">
        <v>92</v>
      </c>
      <c r="G99" s="1">
        <v>46166</v>
      </c>
      <c r="H99" s="1">
        <v>46181</v>
      </c>
      <c r="I99">
        <v>15</v>
      </c>
      <c r="J99">
        <v>33815.040000000001</v>
      </c>
      <c r="K99">
        <v>0</v>
      </c>
      <c r="L99">
        <v>33815.040000000001</v>
      </c>
      <c r="N99" t="s">
        <v>93</v>
      </c>
      <c r="O99" t="s">
        <v>77</v>
      </c>
      <c r="S99" t="s">
        <v>31</v>
      </c>
      <c r="T99">
        <v>0</v>
      </c>
      <c r="U99" t="s">
        <v>31</v>
      </c>
      <c r="V99">
        <v>0</v>
      </c>
    </row>
    <row r="100" spans="1:22" x14ac:dyDescent="0.25">
      <c r="A100" t="s">
        <v>196</v>
      </c>
      <c r="B100" t="s">
        <v>128</v>
      </c>
      <c r="C100" t="s">
        <v>129</v>
      </c>
      <c r="D100" t="s">
        <v>73</v>
      </c>
      <c r="E100" t="s">
        <v>40</v>
      </c>
      <c r="F100" t="s">
        <v>64</v>
      </c>
      <c r="G100" s="1">
        <v>45757</v>
      </c>
      <c r="H100" s="1">
        <v>45787</v>
      </c>
      <c r="I100">
        <v>30</v>
      </c>
      <c r="J100">
        <v>31812.32</v>
      </c>
      <c r="K100">
        <v>31812.32</v>
      </c>
      <c r="L100">
        <v>0</v>
      </c>
      <c r="M100" s="1">
        <v>45779</v>
      </c>
      <c r="N100" t="s">
        <v>28</v>
      </c>
      <c r="O100" t="s">
        <v>29</v>
      </c>
      <c r="P100">
        <v>22</v>
      </c>
      <c r="Q100">
        <v>8</v>
      </c>
      <c r="R100" t="s">
        <v>30</v>
      </c>
      <c r="S100" t="s">
        <v>30</v>
      </c>
      <c r="T100">
        <v>0.01</v>
      </c>
      <c r="U100" t="s">
        <v>31</v>
      </c>
      <c r="V100">
        <v>0</v>
      </c>
    </row>
    <row r="101" spans="1:22" x14ac:dyDescent="0.25">
      <c r="A101" t="s">
        <v>197</v>
      </c>
      <c r="B101" t="s">
        <v>113</v>
      </c>
      <c r="C101" t="s">
        <v>114</v>
      </c>
      <c r="D101" t="s">
        <v>25</v>
      </c>
      <c r="E101" t="s">
        <v>26</v>
      </c>
      <c r="F101" t="s">
        <v>50</v>
      </c>
      <c r="G101" s="1">
        <v>45750</v>
      </c>
      <c r="H101" s="1">
        <v>45780</v>
      </c>
      <c r="I101">
        <v>30</v>
      </c>
      <c r="J101">
        <v>18282.93</v>
      </c>
      <c r="K101">
        <v>18282.93</v>
      </c>
      <c r="L101">
        <v>0</v>
      </c>
      <c r="M101" s="1">
        <v>45784</v>
      </c>
      <c r="N101" t="s">
        <v>28</v>
      </c>
      <c r="O101" t="s">
        <v>29</v>
      </c>
      <c r="P101">
        <v>34</v>
      </c>
      <c r="Q101">
        <v>-4</v>
      </c>
      <c r="R101" t="s">
        <v>31</v>
      </c>
      <c r="S101" t="s">
        <v>30</v>
      </c>
      <c r="T101">
        <v>0.01</v>
      </c>
      <c r="U101" t="s">
        <v>31</v>
      </c>
      <c r="V101">
        <v>0</v>
      </c>
    </row>
    <row r="102" spans="1:22" x14ac:dyDescent="0.25">
      <c r="A102" t="s">
        <v>198</v>
      </c>
      <c r="B102" t="s">
        <v>128</v>
      </c>
      <c r="C102" t="s">
        <v>129</v>
      </c>
      <c r="D102" t="s">
        <v>73</v>
      </c>
      <c r="E102" t="s">
        <v>63</v>
      </c>
      <c r="F102" t="s">
        <v>50</v>
      </c>
      <c r="G102" s="1">
        <v>45921</v>
      </c>
      <c r="H102" s="1">
        <v>45951</v>
      </c>
      <c r="I102">
        <v>30</v>
      </c>
      <c r="J102">
        <v>32163.62</v>
      </c>
      <c r="K102">
        <v>0</v>
      </c>
      <c r="L102">
        <v>32163.62</v>
      </c>
      <c r="N102" t="s">
        <v>59</v>
      </c>
      <c r="O102" t="s">
        <v>29</v>
      </c>
      <c r="Q102">
        <v>-222</v>
      </c>
      <c r="R102" t="s">
        <v>31</v>
      </c>
      <c r="S102" t="s">
        <v>31</v>
      </c>
      <c r="T102">
        <v>0</v>
      </c>
      <c r="U102" t="s">
        <v>31</v>
      </c>
      <c r="V102">
        <v>0</v>
      </c>
    </row>
    <row r="103" spans="1:22" x14ac:dyDescent="0.25">
      <c r="A103" t="s">
        <v>199</v>
      </c>
      <c r="B103" t="s">
        <v>88</v>
      </c>
      <c r="C103" t="s">
        <v>89</v>
      </c>
      <c r="D103" t="s">
        <v>35</v>
      </c>
      <c r="E103" t="s">
        <v>68</v>
      </c>
      <c r="F103" t="s">
        <v>27</v>
      </c>
      <c r="G103" s="1">
        <v>45802</v>
      </c>
      <c r="H103" s="1">
        <v>45832</v>
      </c>
      <c r="I103">
        <v>30</v>
      </c>
      <c r="J103">
        <v>61561.36</v>
      </c>
      <c r="K103">
        <v>61561.36</v>
      </c>
      <c r="L103">
        <v>0</v>
      </c>
      <c r="M103" s="1">
        <v>45845</v>
      </c>
      <c r="N103" t="s">
        <v>28</v>
      </c>
      <c r="O103" t="s">
        <v>69</v>
      </c>
      <c r="P103">
        <v>43</v>
      </c>
      <c r="Q103">
        <v>-13</v>
      </c>
      <c r="R103" t="s">
        <v>31</v>
      </c>
      <c r="S103" t="s">
        <v>30</v>
      </c>
      <c r="T103">
        <v>0.01</v>
      </c>
      <c r="U103" t="s">
        <v>31</v>
      </c>
      <c r="V103">
        <v>0</v>
      </c>
    </row>
    <row r="104" spans="1:22" x14ac:dyDescent="0.25">
      <c r="A104" t="s">
        <v>200</v>
      </c>
      <c r="B104" t="s">
        <v>56</v>
      </c>
      <c r="C104" t="s">
        <v>57</v>
      </c>
      <c r="D104" t="s">
        <v>58</v>
      </c>
      <c r="E104" t="s">
        <v>45</v>
      </c>
      <c r="F104" t="s">
        <v>50</v>
      </c>
      <c r="G104" s="1">
        <v>46062</v>
      </c>
      <c r="H104" s="1">
        <v>46092</v>
      </c>
      <c r="I104">
        <v>30</v>
      </c>
      <c r="J104">
        <v>3514.99</v>
      </c>
      <c r="K104">
        <v>3514.99</v>
      </c>
      <c r="L104">
        <v>0</v>
      </c>
      <c r="M104" s="1">
        <v>46087</v>
      </c>
      <c r="N104" t="s">
        <v>28</v>
      </c>
      <c r="O104" t="s">
        <v>29</v>
      </c>
      <c r="P104">
        <v>25</v>
      </c>
      <c r="Q104">
        <v>5</v>
      </c>
      <c r="R104" t="s">
        <v>30</v>
      </c>
      <c r="S104" t="s">
        <v>30</v>
      </c>
      <c r="T104">
        <v>0.01</v>
      </c>
      <c r="U104" t="s">
        <v>31</v>
      </c>
      <c r="V104">
        <v>0</v>
      </c>
    </row>
    <row r="105" spans="1:22" x14ac:dyDescent="0.25">
      <c r="A105" t="s">
        <v>201</v>
      </c>
      <c r="B105" t="s">
        <v>66</v>
      </c>
      <c r="C105" t="s">
        <v>67</v>
      </c>
      <c r="D105" t="s">
        <v>35</v>
      </c>
      <c r="E105" t="s">
        <v>45</v>
      </c>
      <c r="F105" t="s">
        <v>92</v>
      </c>
      <c r="G105" s="1">
        <v>46140</v>
      </c>
      <c r="H105" s="1">
        <v>46170</v>
      </c>
      <c r="I105">
        <v>30</v>
      </c>
      <c r="J105">
        <v>6876.85</v>
      </c>
      <c r="K105">
        <v>6876.85</v>
      </c>
      <c r="L105">
        <v>0</v>
      </c>
      <c r="M105" s="1">
        <v>46160</v>
      </c>
      <c r="N105" t="s">
        <v>28</v>
      </c>
      <c r="O105" t="s">
        <v>77</v>
      </c>
      <c r="P105">
        <v>20</v>
      </c>
      <c r="Q105">
        <v>10</v>
      </c>
      <c r="R105" t="s">
        <v>30</v>
      </c>
      <c r="S105" t="s">
        <v>31</v>
      </c>
      <c r="T105">
        <v>0</v>
      </c>
      <c r="U105" t="s">
        <v>31</v>
      </c>
      <c r="V105">
        <v>0</v>
      </c>
    </row>
    <row r="106" spans="1:22" x14ac:dyDescent="0.25">
      <c r="A106" t="s">
        <v>202</v>
      </c>
      <c r="B106" t="s">
        <v>52</v>
      </c>
      <c r="C106" t="s">
        <v>53</v>
      </c>
      <c r="D106" t="s">
        <v>54</v>
      </c>
      <c r="E106" t="s">
        <v>26</v>
      </c>
      <c r="F106" t="s">
        <v>41</v>
      </c>
      <c r="G106" s="1">
        <v>45777</v>
      </c>
      <c r="H106" s="1">
        <v>45837</v>
      </c>
      <c r="I106">
        <v>60</v>
      </c>
      <c r="J106">
        <v>2526.77</v>
      </c>
      <c r="K106">
        <v>2526.77</v>
      </c>
      <c r="L106">
        <v>0</v>
      </c>
      <c r="M106" s="1">
        <v>45834</v>
      </c>
      <c r="N106" t="s">
        <v>28</v>
      </c>
      <c r="O106" t="s">
        <v>29</v>
      </c>
      <c r="P106">
        <v>57</v>
      </c>
      <c r="Q106">
        <v>3</v>
      </c>
      <c r="R106" t="s">
        <v>30</v>
      </c>
      <c r="S106" t="s">
        <v>31</v>
      </c>
      <c r="T106">
        <v>0</v>
      </c>
      <c r="U106" t="s">
        <v>31</v>
      </c>
      <c r="V106">
        <v>0</v>
      </c>
    </row>
    <row r="107" spans="1:22" x14ac:dyDescent="0.25">
      <c r="A107" t="s">
        <v>203</v>
      </c>
      <c r="B107" t="s">
        <v>79</v>
      </c>
      <c r="C107" t="s">
        <v>80</v>
      </c>
      <c r="D107" t="s">
        <v>49</v>
      </c>
      <c r="E107" t="s">
        <v>40</v>
      </c>
      <c r="F107" t="s">
        <v>41</v>
      </c>
      <c r="G107" s="1">
        <v>46087</v>
      </c>
      <c r="H107" s="1">
        <v>46147</v>
      </c>
      <c r="I107">
        <v>60</v>
      </c>
      <c r="J107">
        <v>30192.34</v>
      </c>
      <c r="K107">
        <v>21643.27</v>
      </c>
      <c r="L107">
        <v>8549.07</v>
      </c>
      <c r="M107" s="1">
        <v>46161</v>
      </c>
      <c r="N107" t="s">
        <v>98</v>
      </c>
      <c r="O107" t="s">
        <v>69</v>
      </c>
      <c r="P107">
        <v>74</v>
      </c>
      <c r="Q107">
        <v>-14</v>
      </c>
      <c r="R107" t="s">
        <v>31</v>
      </c>
      <c r="S107" t="s">
        <v>31</v>
      </c>
      <c r="T107">
        <v>0</v>
      </c>
      <c r="U107" t="s">
        <v>31</v>
      </c>
      <c r="V107">
        <v>0</v>
      </c>
    </row>
    <row r="108" spans="1:22" x14ac:dyDescent="0.25">
      <c r="A108" t="s">
        <v>204</v>
      </c>
      <c r="B108" t="s">
        <v>38</v>
      </c>
      <c r="C108" t="s">
        <v>39</v>
      </c>
      <c r="D108" t="s">
        <v>35</v>
      </c>
      <c r="E108" t="s">
        <v>68</v>
      </c>
      <c r="F108" t="s">
        <v>27</v>
      </c>
      <c r="G108" s="1">
        <v>46112</v>
      </c>
      <c r="H108" s="1">
        <v>46142</v>
      </c>
      <c r="I108">
        <v>30</v>
      </c>
      <c r="J108">
        <v>38352.19</v>
      </c>
      <c r="K108">
        <v>38352.19</v>
      </c>
      <c r="L108">
        <v>0</v>
      </c>
      <c r="M108" s="1">
        <v>46142</v>
      </c>
      <c r="N108" t="s">
        <v>28</v>
      </c>
      <c r="O108" t="s">
        <v>29</v>
      </c>
      <c r="P108">
        <v>30</v>
      </c>
      <c r="Q108">
        <v>0</v>
      </c>
      <c r="R108" t="s">
        <v>30</v>
      </c>
      <c r="S108" t="s">
        <v>30</v>
      </c>
      <c r="T108">
        <v>0.01</v>
      </c>
      <c r="U108" t="s">
        <v>31</v>
      </c>
      <c r="V108">
        <v>0</v>
      </c>
    </row>
    <row r="109" spans="1:22" x14ac:dyDescent="0.25">
      <c r="A109" t="s">
        <v>205</v>
      </c>
      <c r="B109" t="s">
        <v>128</v>
      </c>
      <c r="C109" t="s">
        <v>129</v>
      </c>
      <c r="D109" t="s">
        <v>73</v>
      </c>
      <c r="E109" t="s">
        <v>63</v>
      </c>
      <c r="F109" t="s">
        <v>92</v>
      </c>
      <c r="G109" s="1">
        <v>45940</v>
      </c>
      <c r="H109" s="1">
        <v>46000</v>
      </c>
      <c r="I109">
        <v>60</v>
      </c>
      <c r="J109">
        <v>8263.68</v>
      </c>
      <c r="K109">
        <v>4357.92</v>
      </c>
      <c r="L109">
        <v>3905.76</v>
      </c>
      <c r="M109" s="1">
        <v>46016</v>
      </c>
      <c r="N109" t="s">
        <v>98</v>
      </c>
      <c r="O109" t="s">
        <v>77</v>
      </c>
      <c r="P109">
        <v>76</v>
      </c>
      <c r="Q109">
        <v>-16</v>
      </c>
      <c r="R109" t="s">
        <v>31</v>
      </c>
      <c r="S109" t="s">
        <v>30</v>
      </c>
      <c r="T109">
        <v>0.01</v>
      </c>
      <c r="U109" t="s">
        <v>31</v>
      </c>
      <c r="V109">
        <v>0</v>
      </c>
    </row>
    <row r="110" spans="1:22" x14ac:dyDescent="0.25">
      <c r="A110" t="s">
        <v>206</v>
      </c>
      <c r="B110" t="s">
        <v>153</v>
      </c>
      <c r="C110" t="s">
        <v>154</v>
      </c>
      <c r="D110" t="s">
        <v>58</v>
      </c>
      <c r="E110" t="s">
        <v>63</v>
      </c>
      <c r="F110" t="s">
        <v>27</v>
      </c>
      <c r="G110" s="1">
        <v>45907</v>
      </c>
      <c r="H110" s="1">
        <v>45967</v>
      </c>
      <c r="I110">
        <v>60</v>
      </c>
      <c r="J110">
        <v>39586.370000000003</v>
      </c>
      <c r="K110">
        <v>39586.370000000003</v>
      </c>
      <c r="L110">
        <v>0</v>
      </c>
      <c r="M110" s="1">
        <v>45971</v>
      </c>
      <c r="N110" t="s">
        <v>28</v>
      </c>
      <c r="O110" t="s">
        <v>77</v>
      </c>
      <c r="P110">
        <v>64</v>
      </c>
      <c r="Q110">
        <v>-4</v>
      </c>
      <c r="R110" t="s">
        <v>31</v>
      </c>
      <c r="S110" t="s">
        <v>31</v>
      </c>
      <c r="T110">
        <v>0</v>
      </c>
      <c r="U110" t="s">
        <v>31</v>
      </c>
      <c r="V110">
        <v>0</v>
      </c>
    </row>
    <row r="111" spans="1:22" x14ac:dyDescent="0.25">
      <c r="A111" t="s">
        <v>207</v>
      </c>
      <c r="B111" t="s">
        <v>66</v>
      </c>
      <c r="C111" t="s">
        <v>67</v>
      </c>
      <c r="D111" t="s">
        <v>35</v>
      </c>
      <c r="E111" t="s">
        <v>40</v>
      </c>
      <c r="F111" t="s">
        <v>64</v>
      </c>
      <c r="G111" s="1">
        <v>45660</v>
      </c>
      <c r="H111" s="1">
        <v>45690</v>
      </c>
      <c r="I111">
        <v>30</v>
      </c>
      <c r="J111">
        <v>25795.61</v>
      </c>
      <c r="K111">
        <v>0</v>
      </c>
      <c r="L111">
        <v>25795.61</v>
      </c>
      <c r="N111" t="s">
        <v>59</v>
      </c>
      <c r="O111" t="s">
        <v>29</v>
      </c>
      <c r="Q111">
        <v>-483</v>
      </c>
      <c r="R111" t="s">
        <v>31</v>
      </c>
      <c r="S111" t="s">
        <v>31</v>
      </c>
      <c r="T111">
        <v>0</v>
      </c>
      <c r="U111" t="s">
        <v>31</v>
      </c>
      <c r="V111">
        <v>0</v>
      </c>
    </row>
    <row r="112" spans="1:22" x14ac:dyDescent="0.25">
      <c r="A112" t="s">
        <v>208</v>
      </c>
      <c r="B112" t="s">
        <v>79</v>
      </c>
      <c r="C112" t="s">
        <v>80</v>
      </c>
      <c r="D112" t="s">
        <v>49</v>
      </c>
      <c r="E112" t="s">
        <v>68</v>
      </c>
      <c r="F112" t="s">
        <v>64</v>
      </c>
      <c r="G112" s="1">
        <v>45792</v>
      </c>
      <c r="H112" s="1">
        <v>45807</v>
      </c>
      <c r="I112">
        <v>15</v>
      </c>
      <c r="J112">
        <v>2713.3</v>
      </c>
      <c r="K112">
        <v>2713.3</v>
      </c>
      <c r="L112">
        <v>0</v>
      </c>
      <c r="M112" s="1">
        <v>45799</v>
      </c>
      <c r="N112" t="s">
        <v>28</v>
      </c>
      <c r="O112" t="s">
        <v>77</v>
      </c>
      <c r="P112">
        <v>7</v>
      </c>
      <c r="Q112">
        <v>8</v>
      </c>
      <c r="R112" t="s">
        <v>30</v>
      </c>
      <c r="S112" t="s">
        <v>31</v>
      </c>
      <c r="T112">
        <v>0</v>
      </c>
      <c r="U112" t="s">
        <v>31</v>
      </c>
      <c r="V112">
        <v>0</v>
      </c>
    </row>
    <row r="113" spans="1:22" x14ac:dyDescent="0.25">
      <c r="A113" t="s">
        <v>209</v>
      </c>
      <c r="B113" t="s">
        <v>143</v>
      </c>
      <c r="C113" t="s">
        <v>144</v>
      </c>
      <c r="D113" t="s">
        <v>25</v>
      </c>
      <c r="E113" t="s">
        <v>26</v>
      </c>
      <c r="F113" t="s">
        <v>64</v>
      </c>
      <c r="G113" s="1">
        <v>45787</v>
      </c>
      <c r="H113" s="1">
        <v>45802</v>
      </c>
      <c r="I113">
        <v>15</v>
      </c>
      <c r="J113">
        <v>15092.64</v>
      </c>
      <c r="K113">
        <v>15092.64</v>
      </c>
      <c r="L113">
        <v>0</v>
      </c>
      <c r="M113" s="1">
        <v>45789</v>
      </c>
      <c r="N113" t="s">
        <v>28</v>
      </c>
      <c r="O113" t="s">
        <v>29</v>
      </c>
      <c r="P113">
        <v>2</v>
      </c>
      <c r="Q113">
        <v>13</v>
      </c>
      <c r="R113" t="s">
        <v>30</v>
      </c>
      <c r="S113" t="s">
        <v>30</v>
      </c>
      <c r="T113">
        <v>0.02</v>
      </c>
      <c r="U113" t="s">
        <v>30</v>
      </c>
      <c r="V113">
        <v>301.85000000000002</v>
      </c>
    </row>
    <row r="114" spans="1:22" x14ac:dyDescent="0.25">
      <c r="A114" t="s">
        <v>210</v>
      </c>
      <c r="B114" t="s">
        <v>82</v>
      </c>
      <c r="C114" t="s">
        <v>83</v>
      </c>
      <c r="D114" t="s">
        <v>58</v>
      </c>
      <c r="E114" t="s">
        <v>63</v>
      </c>
      <c r="F114" t="s">
        <v>27</v>
      </c>
      <c r="G114" s="1">
        <v>45702</v>
      </c>
      <c r="H114" s="1">
        <v>45732</v>
      </c>
      <c r="I114">
        <v>30</v>
      </c>
      <c r="J114">
        <v>29907.99</v>
      </c>
      <c r="K114">
        <v>29907.99</v>
      </c>
      <c r="L114">
        <v>0</v>
      </c>
      <c r="M114" s="1">
        <v>45734</v>
      </c>
      <c r="N114" t="s">
        <v>28</v>
      </c>
      <c r="O114" t="s">
        <v>69</v>
      </c>
      <c r="P114">
        <v>32</v>
      </c>
      <c r="Q114">
        <v>-2</v>
      </c>
      <c r="R114" t="s">
        <v>31</v>
      </c>
      <c r="S114" t="s">
        <v>31</v>
      </c>
      <c r="T114">
        <v>0</v>
      </c>
      <c r="U114" t="s">
        <v>31</v>
      </c>
      <c r="V114">
        <v>0</v>
      </c>
    </row>
    <row r="115" spans="1:22" x14ac:dyDescent="0.25">
      <c r="A115" t="s">
        <v>211</v>
      </c>
      <c r="B115" t="s">
        <v>88</v>
      </c>
      <c r="C115" t="s">
        <v>89</v>
      </c>
      <c r="D115" t="s">
        <v>35</v>
      </c>
      <c r="E115" t="s">
        <v>45</v>
      </c>
      <c r="F115" t="s">
        <v>27</v>
      </c>
      <c r="G115" s="1">
        <v>46069</v>
      </c>
      <c r="H115" s="1">
        <v>46159</v>
      </c>
      <c r="I115">
        <v>90</v>
      </c>
      <c r="J115">
        <v>36970.519999999997</v>
      </c>
      <c r="K115">
        <v>36970.519999999997</v>
      </c>
      <c r="L115">
        <v>0</v>
      </c>
      <c r="M115" s="1">
        <v>46164</v>
      </c>
      <c r="N115" t="s">
        <v>28</v>
      </c>
      <c r="O115" t="s">
        <v>77</v>
      </c>
      <c r="P115">
        <v>95</v>
      </c>
      <c r="Q115">
        <v>-5</v>
      </c>
      <c r="R115" t="s">
        <v>31</v>
      </c>
      <c r="S115" t="s">
        <v>30</v>
      </c>
      <c r="T115">
        <v>5.0000000000000001E-3</v>
      </c>
      <c r="U115" t="s">
        <v>31</v>
      </c>
      <c r="V115">
        <v>0</v>
      </c>
    </row>
    <row r="116" spans="1:22" x14ac:dyDescent="0.25">
      <c r="A116" t="s">
        <v>212</v>
      </c>
      <c r="B116" t="s">
        <v>75</v>
      </c>
      <c r="C116" t="s">
        <v>76</v>
      </c>
      <c r="D116" t="s">
        <v>35</v>
      </c>
      <c r="E116" t="s">
        <v>26</v>
      </c>
      <c r="F116" t="s">
        <v>64</v>
      </c>
      <c r="G116" s="1">
        <v>46048</v>
      </c>
      <c r="H116" s="1">
        <v>46108</v>
      </c>
      <c r="I116">
        <v>60</v>
      </c>
      <c r="J116">
        <v>79597.08</v>
      </c>
      <c r="K116">
        <v>79597.08</v>
      </c>
      <c r="L116">
        <v>0</v>
      </c>
      <c r="M116" s="1">
        <v>46104</v>
      </c>
      <c r="N116" t="s">
        <v>28</v>
      </c>
      <c r="O116" t="s">
        <v>29</v>
      </c>
      <c r="P116">
        <v>56</v>
      </c>
      <c r="Q116">
        <v>4</v>
      </c>
      <c r="R116" t="s">
        <v>30</v>
      </c>
      <c r="S116" t="s">
        <v>30</v>
      </c>
      <c r="T116">
        <v>0.01</v>
      </c>
      <c r="U116" t="s">
        <v>31</v>
      </c>
      <c r="V116">
        <v>0</v>
      </c>
    </row>
    <row r="117" spans="1:22" x14ac:dyDescent="0.25">
      <c r="A117" t="s">
        <v>213</v>
      </c>
      <c r="B117" t="s">
        <v>187</v>
      </c>
      <c r="C117" t="s">
        <v>188</v>
      </c>
      <c r="D117" t="s">
        <v>73</v>
      </c>
      <c r="E117" t="s">
        <v>45</v>
      </c>
      <c r="F117" t="s">
        <v>27</v>
      </c>
      <c r="G117" s="1">
        <v>46098</v>
      </c>
      <c r="H117" s="1">
        <v>46128</v>
      </c>
      <c r="I117">
        <v>30</v>
      </c>
      <c r="J117">
        <v>16901.310000000001</v>
      </c>
      <c r="K117">
        <v>16901.310000000001</v>
      </c>
      <c r="L117">
        <v>0</v>
      </c>
      <c r="M117" s="1">
        <v>46125</v>
      </c>
      <c r="N117" t="s">
        <v>28</v>
      </c>
      <c r="O117" t="s">
        <v>77</v>
      </c>
      <c r="P117">
        <v>27</v>
      </c>
      <c r="Q117">
        <v>3</v>
      </c>
      <c r="R117" t="s">
        <v>30</v>
      </c>
      <c r="S117" t="s">
        <v>30</v>
      </c>
      <c r="T117">
        <v>0.01</v>
      </c>
      <c r="U117" t="s">
        <v>31</v>
      </c>
      <c r="V117">
        <v>0</v>
      </c>
    </row>
    <row r="118" spans="1:22" x14ac:dyDescent="0.25">
      <c r="A118" t="s">
        <v>214</v>
      </c>
      <c r="B118" t="s">
        <v>38</v>
      </c>
      <c r="C118" t="s">
        <v>39</v>
      </c>
      <c r="D118" t="s">
        <v>35</v>
      </c>
      <c r="E118" t="s">
        <v>68</v>
      </c>
      <c r="F118" t="s">
        <v>92</v>
      </c>
      <c r="G118" s="1">
        <v>46143</v>
      </c>
      <c r="H118" s="1">
        <v>46173</v>
      </c>
      <c r="I118">
        <v>30</v>
      </c>
      <c r="J118">
        <v>10035</v>
      </c>
      <c r="K118">
        <v>0</v>
      </c>
      <c r="L118">
        <v>10035</v>
      </c>
      <c r="N118" t="s">
        <v>93</v>
      </c>
      <c r="O118" t="s">
        <v>29</v>
      </c>
      <c r="S118" t="s">
        <v>31</v>
      </c>
      <c r="T118">
        <v>0</v>
      </c>
      <c r="U118" t="s">
        <v>31</v>
      </c>
      <c r="V118">
        <v>0</v>
      </c>
    </row>
    <row r="119" spans="1:22" x14ac:dyDescent="0.25">
      <c r="A119" t="s">
        <v>215</v>
      </c>
      <c r="B119" t="s">
        <v>71</v>
      </c>
      <c r="C119" t="s">
        <v>72</v>
      </c>
      <c r="D119" t="s">
        <v>73</v>
      </c>
      <c r="E119" t="s">
        <v>68</v>
      </c>
      <c r="F119" t="s">
        <v>64</v>
      </c>
      <c r="G119" s="1">
        <v>45783</v>
      </c>
      <c r="H119" s="1">
        <v>45843</v>
      </c>
      <c r="I119">
        <v>60</v>
      </c>
      <c r="J119">
        <v>15556.68</v>
      </c>
      <c r="K119">
        <v>0</v>
      </c>
      <c r="L119">
        <v>15556.68</v>
      </c>
      <c r="N119" t="s">
        <v>59</v>
      </c>
      <c r="O119" t="s">
        <v>77</v>
      </c>
      <c r="Q119">
        <v>-330</v>
      </c>
      <c r="R119" t="s">
        <v>31</v>
      </c>
      <c r="S119" t="s">
        <v>31</v>
      </c>
      <c r="T119">
        <v>0</v>
      </c>
      <c r="U119" t="s">
        <v>31</v>
      </c>
      <c r="V119">
        <v>0</v>
      </c>
    </row>
    <row r="120" spans="1:22" x14ac:dyDescent="0.25">
      <c r="A120" t="s">
        <v>216</v>
      </c>
      <c r="B120" t="s">
        <v>38</v>
      </c>
      <c r="C120" t="s">
        <v>39</v>
      </c>
      <c r="D120" t="s">
        <v>35</v>
      </c>
      <c r="E120" t="s">
        <v>26</v>
      </c>
      <c r="F120" t="s">
        <v>92</v>
      </c>
      <c r="G120" s="1">
        <v>45764</v>
      </c>
      <c r="H120" s="1">
        <v>45824</v>
      </c>
      <c r="I120">
        <v>60</v>
      </c>
      <c r="J120">
        <v>48343.89</v>
      </c>
      <c r="K120">
        <v>48343.89</v>
      </c>
      <c r="L120">
        <v>0</v>
      </c>
      <c r="M120" s="1">
        <v>45825</v>
      </c>
      <c r="N120" t="s">
        <v>28</v>
      </c>
      <c r="O120" t="s">
        <v>29</v>
      </c>
      <c r="P120">
        <v>61</v>
      </c>
      <c r="Q120">
        <v>-1</v>
      </c>
      <c r="R120" t="s">
        <v>31</v>
      </c>
      <c r="S120" t="s">
        <v>30</v>
      </c>
      <c r="T120">
        <v>0.01</v>
      </c>
      <c r="U120" t="s">
        <v>31</v>
      </c>
      <c r="V120">
        <v>0</v>
      </c>
    </row>
    <row r="121" spans="1:22" x14ac:dyDescent="0.25">
      <c r="A121" t="s">
        <v>217</v>
      </c>
      <c r="B121" t="s">
        <v>52</v>
      </c>
      <c r="C121" t="s">
        <v>53</v>
      </c>
      <c r="D121" t="s">
        <v>54</v>
      </c>
      <c r="E121" t="s">
        <v>26</v>
      </c>
      <c r="F121" t="s">
        <v>92</v>
      </c>
      <c r="G121" s="1">
        <v>45943</v>
      </c>
      <c r="H121" s="1">
        <v>45973</v>
      </c>
      <c r="I121">
        <v>30</v>
      </c>
      <c r="J121">
        <v>8824.4500000000007</v>
      </c>
      <c r="K121">
        <v>6947.25</v>
      </c>
      <c r="L121">
        <v>1877.2</v>
      </c>
      <c r="M121" s="1">
        <v>45987</v>
      </c>
      <c r="N121" t="s">
        <v>98</v>
      </c>
      <c r="O121" t="s">
        <v>29</v>
      </c>
      <c r="P121">
        <v>44</v>
      </c>
      <c r="Q121">
        <v>-14</v>
      </c>
      <c r="R121" t="s">
        <v>31</v>
      </c>
      <c r="S121" t="s">
        <v>31</v>
      </c>
      <c r="T121">
        <v>0</v>
      </c>
      <c r="U121" t="s">
        <v>31</v>
      </c>
      <c r="V121">
        <v>0</v>
      </c>
    </row>
    <row r="122" spans="1:22" x14ac:dyDescent="0.25">
      <c r="A122" t="s">
        <v>218</v>
      </c>
      <c r="B122" t="s">
        <v>187</v>
      </c>
      <c r="C122" t="s">
        <v>188</v>
      </c>
      <c r="D122" t="s">
        <v>73</v>
      </c>
      <c r="E122" t="s">
        <v>63</v>
      </c>
      <c r="F122" t="s">
        <v>27</v>
      </c>
      <c r="G122" s="1">
        <v>45842</v>
      </c>
      <c r="H122" s="1">
        <v>45857</v>
      </c>
      <c r="I122">
        <v>15</v>
      </c>
      <c r="J122">
        <v>11017.92</v>
      </c>
      <c r="K122">
        <v>0</v>
      </c>
      <c r="L122">
        <v>11017.92</v>
      </c>
      <c r="N122" t="s">
        <v>59</v>
      </c>
      <c r="O122" t="s">
        <v>29</v>
      </c>
      <c r="Q122">
        <v>-316</v>
      </c>
      <c r="R122" t="s">
        <v>31</v>
      </c>
      <c r="S122" t="s">
        <v>31</v>
      </c>
      <c r="T122">
        <v>0</v>
      </c>
      <c r="U122" t="s">
        <v>31</v>
      </c>
      <c r="V122">
        <v>0</v>
      </c>
    </row>
    <row r="123" spans="1:22" x14ac:dyDescent="0.25">
      <c r="A123" t="s">
        <v>219</v>
      </c>
      <c r="B123" t="s">
        <v>128</v>
      </c>
      <c r="C123" t="s">
        <v>129</v>
      </c>
      <c r="D123" t="s">
        <v>73</v>
      </c>
      <c r="E123" t="s">
        <v>26</v>
      </c>
      <c r="F123" t="s">
        <v>64</v>
      </c>
      <c r="G123" s="1">
        <v>45729</v>
      </c>
      <c r="H123" s="1">
        <v>45789</v>
      </c>
      <c r="I123">
        <v>60</v>
      </c>
      <c r="J123">
        <v>6681.86</v>
      </c>
      <c r="K123">
        <v>6681.86</v>
      </c>
      <c r="L123">
        <v>0</v>
      </c>
      <c r="M123" s="1">
        <v>45789</v>
      </c>
      <c r="N123" t="s">
        <v>28</v>
      </c>
      <c r="O123" t="s">
        <v>36</v>
      </c>
      <c r="P123">
        <v>60</v>
      </c>
      <c r="Q123">
        <v>0</v>
      </c>
      <c r="R123" t="s">
        <v>30</v>
      </c>
      <c r="S123" t="s">
        <v>30</v>
      </c>
      <c r="T123">
        <v>0.01</v>
      </c>
      <c r="U123" t="s">
        <v>31</v>
      </c>
      <c r="V123">
        <v>0</v>
      </c>
    </row>
    <row r="124" spans="1:22" x14ac:dyDescent="0.25">
      <c r="A124" t="s">
        <v>220</v>
      </c>
      <c r="B124" t="s">
        <v>38</v>
      </c>
      <c r="C124" t="s">
        <v>39</v>
      </c>
      <c r="D124" t="s">
        <v>35</v>
      </c>
      <c r="E124" t="s">
        <v>45</v>
      </c>
      <c r="F124" t="s">
        <v>92</v>
      </c>
      <c r="G124" s="1">
        <v>45977</v>
      </c>
      <c r="H124" s="1">
        <v>46037</v>
      </c>
      <c r="I124">
        <v>60</v>
      </c>
      <c r="J124">
        <v>59119.7</v>
      </c>
      <c r="K124">
        <v>59119.7</v>
      </c>
      <c r="L124">
        <v>0</v>
      </c>
      <c r="M124" s="1">
        <v>46032</v>
      </c>
      <c r="N124" t="s">
        <v>28</v>
      </c>
      <c r="O124" t="s">
        <v>36</v>
      </c>
      <c r="P124">
        <v>55</v>
      </c>
      <c r="Q124">
        <v>5</v>
      </c>
      <c r="R124" t="s">
        <v>30</v>
      </c>
      <c r="S124" t="s">
        <v>31</v>
      </c>
      <c r="T124">
        <v>0</v>
      </c>
      <c r="U124" t="s">
        <v>31</v>
      </c>
      <c r="V124">
        <v>0</v>
      </c>
    </row>
    <row r="125" spans="1:22" x14ac:dyDescent="0.25">
      <c r="A125" t="s">
        <v>221</v>
      </c>
      <c r="B125" t="s">
        <v>43</v>
      </c>
      <c r="C125" t="s">
        <v>44</v>
      </c>
      <c r="D125" t="s">
        <v>25</v>
      </c>
      <c r="E125" t="s">
        <v>26</v>
      </c>
      <c r="F125" t="s">
        <v>64</v>
      </c>
      <c r="G125" s="1">
        <v>45741</v>
      </c>
      <c r="H125" s="1">
        <v>45756</v>
      </c>
      <c r="I125">
        <v>15</v>
      </c>
      <c r="J125">
        <v>6169.95</v>
      </c>
      <c r="K125">
        <v>6169.95</v>
      </c>
      <c r="L125">
        <v>0</v>
      </c>
      <c r="M125" s="1">
        <v>45751</v>
      </c>
      <c r="N125" t="s">
        <v>28</v>
      </c>
      <c r="O125" t="s">
        <v>36</v>
      </c>
      <c r="P125">
        <v>10</v>
      </c>
      <c r="Q125">
        <v>5</v>
      </c>
      <c r="R125" t="s">
        <v>30</v>
      </c>
      <c r="S125" t="s">
        <v>30</v>
      </c>
      <c r="T125">
        <v>0.02</v>
      </c>
      <c r="U125" t="s">
        <v>31</v>
      </c>
      <c r="V125">
        <v>0</v>
      </c>
    </row>
    <row r="126" spans="1:22" x14ac:dyDescent="0.25">
      <c r="A126" t="s">
        <v>222</v>
      </c>
      <c r="B126" t="s">
        <v>85</v>
      </c>
      <c r="C126" t="s">
        <v>86</v>
      </c>
      <c r="D126" t="s">
        <v>25</v>
      </c>
      <c r="E126" t="s">
        <v>63</v>
      </c>
      <c r="F126" t="s">
        <v>27</v>
      </c>
      <c r="G126" s="1">
        <v>45771</v>
      </c>
      <c r="H126" s="1">
        <v>45831</v>
      </c>
      <c r="I126">
        <v>60</v>
      </c>
      <c r="J126">
        <v>6381.68</v>
      </c>
      <c r="K126">
        <v>6381.68</v>
      </c>
      <c r="L126">
        <v>0</v>
      </c>
      <c r="M126" s="1">
        <v>45833</v>
      </c>
      <c r="N126" t="s">
        <v>28</v>
      </c>
      <c r="O126" t="s">
        <v>29</v>
      </c>
      <c r="P126">
        <v>62</v>
      </c>
      <c r="Q126">
        <v>-2</v>
      </c>
      <c r="R126" t="s">
        <v>31</v>
      </c>
      <c r="S126" t="s">
        <v>30</v>
      </c>
      <c r="T126">
        <v>0.01</v>
      </c>
      <c r="U126" t="s">
        <v>31</v>
      </c>
      <c r="V126">
        <v>0</v>
      </c>
    </row>
    <row r="127" spans="1:22" x14ac:dyDescent="0.25">
      <c r="A127" t="s">
        <v>223</v>
      </c>
      <c r="B127" t="s">
        <v>56</v>
      </c>
      <c r="C127" t="s">
        <v>57</v>
      </c>
      <c r="D127" t="s">
        <v>58</v>
      </c>
      <c r="E127" t="s">
        <v>68</v>
      </c>
      <c r="F127" t="s">
        <v>27</v>
      </c>
      <c r="G127" s="1">
        <v>45714</v>
      </c>
      <c r="H127" s="1">
        <v>45774</v>
      </c>
      <c r="I127">
        <v>60</v>
      </c>
      <c r="J127">
        <v>3284.42</v>
      </c>
      <c r="K127">
        <v>3284.42</v>
      </c>
      <c r="L127">
        <v>0</v>
      </c>
      <c r="M127" s="1">
        <v>45777</v>
      </c>
      <c r="N127" t="s">
        <v>28</v>
      </c>
      <c r="O127" t="s">
        <v>36</v>
      </c>
      <c r="P127">
        <v>63</v>
      </c>
      <c r="Q127">
        <v>-3</v>
      </c>
      <c r="R127" t="s">
        <v>31</v>
      </c>
      <c r="S127" t="s">
        <v>30</v>
      </c>
      <c r="T127">
        <v>0.01</v>
      </c>
      <c r="U127" t="s">
        <v>31</v>
      </c>
      <c r="V127">
        <v>0</v>
      </c>
    </row>
    <row r="128" spans="1:22" x14ac:dyDescent="0.25">
      <c r="A128" t="s">
        <v>224</v>
      </c>
      <c r="B128" t="s">
        <v>143</v>
      </c>
      <c r="C128" t="s">
        <v>144</v>
      </c>
      <c r="D128" t="s">
        <v>25</v>
      </c>
      <c r="E128" t="s">
        <v>26</v>
      </c>
      <c r="F128" t="s">
        <v>27</v>
      </c>
      <c r="G128" s="1">
        <v>45837</v>
      </c>
      <c r="H128" s="1">
        <v>45897</v>
      </c>
      <c r="I128">
        <v>60</v>
      </c>
      <c r="J128">
        <v>3454.53</v>
      </c>
      <c r="K128">
        <v>3454.53</v>
      </c>
      <c r="L128">
        <v>0</v>
      </c>
      <c r="M128" s="1">
        <v>45901</v>
      </c>
      <c r="N128" t="s">
        <v>28</v>
      </c>
      <c r="O128" t="s">
        <v>69</v>
      </c>
      <c r="P128">
        <v>64</v>
      </c>
      <c r="Q128">
        <v>-4</v>
      </c>
      <c r="R128" t="s">
        <v>31</v>
      </c>
      <c r="S128" t="s">
        <v>30</v>
      </c>
      <c r="T128">
        <v>0.01</v>
      </c>
      <c r="U128" t="s">
        <v>31</v>
      </c>
      <c r="V128">
        <v>0</v>
      </c>
    </row>
    <row r="129" spans="1:22" x14ac:dyDescent="0.25">
      <c r="A129" t="s">
        <v>225</v>
      </c>
      <c r="B129" t="s">
        <v>79</v>
      </c>
      <c r="C129" t="s">
        <v>80</v>
      </c>
      <c r="D129" t="s">
        <v>49</v>
      </c>
      <c r="E129" t="s">
        <v>68</v>
      </c>
      <c r="F129" t="s">
        <v>27</v>
      </c>
      <c r="G129" s="1">
        <v>46104</v>
      </c>
      <c r="H129" s="1">
        <v>46119</v>
      </c>
      <c r="I129">
        <v>15</v>
      </c>
      <c r="J129">
        <v>2899.59</v>
      </c>
      <c r="K129">
        <v>1701.19</v>
      </c>
      <c r="L129">
        <v>1198.4000000000001</v>
      </c>
      <c r="M129" s="1">
        <v>46136</v>
      </c>
      <c r="N129" t="s">
        <v>98</v>
      </c>
      <c r="O129" t="s">
        <v>69</v>
      </c>
      <c r="P129">
        <v>32</v>
      </c>
      <c r="Q129">
        <v>-17</v>
      </c>
      <c r="R129" t="s">
        <v>31</v>
      </c>
      <c r="S129" t="s">
        <v>31</v>
      </c>
      <c r="T129">
        <v>0</v>
      </c>
      <c r="U129" t="s">
        <v>31</v>
      </c>
      <c r="V129">
        <v>0</v>
      </c>
    </row>
    <row r="130" spans="1:22" x14ac:dyDescent="0.25">
      <c r="A130" t="s">
        <v>226</v>
      </c>
      <c r="B130" t="s">
        <v>23</v>
      </c>
      <c r="C130" t="s">
        <v>24</v>
      </c>
      <c r="D130" t="s">
        <v>25</v>
      </c>
      <c r="E130" t="s">
        <v>45</v>
      </c>
      <c r="F130" t="s">
        <v>92</v>
      </c>
      <c r="G130" s="1">
        <v>45679</v>
      </c>
      <c r="H130" s="1">
        <v>45739</v>
      </c>
      <c r="I130">
        <v>60</v>
      </c>
      <c r="J130">
        <v>19357.79</v>
      </c>
      <c r="K130">
        <v>0</v>
      </c>
      <c r="L130">
        <v>19357.79</v>
      </c>
      <c r="N130" t="s">
        <v>59</v>
      </c>
      <c r="O130" t="s">
        <v>77</v>
      </c>
      <c r="Q130">
        <v>-434</v>
      </c>
      <c r="R130" t="s">
        <v>31</v>
      </c>
      <c r="S130" t="s">
        <v>30</v>
      </c>
      <c r="T130">
        <v>0.01</v>
      </c>
      <c r="U130" t="s">
        <v>31</v>
      </c>
      <c r="V130">
        <v>0</v>
      </c>
    </row>
    <row r="131" spans="1:22" x14ac:dyDescent="0.25">
      <c r="A131" t="s">
        <v>227</v>
      </c>
      <c r="B131" t="s">
        <v>113</v>
      </c>
      <c r="C131" t="s">
        <v>114</v>
      </c>
      <c r="D131" t="s">
        <v>25</v>
      </c>
      <c r="E131" t="s">
        <v>68</v>
      </c>
      <c r="F131" t="s">
        <v>27</v>
      </c>
      <c r="G131" s="1">
        <v>45907</v>
      </c>
      <c r="H131" s="1">
        <v>45937</v>
      </c>
      <c r="I131">
        <v>30</v>
      </c>
      <c r="J131">
        <v>9277.85</v>
      </c>
      <c r="K131">
        <v>9277.85</v>
      </c>
      <c r="L131">
        <v>0</v>
      </c>
      <c r="M131" s="1">
        <v>45946</v>
      </c>
      <c r="N131" t="s">
        <v>28</v>
      </c>
      <c r="O131" t="s">
        <v>69</v>
      </c>
      <c r="P131">
        <v>39</v>
      </c>
      <c r="Q131">
        <v>-9</v>
      </c>
      <c r="R131" t="s">
        <v>31</v>
      </c>
      <c r="S131" t="s">
        <v>30</v>
      </c>
      <c r="T131">
        <v>0.01</v>
      </c>
      <c r="U131" t="s">
        <v>31</v>
      </c>
      <c r="V131">
        <v>0</v>
      </c>
    </row>
    <row r="132" spans="1:22" x14ac:dyDescent="0.25">
      <c r="A132" t="s">
        <v>228</v>
      </c>
      <c r="B132" t="s">
        <v>52</v>
      </c>
      <c r="C132" t="s">
        <v>53</v>
      </c>
      <c r="D132" t="s">
        <v>54</v>
      </c>
      <c r="E132" t="s">
        <v>68</v>
      </c>
      <c r="F132" t="s">
        <v>64</v>
      </c>
      <c r="G132" s="1">
        <v>45856</v>
      </c>
      <c r="H132" s="1">
        <v>45886</v>
      </c>
      <c r="I132">
        <v>30</v>
      </c>
      <c r="J132">
        <v>13635.88</v>
      </c>
      <c r="K132">
        <v>13635.88</v>
      </c>
      <c r="L132">
        <v>0</v>
      </c>
      <c r="M132" s="1">
        <v>45877</v>
      </c>
      <c r="N132" t="s">
        <v>28</v>
      </c>
      <c r="O132" t="s">
        <v>77</v>
      </c>
      <c r="P132">
        <v>21</v>
      </c>
      <c r="Q132">
        <v>9</v>
      </c>
      <c r="R132" t="s">
        <v>30</v>
      </c>
      <c r="S132" t="s">
        <v>30</v>
      </c>
      <c r="T132">
        <v>0.01</v>
      </c>
      <c r="U132" t="s">
        <v>31</v>
      </c>
      <c r="V132">
        <v>0</v>
      </c>
    </row>
    <row r="133" spans="1:22" x14ac:dyDescent="0.25">
      <c r="A133" t="s">
        <v>229</v>
      </c>
      <c r="B133" t="s">
        <v>23</v>
      </c>
      <c r="C133" t="s">
        <v>24</v>
      </c>
      <c r="D133" t="s">
        <v>25</v>
      </c>
      <c r="E133" t="s">
        <v>40</v>
      </c>
      <c r="F133" t="s">
        <v>64</v>
      </c>
      <c r="G133" s="1">
        <v>45920</v>
      </c>
      <c r="H133" s="1">
        <v>45950</v>
      </c>
      <c r="I133">
        <v>30</v>
      </c>
      <c r="J133">
        <v>4748.16</v>
      </c>
      <c r="K133">
        <v>4748.16</v>
      </c>
      <c r="L133">
        <v>0</v>
      </c>
      <c r="M133" s="1">
        <v>45948</v>
      </c>
      <c r="N133" t="s">
        <v>28</v>
      </c>
      <c r="O133" t="s">
        <v>77</v>
      </c>
      <c r="P133">
        <v>28</v>
      </c>
      <c r="Q133">
        <v>2</v>
      </c>
      <c r="R133" t="s">
        <v>30</v>
      </c>
      <c r="S133" t="s">
        <v>30</v>
      </c>
      <c r="T133">
        <v>0.01</v>
      </c>
      <c r="U133" t="s">
        <v>31</v>
      </c>
      <c r="V133">
        <v>0</v>
      </c>
    </row>
    <row r="134" spans="1:22" x14ac:dyDescent="0.25">
      <c r="A134" t="s">
        <v>230</v>
      </c>
      <c r="B134" t="s">
        <v>85</v>
      </c>
      <c r="C134" t="s">
        <v>86</v>
      </c>
      <c r="D134" t="s">
        <v>25</v>
      </c>
      <c r="E134" t="s">
        <v>45</v>
      </c>
      <c r="F134" t="s">
        <v>41</v>
      </c>
      <c r="G134" s="1">
        <v>45981</v>
      </c>
      <c r="H134" s="1">
        <v>46041</v>
      </c>
      <c r="I134">
        <v>60</v>
      </c>
      <c r="J134">
        <v>3868.19</v>
      </c>
      <c r="K134">
        <v>3868.19</v>
      </c>
      <c r="L134">
        <v>0</v>
      </c>
      <c r="M134" s="1">
        <v>46037</v>
      </c>
      <c r="N134" t="s">
        <v>28</v>
      </c>
      <c r="O134" t="s">
        <v>69</v>
      </c>
      <c r="P134">
        <v>56</v>
      </c>
      <c r="Q134">
        <v>4</v>
      </c>
      <c r="R134" t="s">
        <v>30</v>
      </c>
      <c r="S134" t="s">
        <v>30</v>
      </c>
      <c r="T134">
        <v>0.01</v>
      </c>
      <c r="U134" t="s">
        <v>31</v>
      </c>
      <c r="V134">
        <v>0</v>
      </c>
    </row>
    <row r="135" spans="1:22" x14ac:dyDescent="0.25">
      <c r="A135" t="s">
        <v>231</v>
      </c>
      <c r="B135" t="s">
        <v>88</v>
      </c>
      <c r="C135" t="s">
        <v>89</v>
      </c>
      <c r="D135" t="s">
        <v>35</v>
      </c>
      <c r="E135" t="s">
        <v>68</v>
      </c>
      <c r="F135" t="s">
        <v>50</v>
      </c>
      <c r="G135" s="1">
        <v>45733</v>
      </c>
      <c r="H135" s="1">
        <v>45793</v>
      </c>
      <c r="I135">
        <v>60</v>
      </c>
      <c r="J135">
        <v>28280.59</v>
      </c>
      <c r="K135">
        <v>28280.59</v>
      </c>
      <c r="L135">
        <v>0</v>
      </c>
      <c r="M135" s="1">
        <v>45794</v>
      </c>
      <c r="N135" t="s">
        <v>28</v>
      </c>
      <c r="O135" t="s">
        <v>77</v>
      </c>
      <c r="P135">
        <v>61</v>
      </c>
      <c r="Q135">
        <v>-1</v>
      </c>
      <c r="R135" t="s">
        <v>31</v>
      </c>
      <c r="S135" t="s">
        <v>30</v>
      </c>
      <c r="T135">
        <v>0.01</v>
      </c>
      <c r="U135" t="s">
        <v>31</v>
      </c>
      <c r="V135">
        <v>0</v>
      </c>
    </row>
    <row r="136" spans="1:22" x14ac:dyDescent="0.25">
      <c r="A136" t="s">
        <v>232</v>
      </c>
      <c r="B136" t="s">
        <v>43</v>
      </c>
      <c r="C136" t="s">
        <v>44</v>
      </c>
      <c r="D136" t="s">
        <v>25</v>
      </c>
      <c r="E136" t="s">
        <v>63</v>
      </c>
      <c r="F136" t="s">
        <v>50</v>
      </c>
      <c r="G136" s="1">
        <v>45700</v>
      </c>
      <c r="H136" s="1">
        <v>45790</v>
      </c>
      <c r="I136">
        <v>90</v>
      </c>
      <c r="J136">
        <v>9544.94</v>
      </c>
      <c r="K136">
        <v>9544.94</v>
      </c>
      <c r="L136">
        <v>0</v>
      </c>
      <c r="M136" s="1">
        <v>45788</v>
      </c>
      <c r="N136" t="s">
        <v>28</v>
      </c>
      <c r="O136" t="s">
        <v>69</v>
      </c>
      <c r="P136">
        <v>88</v>
      </c>
      <c r="Q136">
        <v>2</v>
      </c>
      <c r="R136" t="s">
        <v>30</v>
      </c>
      <c r="S136" t="s">
        <v>31</v>
      </c>
      <c r="T136">
        <v>0</v>
      </c>
      <c r="U136" t="s">
        <v>31</v>
      </c>
      <c r="V136">
        <v>0</v>
      </c>
    </row>
    <row r="137" spans="1:22" x14ac:dyDescent="0.25">
      <c r="A137" t="s">
        <v>233</v>
      </c>
      <c r="B137" t="s">
        <v>143</v>
      </c>
      <c r="C137" t="s">
        <v>144</v>
      </c>
      <c r="D137" t="s">
        <v>25</v>
      </c>
      <c r="E137" t="s">
        <v>63</v>
      </c>
      <c r="F137" t="s">
        <v>41</v>
      </c>
      <c r="G137" s="1">
        <v>46119</v>
      </c>
      <c r="H137" s="1">
        <v>46134</v>
      </c>
      <c r="I137">
        <v>15</v>
      </c>
      <c r="J137">
        <v>2966.54</v>
      </c>
      <c r="K137">
        <v>2966.54</v>
      </c>
      <c r="L137">
        <v>0</v>
      </c>
      <c r="M137" s="1">
        <v>46130</v>
      </c>
      <c r="N137" t="s">
        <v>28</v>
      </c>
      <c r="O137" t="s">
        <v>36</v>
      </c>
      <c r="P137">
        <v>11</v>
      </c>
      <c r="Q137">
        <v>4</v>
      </c>
      <c r="R137" t="s">
        <v>30</v>
      </c>
      <c r="S137" t="s">
        <v>31</v>
      </c>
      <c r="T137">
        <v>0</v>
      </c>
      <c r="U137" t="s">
        <v>31</v>
      </c>
      <c r="V137">
        <v>0</v>
      </c>
    </row>
    <row r="138" spans="1:22" x14ac:dyDescent="0.25">
      <c r="A138" t="s">
        <v>234</v>
      </c>
      <c r="B138" t="s">
        <v>52</v>
      </c>
      <c r="C138" t="s">
        <v>53</v>
      </c>
      <c r="D138" t="s">
        <v>54</v>
      </c>
      <c r="E138" t="s">
        <v>45</v>
      </c>
      <c r="F138" t="s">
        <v>41</v>
      </c>
      <c r="G138" s="1">
        <v>46039</v>
      </c>
      <c r="H138" s="1">
        <v>46099</v>
      </c>
      <c r="I138">
        <v>60</v>
      </c>
      <c r="J138">
        <v>13810.08</v>
      </c>
      <c r="K138">
        <v>13810.08</v>
      </c>
      <c r="L138">
        <v>0</v>
      </c>
      <c r="M138" s="1">
        <v>46099</v>
      </c>
      <c r="N138" t="s">
        <v>28</v>
      </c>
      <c r="O138" t="s">
        <v>36</v>
      </c>
      <c r="P138">
        <v>60</v>
      </c>
      <c r="Q138">
        <v>0</v>
      </c>
      <c r="R138" t="s">
        <v>30</v>
      </c>
      <c r="S138" t="s">
        <v>30</v>
      </c>
      <c r="T138">
        <v>0.01</v>
      </c>
      <c r="U138" t="s">
        <v>31</v>
      </c>
      <c r="V138">
        <v>0</v>
      </c>
    </row>
    <row r="139" spans="1:22" x14ac:dyDescent="0.25">
      <c r="A139" t="s">
        <v>235</v>
      </c>
      <c r="B139" t="s">
        <v>56</v>
      </c>
      <c r="C139" t="s">
        <v>57</v>
      </c>
      <c r="D139" t="s">
        <v>58</v>
      </c>
      <c r="E139" t="s">
        <v>63</v>
      </c>
      <c r="F139" t="s">
        <v>27</v>
      </c>
      <c r="G139" s="1">
        <v>45995</v>
      </c>
      <c r="H139" s="1">
        <v>46025</v>
      </c>
      <c r="I139">
        <v>30</v>
      </c>
      <c r="J139">
        <v>6496.72</v>
      </c>
      <c r="K139">
        <v>6496.72</v>
      </c>
      <c r="L139">
        <v>0</v>
      </c>
      <c r="M139" s="1">
        <v>46024</v>
      </c>
      <c r="N139" t="s">
        <v>28</v>
      </c>
      <c r="O139" t="s">
        <v>29</v>
      </c>
      <c r="P139">
        <v>29</v>
      </c>
      <c r="Q139">
        <v>1</v>
      </c>
      <c r="R139" t="s">
        <v>30</v>
      </c>
      <c r="S139" t="s">
        <v>30</v>
      </c>
      <c r="T139">
        <v>0.01</v>
      </c>
      <c r="U139" t="s">
        <v>31</v>
      </c>
      <c r="V139">
        <v>0</v>
      </c>
    </row>
    <row r="140" spans="1:22" x14ac:dyDescent="0.25">
      <c r="A140" t="s">
        <v>236</v>
      </c>
      <c r="B140" t="s">
        <v>187</v>
      </c>
      <c r="C140" t="s">
        <v>188</v>
      </c>
      <c r="D140" t="s">
        <v>73</v>
      </c>
      <c r="E140" t="s">
        <v>40</v>
      </c>
      <c r="F140" t="s">
        <v>92</v>
      </c>
      <c r="G140" s="1">
        <v>46016</v>
      </c>
      <c r="H140" s="1">
        <v>46046</v>
      </c>
      <c r="I140">
        <v>30</v>
      </c>
      <c r="J140">
        <v>12237.65</v>
      </c>
      <c r="K140">
        <v>12237.65</v>
      </c>
      <c r="L140">
        <v>0</v>
      </c>
      <c r="M140" s="1">
        <v>46035</v>
      </c>
      <c r="N140" t="s">
        <v>28</v>
      </c>
      <c r="O140" t="s">
        <v>77</v>
      </c>
      <c r="P140">
        <v>19</v>
      </c>
      <c r="Q140">
        <v>11</v>
      </c>
      <c r="R140" t="s">
        <v>30</v>
      </c>
      <c r="S140" t="s">
        <v>30</v>
      </c>
      <c r="T140">
        <v>0.01</v>
      </c>
      <c r="U140" t="s">
        <v>31</v>
      </c>
      <c r="V140">
        <v>0</v>
      </c>
    </row>
    <row r="141" spans="1:22" x14ac:dyDescent="0.25">
      <c r="A141" t="s">
        <v>237</v>
      </c>
      <c r="B141" t="s">
        <v>75</v>
      </c>
      <c r="C141" t="s">
        <v>76</v>
      </c>
      <c r="D141" t="s">
        <v>35</v>
      </c>
      <c r="E141" t="s">
        <v>63</v>
      </c>
      <c r="F141" t="s">
        <v>27</v>
      </c>
      <c r="G141" s="1">
        <v>45994</v>
      </c>
      <c r="H141" s="1">
        <v>46054</v>
      </c>
      <c r="I141">
        <v>60</v>
      </c>
      <c r="J141">
        <v>65988.86</v>
      </c>
      <c r="K141">
        <v>44172.11</v>
      </c>
      <c r="L141">
        <v>21816.75</v>
      </c>
      <c r="M141" s="1">
        <v>46070</v>
      </c>
      <c r="N141" t="s">
        <v>98</v>
      </c>
      <c r="O141" t="s">
        <v>29</v>
      </c>
      <c r="P141">
        <v>76</v>
      </c>
      <c r="Q141">
        <v>-16</v>
      </c>
      <c r="R141" t="s">
        <v>31</v>
      </c>
      <c r="S141" t="s">
        <v>30</v>
      </c>
      <c r="T141">
        <v>0.01</v>
      </c>
      <c r="U141" t="s">
        <v>31</v>
      </c>
      <c r="V141">
        <v>0</v>
      </c>
    </row>
    <row r="142" spans="1:22" x14ac:dyDescent="0.25">
      <c r="A142" t="s">
        <v>238</v>
      </c>
      <c r="B142" t="s">
        <v>82</v>
      </c>
      <c r="C142" t="s">
        <v>83</v>
      </c>
      <c r="D142" t="s">
        <v>58</v>
      </c>
      <c r="E142" t="s">
        <v>26</v>
      </c>
      <c r="F142" t="s">
        <v>41</v>
      </c>
      <c r="G142" s="1">
        <v>46029</v>
      </c>
      <c r="H142" s="1">
        <v>46044</v>
      </c>
      <c r="I142">
        <v>15</v>
      </c>
      <c r="J142">
        <v>14428.04</v>
      </c>
      <c r="K142">
        <v>14428.04</v>
      </c>
      <c r="L142">
        <v>0</v>
      </c>
      <c r="M142" s="1">
        <v>46044</v>
      </c>
      <c r="N142" t="s">
        <v>28</v>
      </c>
      <c r="O142" t="s">
        <v>29</v>
      </c>
      <c r="P142">
        <v>15</v>
      </c>
      <c r="Q142">
        <v>0</v>
      </c>
      <c r="R142" t="s">
        <v>30</v>
      </c>
      <c r="S142" t="s">
        <v>31</v>
      </c>
      <c r="T142">
        <v>0</v>
      </c>
      <c r="U142" t="s">
        <v>31</v>
      </c>
      <c r="V142">
        <v>0</v>
      </c>
    </row>
    <row r="143" spans="1:22" x14ac:dyDescent="0.25">
      <c r="A143" t="s">
        <v>239</v>
      </c>
      <c r="B143" t="s">
        <v>75</v>
      </c>
      <c r="C143" t="s">
        <v>76</v>
      </c>
      <c r="D143" t="s">
        <v>35</v>
      </c>
      <c r="E143" t="s">
        <v>40</v>
      </c>
      <c r="F143" t="s">
        <v>27</v>
      </c>
      <c r="G143" s="1">
        <v>45696</v>
      </c>
      <c r="H143" s="1">
        <v>45726</v>
      </c>
      <c r="I143">
        <v>30</v>
      </c>
      <c r="J143">
        <v>54644.69</v>
      </c>
      <c r="K143">
        <v>54644.69</v>
      </c>
      <c r="L143">
        <v>0</v>
      </c>
      <c r="M143" s="1">
        <v>45721</v>
      </c>
      <c r="N143" t="s">
        <v>28</v>
      </c>
      <c r="O143" t="s">
        <v>29</v>
      </c>
      <c r="P143">
        <v>25</v>
      </c>
      <c r="Q143">
        <v>5</v>
      </c>
      <c r="R143" t="s">
        <v>30</v>
      </c>
      <c r="S143" t="s">
        <v>31</v>
      </c>
      <c r="T143">
        <v>0</v>
      </c>
      <c r="U143" t="s">
        <v>31</v>
      </c>
      <c r="V143">
        <v>0</v>
      </c>
    </row>
    <row r="144" spans="1:22" x14ac:dyDescent="0.25">
      <c r="A144" t="s">
        <v>240</v>
      </c>
      <c r="B144" t="s">
        <v>187</v>
      </c>
      <c r="C144" t="s">
        <v>188</v>
      </c>
      <c r="D144" t="s">
        <v>73</v>
      </c>
      <c r="E144" t="s">
        <v>45</v>
      </c>
      <c r="F144" t="s">
        <v>64</v>
      </c>
      <c r="G144" s="1">
        <v>45827</v>
      </c>
      <c r="H144" s="1">
        <v>45857</v>
      </c>
      <c r="I144">
        <v>30</v>
      </c>
      <c r="J144">
        <v>25799.040000000001</v>
      </c>
      <c r="K144">
        <v>25799.040000000001</v>
      </c>
      <c r="L144">
        <v>0</v>
      </c>
      <c r="M144" s="1">
        <v>45853</v>
      </c>
      <c r="N144" t="s">
        <v>28</v>
      </c>
      <c r="O144" t="s">
        <v>36</v>
      </c>
      <c r="P144">
        <v>26</v>
      </c>
      <c r="Q144">
        <v>4</v>
      </c>
      <c r="R144" t="s">
        <v>30</v>
      </c>
      <c r="S144" t="s">
        <v>30</v>
      </c>
      <c r="T144">
        <v>0.01</v>
      </c>
      <c r="U144" t="s">
        <v>31</v>
      </c>
      <c r="V144">
        <v>0</v>
      </c>
    </row>
    <row r="145" spans="1:22" x14ac:dyDescent="0.25">
      <c r="A145" t="s">
        <v>241</v>
      </c>
      <c r="B145" t="s">
        <v>187</v>
      </c>
      <c r="C145" t="s">
        <v>188</v>
      </c>
      <c r="D145" t="s">
        <v>73</v>
      </c>
      <c r="E145" t="s">
        <v>68</v>
      </c>
      <c r="F145" t="s">
        <v>41</v>
      </c>
      <c r="G145" s="1">
        <v>45974</v>
      </c>
      <c r="H145" s="1">
        <v>46004</v>
      </c>
      <c r="I145">
        <v>30</v>
      </c>
      <c r="J145">
        <v>33864.69</v>
      </c>
      <c r="K145">
        <v>0</v>
      </c>
      <c r="L145">
        <v>33864.69</v>
      </c>
      <c r="N145" t="s">
        <v>59</v>
      </c>
      <c r="O145" t="s">
        <v>36</v>
      </c>
      <c r="Q145">
        <v>-169</v>
      </c>
      <c r="R145" t="s">
        <v>31</v>
      </c>
      <c r="S145" t="s">
        <v>31</v>
      </c>
      <c r="T145">
        <v>0</v>
      </c>
      <c r="U145" t="s">
        <v>31</v>
      </c>
      <c r="V145">
        <v>0</v>
      </c>
    </row>
    <row r="146" spans="1:22" x14ac:dyDescent="0.25">
      <c r="A146" t="s">
        <v>242</v>
      </c>
      <c r="B146" t="s">
        <v>153</v>
      </c>
      <c r="C146" t="s">
        <v>154</v>
      </c>
      <c r="D146" t="s">
        <v>58</v>
      </c>
      <c r="E146" t="s">
        <v>68</v>
      </c>
      <c r="F146" t="s">
        <v>50</v>
      </c>
      <c r="G146" s="1">
        <v>45946</v>
      </c>
      <c r="H146" s="1">
        <v>46036</v>
      </c>
      <c r="I146">
        <v>90</v>
      </c>
      <c r="J146">
        <v>31790.59</v>
      </c>
      <c r="K146">
        <v>31790.59</v>
      </c>
      <c r="L146">
        <v>0</v>
      </c>
      <c r="M146" s="1">
        <v>46016</v>
      </c>
      <c r="N146" t="s">
        <v>28</v>
      </c>
      <c r="O146" t="s">
        <v>69</v>
      </c>
      <c r="P146">
        <v>70</v>
      </c>
      <c r="Q146">
        <v>20</v>
      </c>
      <c r="R146" t="s">
        <v>30</v>
      </c>
      <c r="S146" t="s">
        <v>30</v>
      </c>
      <c r="T146">
        <v>5.0000000000000001E-3</v>
      </c>
      <c r="U146" t="s">
        <v>31</v>
      </c>
      <c r="V146">
        <v>0</v>
      </c>
    </row>
    <row r="147" spans="1:22" x14ac:dyDescent="0.25">
      <c r="A147" t="s">
        <v>243</v>
      </c>
      <c r="B147" t="s">
        <v>120</v>
      </c>
      <c r="C147" t="s">
        <v>121</v>
      </c>
      <c r="D147" t="s">
        <v>54</v>
      </c>
      <c r="E147" t="s">
        <v>40</v>
      </c>
      <c r="F147" t="s">
        <v>50</v>
      </c>
      <c r="G147" s="1">
        <v>45711</v>
      </c>
      <c r="H147" s="1">
        <v>45756</v>
      </c>
      <c r="I147">
        <v>45</v>
      </c>
      <c r="J147">
        <v>9797.1</v>
      </c>
      <c r="K147">
        <v>9797.1</v>
      </c>
      <c r="L147">
        <v>0</v>
      </c>
      <c r="M147" s="1">
        <v>45768</v>
      </c>
      <c r="N147" t="s">
        <v>28</v>
      </c>
      <c r="O147" t="s">
        <v>36</v>
      </c>
      <c r="P147">
        <v>57</v>
      </c>
      <c r="Q147">
        <v>-12</v>
      </c>
      <c r="R147" t="s">
        <v>31</v>
      </c>
      <c r="S147" t="s">
        <v>31</v>
      </c>
      <c r="T147">
        <v>0</v>
      </c>
      <c r="U147" t="s">
        <v>31</v>
      </c>
      <c r="V147">
        <v>0</v>
      </c>
    </row>
    <row r="148" spans="1:22" x14ac:dyDescent="0.25">
      <c r="A148" t="s">
        <v>244</v>
      </c>
      <c r="B148" t="s">
        <v>109</v>
      </c>
      <c r="C148" t="s">
        <v>110</v>
      </c>
      <c r="D148" t="s">
        <v>49</v>
      </c>
      <c r="E148" t="s">
        <v>68</v>
      </c>
      <c r="F148" t="s">
        <v>27</v>
      </c>
      <c r="G148" s="1">
        <v>46118</v>
      </c>
      <c r="H148" s="1">
        <v>46163</v>
      </c>
      <c r="I148">
        <v>45</v>
      </c>
      <c r="J148">
        <v>45454.7</v>
      </c>
      <c r="K148">
        <v>45454.7</v>
      </c>
      <c r="L148">
        <v>0</v>
      </c>
      <c r="M148" s="1">
        <v>46172</v>
      </c>
      <c r="N148" t="s">
        <v>28</v>
      </c>
      <c r="O148" t="s">
        <v>36</v>
      </c>
      <c r="P148">
        <v>54</v>
      </c>
      <c r="Q148">
        <v>-9</v>
      </c>
      <c r="R148" t="s">
        <v>31</v>
      </c>
      <c r="S148" t="s">
        <v>30</v>
      </c>
      <c r="T148">
        <v>1.4999999999999999E-2</v>
      </c>
      <c r="U148" t="s">
        <v>31</v>
      </c>
      <c r="V148">
        <v>0</v>
      </c>
    </row>
    <row r="149" spans="1:22" x14ac:dyDescent="0.25">
      <c r="A149" t="s">
        <v>245</v>
      </c>
      <c r="B149" t="s">
        <v>52</v>
      </c>
      <c r="C149" t="s">
        <v>53</v>
      </c>
      <c r="D149" t="s">
        <v>54</v>
      </c>
      <c r="E149" t="s">
        <v>45</v>
      </c>
      <c r="F149" t="s">
        <v>92</v>
      </c>
      <c r="G149" s="1">
        <v>45712</v>
      </c>
      <c r="H149" s="1">
        <v>45772</v>
      </c>
      <c r="I149">
        <v>60</v>
      </c>
      <c r="J149">
        <v>6248.58</v>
      </c>
      <c r="K149">
        <v>6248.58</v>
      </c>
      <c r="L149">
        <v>0</v>
      </c>
      <c r="M149" s="1">
        <v>45776</v>
      </c>
      <c r="N149" t="s">
        <v>28</v>
      </c>
      <c r="O149" t="s">
        <v>77</v>
      </c>
      <c r="P149">
        <v>64</v>
      </c>
      <c r="Q149">
        <v>-4</v>
      </c>
      <c r="R149" t="s">
        <v>31</v>
      </c>
      <c r="S149" t="s">
        <v>30</v>
      </c>
      <c r="T149">
        <v>0.01</v>
      </c>
      <c r="U149" t="s">
        <v>31</v>
      </c>
      <c r="V149">
        <v>0</v>
      </c>
    </row>
    <row r="150" spans="1:22" x14ac:dyDescent="0.25">
      <c r="A150" t="s">
        <v>246</v>
      </c>
      <c r="B150" t="s">
        <v>143</v>
      </c>
      <c r="C150" t="s">
        <v>144</v>
      </c>
      <c r="D150" t="s">
        <v>25</v>
      </c>
      <c r="E150" t="s">
        <v>26</v>
      </c>
      <c r="F150" t="s">
        <v>92</v>
      </c>
      <c r="G150" s="1">
        <v>45697</v>
      </c>
      <c r="H150" s="1">
        <v>45727</v>
      </c>
      <c r="I150">
        <v>30</v>
      </c>
      <c r="J150">
        <v>6450.71</v>
      </c>
      <c r="K150">
        <v>6450.71</v>
      </c>
      <c r="L150">
        <v>0</v>
      </c>
      <c r="M150" s="1">
        <v>45729</v>
      </c>
      <c r="N150" t="s">
        <v>28</v>
      </c>
      <c r="O150" t="s">
        <v>36</v>
      </c>
      <c r="P150">
        <v>32</v>
      </c>
      <c r="Q150">
        <v>-2</v>
      </c>
      <c r="R150" t="s">
        <v>31</v>
      </c>
      <c r="S150" t="s">
        <v>31</v>
      </c>
      <c r="T150">
        <v>0</v>
      </c>
      <c r="U150" t="s">
        <v>31</v>
      </c>
      <c r="V150">
        <v>0</v>
      </c>
    </row>
    <row r="151" spans="1:22" x14ac:dyDescent="0.25">
      <c r="A151" t="s">
        <v>247</v>
      </c>
      <c r="B151" t="s">
        <v>75</v>
      </c>
      <c r="C151" t="s">
        <v>76</v>
      </c>
      <c r="D151" t="s">
        <v>35</v>
      </c>
      <c r="E151" t="s">
        <v>45</v>
      </c>
      <c r="F151" t="s">
        <v>41</v>
      </c>
      <c r="G151" s="1">
        <v>45677</v>
      </c>
      <c r="H151" s="1">
        <v>45707</v>
      </c>
      <c r="I151">
        <v>30</v>
      </c>
      <c r="J151">
        <v>24194.29</v>
      </c>
      <c r="K151">
        <v>24194.29</v>
      </c>
      <c r="L151">
        <v>0</v>
      </c>
      <c r="M151" s="1">
        <v>45706</v>
      </c>
      <c r="N151" t="s">
        <v>28</v>
      </c>
      <c r="O151" t="s">
        <v>77</v>
      </c>
      <c r="P151">
        <v>29</v>
      </c>
      <c r="Q151">
        <v>1</v>
      </c>
      <c r="R151" t="s">
        <v>30</v>
      </c>
      <c r="S151" t="s">
        <v>31</v>
      </c>
      <c r="T151">
        <v>0</v>
      </c>
      <c r="U151" t="s">
        <v>31</v>
      </c>
      <c r="V151">
        <v>0</v>
      </c>
    </row>
    <row r="152" spans="1:22" x14ac:dyDescent="0.25">
      <c r="A152" t="s">
        <v>248</v>
      </c>
      <c r="B152" t="s">
        <v>109</v>
      </c>
      <c r="C152" t="s">
        <v>110</v>
      </c>
      <c r="D152" t="s">
        <v>49</v>
      </c>
      <c r="E152" t="s">
        <v>68</v>
      </c>
      <c r="F152" t="s">
        <v>64</v>
      </c>
      <c r="G152" s="1">
        <v>45706</v>
      </c>
      <c r="H152" s="1">
        <v>45736</v>
      </c>
      <c r="I152">
        <v>30</v>
      </c>
      <c r="J152">
        <v>13445.1</v>
      </c>
      <c r="K152">
        <v>13445.1</v>
      </c>
      <c r="L152">
        <v>0</v>
      </c>
      <c r="M152" s="1">
        <v>45727</v>
      </c>
      <c r="N152" t="s">
        <v>28</v>
      </c>
      <c r="O152" t="s">
        <v>29</v>
      </c>
      <c r="P152">
        <v>21</v>
      </c>
      <c r="Q152">
        <v>9</v>
      </c>
      <c r="R152" t="s">
        <v>30</v>
      </c>
      <c r="S152" t="s">
        <v>30</v>
      </c>
      <c r="T152">
        <v>0.01</v>
      </c>
      <c r="U152" t="s">
        <v>31</v>
      </c>
      <c r="V152">
        <v>0</v>
      </c>
    </row>
    <row r="153" spans="1:22" x14ac:dyDescent="0.25">
      <c r="A153" t="s">
        <v>249</v>
      </c>
      <c r="B153" t="s">
        <v>43</v>
      </c>
      <c r="C153" t="s">
        <v>44</v>
      </c>
      <c r="D153" t="s">
        <v>25</v>
      </c>
      <c r="E153" t="s">
        <v>26</v>
      </c>
      <c r="F153" t="s">
        <v>41</v>
      </c>
      <c r="G153" s="1">
        <v>45805</v>
      </c>
      <c r="H153" s="1">
        <v>45835</v>
      </c>
      <c r="I153">
        <v>30</v>
      </c>
      <c r="J153">
        <v>6534.17</v>
      </c>
      <c r="K153">
        <v>6534.17</v>
      </c>
      <c r="L153">
        <v>0</v>
      </c>
      <c r="M153" s="1">
        <v>45831</v>
      </c>
      <c r="N153" t="s">
        <v>28</v>
      </c>
      <c r="O153" t="s">
        <v>77</v>
      </c>
      <c r="P153">
        <v>26</v>
      </c>
      <c r="Q153">
        <v>4</v>
      </c>
      <c r="R153" t="s">
        <v>30</v>
      </c>
      <c r="S153" t="s">
        <v>30</v>
      </c>
      <c r="T153">
        <v>0.01</v>
      </c>
      <c r="U153" t="s">
        <v>31</v>
      </c>
      <c r="V153">
        <v>0</v>
      </c>
    </row>
    <row r="154" spans="1:22" x14ac:dyDescent="0.25">
      <c r="A154" t="s">
        <v>250</v>
      </c>
      <c r="B154" t="s">
        <v>56</v>
      </c>
      <c r="C154" t="s">
        <v>57</v>
      </c>
      <c r="D154" t="s">
        <v>58</v>
      </c>
      <c r="E154" t="s">
        <v>26</v>
      </c>
      <c r="F154" t="s">
        <v>50</v>
      </c>
      <c r="G154" s="1">
        <v>45678</v>
      </c>
      <c r="H154" s="1">
        <v>45708</v>
      </c>
      <c r="I154">
        <v>30</v>
      </c>
      <c r="J154">
        <v>17446.79</v>
      </c>
      <c r="K154">
        <v>17446.79</v>
      </c>
      <c r="L154">
        <v>0</v>
      </c>
      <c r="M154" s="1">
        <v>45706</v>
      </c>
      <c r="N154" t="s">
        <v>28</v>
      </c>
      <c r="O154" t="s">
        <v>29</v>
      </c>
      <c r="P154">
        <v>28</v>
      </c>
      <c r="Q154">
        <v>2</v>
      </c>
      <c r="R154" t="s">
        <v>30</v>
      </c>
      <c r="S154" t="s">
        <v>30</v>
      </c>
      <c r="T154">
        <v>0.01</v>
      </c>
      <c r="U154" t="s">
        <v>31</v>
      </c>
      <c r="V154">
        <v>0</v>
      </c>
    </row>
    <row r="155" spans="1:22" x14ac:dyDescent="0.25">
      <c r="A155" t="s">
        <v>251</v>
      </c>
      <c r="B155" t="s">
        <v>128</v>
      </c>
      <c r="C155" t="s">
        <v>129</v>
      </c>
      <c r="D155" t="s">
        <v>73</v>
      </c>
      <c r="E155" t="s">
        <v>68</v>
      </c>
      <c r="F155" t="s">
        <v>27</v>
      </c>
      <c r="G155" s="1">
        <v>46011</v>
      </c>
      <c r="H155" s="1">
        <v>46041</v>
      </c>
      <c r="I155">
        <v>30</v>
      </c>
      <c r="J155">
        <v>9957.16</v>
      </c>
      <c r="K155">
        <v>9957.16</v>
      </c>
      <c r="L155">
        <v>0</v>
      </c>
      <c r="M155" s="1">
        <v>46030</v>
      </c>
      <c r="N155" t="s">
        <v>28</v>
      </c>
      <c r="O155" t="s">
        <v>29</v>
      </c>
      <c r="P155">
        <v>19</v>
      </c>
      <c r="Q155">
        <v>11</v>
      </c>
      <c r="R155" t="s">
        <v>30</v>
      </c>
      <c r="S155" t="s">
        <v>30</v>
      </c>
      <c r="T155">
        <v>0.01</v>
      </c>
      <c r="U155" t="s">
        <v>31</v>
      </c>
      <c r="V155">
        <v>0</v>
      </c>
    </row>
    <row r="156" spans="1:22" x14ac:dyDescent="0.25">
      <c r="A156" t="s">
        <v>252</v>
      </c>
      <c r="B156" t="s">
        <v>75</v>
      </c>
      <c r="C156" t="s">
        <v>76</v>
      </c>
      <c r="D156" t="s">
        <v>35</v>
      </c>
      <c r="E156" t="s">
        <v>26</v>
      </c>
      <c r="F156" t="s">
        <v>92</v>
      </c>
      <c r="G156" s="1">
        <v>46133</v>
      </c>
      <c r="H156" s="1">
        <v>46163</v>
      </c>
      <c r="I156">
        <v>30</v>
      </c>
      <c r="J156">
        <v>78561.440000000002</v>
      </c>
      <c r="K156">
        <v>0</v>
      </c>
      <c r="L156">
        <v>78561.440000000002</v>
      </c>
      <c r="N156" t="s">
        <v>93</v>
      </c>
      <c r="O156" t="s">
        <v>29</v>
      </c>
      <c r="S156" t="s">
        <v>30</v>
      </c>
      <c r="T156">
        <v>0.01</v>
      </c>
      <c r="U156" t="s">
        <v>31</v>
      </c>
      <c r="V156">
        <v>0</v>
      </c>
    </row>
    <row r="157" spans="1:22" x14ac:dyDescent="0.25">
      <c r="A157" t="s">
        <v>253</v>
      </c>
      <c r="B157" t="s">
        <v>61</v>
      </c>
      <c r="C157" t="s">
        <v>62</v>
      </c>
      <c r="D157" t="s">
        <v>35</v>
      </c>
      <c r="E157" t="s">
        <v>45</v>
      </c>
      <c r="F157" t="s">
        <v>27</v>
      </c>
      <c r="G157" s="1">
        <v>45702</v>
      </c>
      <c r="H157" s="1">
        <v>45732</v>
      </c>
      <c r="I157">
        <v>30</v>
      </c>
      <c r="J157">
        <v>64333.19</v>
      </c>
      <c r="K157">
        <v>64333.19</v>
      </c>
      <c r="L157">
        <v>0</v>
      </c>
      <c r="M157" s="1">
        <v>45726</v>
      </c>
      <c r="N157" t="s">
        <v>28</v>
      </c>
      <c r="O157" t="s">
        <v>29</v>
      </c>
      <c r="P157">
        <v>24</v>
      </c>
      <c r="Q157">
        <v>6</v>
      </c>
      <c r="R157" t="s">
        <v>30</v>
      </c>
      <c r="S157" t="s">
        <v>31</v>
      </c>
      <c r="T157">
        <v>0</v>
      </c>
      <c r="U157" t="s">
        <v>31</v>
      </c>
      <c r="V157">
        <v>0</v>
      </c>
    </row>
    <row r="158" spans="1:22" x14ac:dyDescent="0.25">
      <c r="A158" t="s">
        <v>254</v>
      </c>
      <c r="B158" t="s">
        <v>88</v>
      </c>
      <c r="C158" t="s">
        <v>89</v>
      </c>
      <c r="D158" t="s">
        <v>35</v>
      </c>
      <c r="E158" t="s">
        <v>63</v>
      </c>
      <c r="F158" t="s">
        <v>41</v>
      </c>
      <c r="G158" s="1">
        <v>45695</v>
      </c>
      <c r="H158" s="1">
        <v>45740</v>
      </c>
      <c r="I158">
        <v>45</v>
      </c>
      <c r="J158">
        <v>61496.82</v>
      </c>
      <c r="K158">
        <v>61496.82</v>
      </c>
      <c r="L158">
        <v>0</v>
      </c>
      <c r="M158" s="1">
        <v>45743</v>
      </c>
      <c r="N158" t="s">
        <v>28</v>
      </c>
      <c r="O158" t="s">
        <v>69</v>
      </c>
      <c r="P158">
        <v>48</v>
      </c>
      <c r="Q158">
        <v>-3</v>
      </c>
      <c r="R158" t="s">
        <v>31</v>
      </c>
      <c r="S158" t="s">
        <v>30</v>
      </c>
      <c r="T158">
        <v>1.4999999999999999E-2</v>
      </c>
      <c r="U158" t="s">
        <v>31</v>
      </c>
      <c r="V158">
        <v>0</v>
      </c>
    </row>
    <row r="159" spans="1:22" x14ac:dyDescent="0.25">
      <c r="A159" t="s">
        <v>255</v>
      </c>
      <c r="B159" t="s">
        <v>143</v>
      </c>
      <c r="C159" t="s">
        <v>144</v>
      </c>
      <c r="D159" t="s">
        <v>25</v>
      </c>
      <c r="E159" t="s">
        <v>68</v>
      </c>
      <c r="F159" t="s">
        <v>27</v>
      </c>
      <c r="G159" s="1">
        <v>46067</v>
      </c>
      <c r="H159" s="1">
        <v>46127</v>
      </c>
      <c r="I159">
        <v>60</v>
      </c>
      <c r="J159">
        <v>15122.85</v>
      </c>
      <c r="K159">
        <v>15122.85</v>
      </c>
      <c r="L159">
        <v>0</v>
      </c>
      <c r="M159" s="1">
        <v>46112</v>
      </c>
      <c r="N159" t="s">
        <v>28</v>
      </c>
      <c r="O159" t="s">
        <v>29</v>
      </c>
      <c r="P159">
        <v>45</v>
      </c>
      <c r="Q159">
        <v>15</v>
      </c>
      <c r="R159" t="s">
        <v>30</v>
      </c>
      <c r="S159" t="s">
        <v>31</v>
      </c>
      <c r="T159">
        <v>0</v>
      </c>
      <c r="U159" t="s">
        <v>31</v>
      </c>
      <c r="V159">
        <v>0</v>
      </c>
    </row>
    <row r="160" spans="1:22" x14ac:dyDescent="0.25">
      <c r="A160" t="s">
        <v>256</v>
      </c>
      <c r="B160" t="s">
        <v>100</v>
      </c>
      <c r="C160" t="s">
        <v>101</v>
      </c>
      <c r="D160" t="s">
        <v>54</v>
      </c>
      <c r="E160" t="s">
        <v>45</v>
      </c>
      <c r="F160" t="s">
        <v>92</v>
      </c>
      <c r="G160" s="1">
        <v>46092</v>
      </c>
      <c r="H160" s="1">
        <v>46122</v>
      </c>
      <c r="I160">
        <v>30</v>
      </c>
      <c r="J160">
        <v>1644.44</v>
      </c>
      <c r="K160">
        <v>757.44</v>
      </c>
      <c r="L160">
        <v>887</v>
      </c>
      <c r="M160" s="1">
        <v>46119</v>
      </c>
      <c r="N160" t="s">
        <v>98</v>
      </c>
      <c r="O160" t="s">
        <v>29</v>
      </c>
      <c r="P160">
        <v>27</v>
      </c>
      <c r="Q160">
        <v>3</v>
      </c>
      <c r="R160" t="s">
        <v>30</v>
      </c>
      <c r="S160" t="s">
        <v>30</v>
      </c>
      <c r="T160">
        <v>0.01</v>
      </c>
      <c r="U160" t="s">
        <v>31</v>
      </c>
      <c r="V160">
        <v>0</v>
      </c>
    </row>
    <row r="161" spans="1:22" x14ac:dyDescent="0.25">
      <c r="A161" t="s">
        <v>257</v>
      </c>
      <c r="B161" t="s">
        <v>143</v>
      </c>
      <c r="C161" t="s">
        <v>144</v>
      </c>
      <c r="D161" t="s">
        <v>25</v>
      </c>
      <c r="E161" t="s">
        <v>68</v>
      </c>
      <c r="F161" t="s">
        <v>92</v>
      </c>
      <c r="G161" s="1">
        <v>45828</v>
      </c>
      <c r="H161" s="1">
        <v>45888</v>
      </c>
      <c r="I161">
        <v>60</v>
      </c>
      <c r="J161">
        <v>14105.53</v>
      </c>
      <c r="K161">
        <v>14105.53</v>
      </c>
      <c r="L161">
        <v>0</v>
      </c>
      <c r="M161" s="1">
        <v>45893</v>
      </c>
      <c r="N161" t="s">
        <v>28</v>
      </c>
      <c r="O161" t="s">
        <v>69</v>
      </c>
      <c r="P161">
        <v>65</v>
      </c>
      <c r="Q161">
        <v>-5</v>
      </c>
      <c r="R161" t="s">
        <v>31</v>
      </c>
      <c r="S161" t="s">
        <v>30</v>
      </c>
      <c r="T161">
        <v>0.01</v>
      </c>
      <c r="U161" t="s">
        <v>31</v>
      </c>
      <c r="V161">
        <v>0</v>
      </c>
    </row>
    <row r="162" spans="1:22" x14ac:dyDescent="0.25">
      <c r="A162" t="s">
        <v>258</v>
      </c>
      <c r="B162" t="s">
        <v>38</v>
      </c>
      <c r="C162" t="s">
        <v>39</v>
      </c>
      <c r="D162" t="s">
        <v>35</v>
      </c>
      <c r="E162" t="s">
        <v>68</v>
      </c>
      <c r="F162" t="s">
        <v>27</v>
      </c>
      <c r="G162" s="1">
        <v>46030</v>
      </c>
      <c r="H162" s="1">
        <v>46090</v>
      </c>
      <c r="I162">
        <v>60</v>
      </c>
      <c r="J162">
        <v>43481.45</v>
      </c>
      <c r="K162">
        <v>43481.45</v>
      </c>
      <c r="L162">
        <v>0</v>
      </c>
      <c r="M162" s="1">
        <v>46085</v>
      </c>
      <c r="N162" t="s">
        <v>28</v>
      </c>
      <c r="O162" t="s">
        <v>77</v>
      </c>
      <c r="P162">
        <v>55</v>
      </c>
      <c r="Q162">
        <v>5</v>
      </c>
      <c r="R162" t="s">
        <v>30</v>
      </c>
      <c r="S162" t="s">
        <v>31</v>
      </c>
      <c r="T162">
        <v>0</v>
      </c>
      <c r="U162" t="s">
        <v>31</v>
      </c>
      <c r="V162">
        <v>0</v>
      </c>
    </row>
    <row r="163" spans="1:22" x14ac:dyDescent="0.25">
      <c r="A163" t="s">
        <v>259</v>
      </c>
      <c r="B163" t="s">
        <v>95</v>
      </c>
      <c r="C163" t="s">
        <v>96</v>
      </c>
      <c r="D163" t="s">
        <v>49</v>
      </c>
      <c r="E163" t="s">
        <v>40</v>
      </c>
      <c r="F163" t="s">
        <v>50</v>
      </c>
      <c r="G163" s="1">
        <v>45787</v>
      </c>
      <c r="H163" s="1">
        <v>45802</v>
      </c>
      <c r="I163">
        <v>15</v>
      </c>
      <c r="J163">
        <v>5227.2</v>
      </c>
      <c r="K163">
        <v>5227.2</v>
      </c>
      <c r="L163">
        <v>0</v>
      </c>
      <c r="M163" s="1">
        <v>45795</v>
      </c>
      <c r="N163" t="s">
        <v>28</v>
      </c>
      <c r="O163" t="s">
        <v>69</v>
      </c>
      <c r="P163">
        <v>8</v>
      </c>
      <c r="Q163">
        <v>7</v>
      </c>
      <c r="R163" t="s">
        <v>30</v>
      </c>
      <c r="S163" t="s">
        <v>31</v>
      </c>
      <c r="T163">
        <v>0</v>
      </c>
      <c r="U163" t="s">
        <v>31</v>
      </c>
      <c r="V163">
        <v>0</v>
      </c>
    </row>
    <row r="164" spans="1:22" x14ac:dyDescent="0.25">
      <c r="A164" t="s">
        <v>260</v>
      </c>
      <c r="B164" t="s">
        <v>187</v>
      </c>
      <c r="C164" t="s">
        <v>188</v>
      </c>
      <c r="D164" t="s">
        <v>73</v>
      </c>
      <c r="E164" t="s">
        <v>40</v>
      </c>
      <c r="F164" t="s">
        <v>41</v>
      </c>
      <c r="G164" s="1">
        <v>46112</v>
      </c>
      <c r="H164" s="1">
        <v>46172</v>
      </c>
      <c r="I164">
        <v>60</v>
      </c>
      <c r="J164">
        <v>27181.79</v>
      </c>
      <c r="K164">
        <v>0</v>
      </c>
      <c r="L164">
        <v>27181.79</v>
      </c>
      <c r="N164" t="s">
        <v>93</v>
      </c>
      <c r="O164" t="s">
        <v>29</v>
      </c>
      <c r="S164" t="s">
        <v>30</v>
      </c>
      <c r="T164">
        <v>0.01</v>
      </c>
      <c r="U164" t="s">
        <v>31</v>
      </c>
      <c r="V164">
        <v>0</v>
      </c>
    </row>
    <row r="165" spans="1:22" x14ac:dyDescent="0.25">
      <c r="A165" t="s">
        <v>261</v>
      </c>
      <c r="B165" t="s">
        <v>23</v>
      </c>
      <c r="C165" t="s">
        <v>24</v>
      </c>
      <c r="D165" t="s">
        <v>25</v>
      </c>
      <c r="E165" t="s">
        <v>68</v>
      </c>
      <c r="F165" t="s">
        <v>64</v>
      </c>
      <c r="G165" s="1">
        <v>45848</v>
      </c>
      <c r="H165" s="1">
        <v>45863</v>
      </c>
      <c r="I165">
        <v>15</v>
      </c>
      <c r="J165">
        <v>10481.84</v>
      </c>
      <c r="K165">
        <v>10481.84</v>
      </c>
      <c r="L165">
        <v>0</v>
      </c>
      <c r="M165" s="1">
        <v>45869</v>
      </c>
      <c r="N165" t="s">
        <v>28</v>
      </c>
      <c r="O165" t="s">
        <v>77</v>
      </c>
      <c r="P165">
        <v>21</v>
      </c>
      <c r="Q165">
        <v>-6</v>
      </c>
      <c r="R165" t="s">
        <v>31</v>
      </c>
      <c r="S165" t="s">
        <v>30</v>
      </c>
      <c r="T165">
        <v>0.02</v>
      </c>
      <c r="U165" t="s">
        <v>31</v>
      </c>
      <c r="V165">
        <v>0</v>
      </c>
    </row>
    <row r="166" spans="1:22" x14ac:dyDescent="0.25">
      <c r="A166" t="s">
        <v>262</v>
      </c>
      <c r="B166" t="s">
        <v>131</v>
      </c>
      <c r="C166" t="s">
        <v>132</v>
      </c>
      <c r="D166" t="s">
        <v>49</v>
      </c>
      <c r="E166" t="s">
        <v>68</v>
      </c>
      <c r="F166" t="s">
        <v>41</v>
      </c>
      <c r="G166" s="1">
        <v>46160</v>
      </c>
      <c r="H166" s="1">
        <v>46205</v>
      </c>
      <c r="I166">
        <v>45</v>
      </c>
      <c r="J166">
        <v>11608.56</v>
      </c>
      <c r="K166">
        <v>0</v>
      </c>
      <c r="L166">
        <v>11608.56</v>
      </c>
      <c r="N166" t="s">
        <v>93</v>
      </c>
      <c r="O166" t="s">
        <v>36</v>
      </c>
      <c r="S166" t="s">
        <v>30</v>
      </c>
      <c r="T166">
        <v>1.4999999999999999E-2</v>
      </c>
      <c r="U166" t="s">
        <v>31</v>
      </c>
      <c r="V166">
        <v>0</v>
      </c>
    </row>
    <row r="167" spans="1:22" x14ac:dyDescent="0.25">
      <c r="A167" t="s">
        <v>263</v>
      </c>
      <c r="B167" t="s">
        <v>61</v>
      </c>
      <c r="C167" t="s">
        <v>62</v>
      </c>
      <c r="D167" t="s">
        <v>35</v>
      </c>
      <c r="E167" t="s">
        <v>45</v>
      </c>
      <c r="F167" t="s">
        <v>27</v>
      </c>
      <c r="G167" s="1">
        <v>45724</v>
      </c>
      <c r="H167" s="1">
        <v>45784</v>
      </c>
      <c r="I167">
        <v>60</v>
      </c>
      <c r="J167">
        <v>46249.79</v>
      </c>
      <c r="K167">
        <v>46249.79</v>
      </c>
      <c r="L167">
        <v>0</v>
      </c>
      <c r="M167" s="1">
        <v>45790</v>
      </c>
      <c r="N167" t="s">
        <v>28</v>
      </c>
      <c r="O167" t="s">
        <v>29</v>
      </c>
      <c r="P167">
        <v>66</v>
      </c>
      <c r="Q167">
        <v>-6</v>
      </c>
      <c r="R167" t="s">
        <v>31</v>
      </c>
      <c r="S167" t="s">
        <v>30</v>
      </c>
      <c r="T167">
        <v>0.01</v>
      </c>
      <c r="U167" t="s">
        <v>31</v>
      </c>
      <c r="V167">
        <v>0</v>
      </c>
    </row>
    <row r="168" spans="1:22" x14ac:dyDescent="0.25">
      <c r="A168" t="s">
        <v>264</v>
      </c>
      <c r="B168" t="s">
        <v>61</v>
      </c>
      <c r="C168" t="s">
        <v>62</v>
      </c>
      <c r="D168" t="s">
        <v>35</v>
      </c>
      <c r="E168" t="s">
        <v>40</v>
      </c>
      <c r="F168" t="s">
        <v>92</v>
      </c>
      <c r="G168" s="1">
        <v>45863</v>
      </c>
      <c r="H168" s="1">
        <v>45893</v>
      </c>
      <c r="I168">
        <v>30</v>
      </c>
      <c r="J168">
        <v>64404.93</v>
      </c>
      <c r="K168">
        <v>64404.93</v>
      </c>
      <c r="L168">
        <v>0</v>
      </c>
      <c r="M168" s="1">
        <v>45903</v>
      </c>
      <c r="N168" t="s">
        <v>28</v>
      </c>
      <c r="O168" t="s">
        <v>36</v>
      </c>
      <c r="P168">
        <v>40</v>
      </c>
      <c r="Q168">
        <v>-10</v>
      </c>
      <c r="R168" t="s">
        <v>31</v>
      </c>
      <c r="S168" t="s">
        <v>30</v>
      </c>
      <c r="T168">
        <v>0.01</v>
      </c>
      <c r="U168" t="s">
        <v>31</v>
      </c>
      <c r="V168">
        <v>0</v>
      </c>
    </row>
    <row r="169" spans="1:22" x14ac:dyDescent="0.25">
      <c r="A169" t="s">
        <v>265</v>
      </c>
      <c r="B169" t="s">
        <v>128</v>
      </c>
      <c r="C169" t="s">
        <v>129</v>
      </c>
      <c r="D169" t="s">
        <v>73</v>
      </c>
      <c r="E169" t="s">
        <v>63</v>
      </c>
      <c r="F169" t="s">
        <v>50</v>
      </c>
      <c r="G169" s="1">
        <v>45790</v>
      </c>
      <c r="H169" s="1">
        <v>45880</v>
      </c>
      <c r="I169">
        <v>90</v>
      </c>
      <c r="J169">
        <v>22194.3</v>
      </c>
      <c r="K169">
        <v>22194.3</v>
      </c>
      <c r="L169">
        <v>0</v>
      </c>
      <c r="M169" s="1">
        <v>45892</v>
      </c>
      <c r="N169" t="s">
        <v>28</v>
      </c>
      <c r="O169" t="s">
        <v>29</v>
      </c>
      <c r="P169">
        <v>102</v>
      </c>
      <c r="Q169">
        <v>-12</v>
      </c>
      <c r="R169" t="s">
        <v>31</v>
      </c>
      <c r="S169" t="s">
        <v>30</v>
      </c>
      <c r="T169">
        <v>5.0000000000000001E-3</v>
      </c>
      <c r="U169" t="s">
        <v>31</v>
      </c>
      <c r="V169">
        <v>0</v>
      </c>
    </row>
    <row r="170" spans="1:22" x14ac:dyDescent="0.25">
      <c r="A170" t="s">
        <v>266</v>
      </c>
      <c r="B170" t="s">
        <v>82</v>
      </c>
      <c r="C170" t="s">
        <v>83</v>
      </c>
      <c r="D170" t="s">
        <v>58</v>
      </c>
      <c r="E170" t="s">
        <v>45</v>
      </c>
      <c r="F170" t="s">
        <v>41</v>
      </c>
      <c r="G170" s="1">
        <v>45982</v>
      </c>
      <c r="H170" s="1">
        <v>46012</v>
      </c>
      <c r="I170">
        <v>30</v>
      </c>
      <c r="J170">
        <v>26766.53</v>
      </c>
      <c r="K170">
        <v>26766.53</v>
      </c>
      <c r="L170">
        <v>0</v>
      </c>
      <c r="M170" s="1">
        <v>46012</v>
      </c>
      <c r="N170" t="s">
        <v>28</v>
      </c>
      <c r="O170" t="s">
        <v>77</v>
      </c>
      <c r="P170">
        <v>30</v>
      </c>
      <c r="Q170">
        <v>0</v>
      </c>
      <c r="R170" t="s">
        <v>30</v>
      </c>
      <c r="S170" t="s">
        <v>30</v>
      </c>
      <c r="T170">
        <v>0.01</v>
      </c>
      <c r="U170" t="s">
        <v>31</v>
      </c>
      <c r="V170">
        <v>0</v>
      </c>
    </row>
    <row r="171" spans="1:22" x14ac:dyDescent="0.25">
      <c r="A171" t="s">
        <v>267</v>
      </c>
      <c r="B171" t="s">
        <v>128</v>
      </c>
      <c r="C171" t="s">
        <v>129</v>
      </c>
      <c r="D171" t="s">
        <v>73</v>
      </c>
      <c r="E171" t="s">
        <v>40</v>
      </c>
      <c r="F171" t="s">
        <v>50</v>
      </c>
      <c r="G171" s="1">
        <v>46101</v>
      </c>
      <c r="H171" s="1">
        <v>46131</v>
      </c>
      <c r="I171">
        <v>30</v>
      </c>
      <c r="J171">
        <v>18594.5</v>
      </c>
      <c r="K171">
        <v>8405.8700000000008</v>
      </c>
      <c r="L171">
        <v>10188.629999999999</v>
      </c>
      <c r="M171" s="1">
        <v>46131</v>
      </c>
      <c r="N171" t="s">
        <v>98</v>
      </c>
      <c r="O171" t="s">
        <v>36</v>
      </c>
      <c r="P171">
        <v>30</v>
      </c>
      <c r="Q171">
        <v>0</v>
      </c>
      <c r="R171" t="s">
        <v>30</v>
      </c>
      <c r="S171" t="s">
        <v>31</v>
      </c>
      <c r="T171">
        <v>0</v>
      </c>
      <c r="U171" t="s">
        <v>31</v>
      </c>
      <c r="V171">
        <v>0</v>
      </c>
    </row>
    <row r="172" spans="1:22" x14ac:dyDescent="0.25">
      <c r="A172" t="s">
        <v>268</v>
      </c>
      <c r="B172" t="s">
        <v>143</v>
      </c>
      <c r="C172" t="s">
        <v>144</v>
      </c>
      <c r="D172" t="s">
        <v>25</v>
      </c>
      <c r="E172" t="s">
        <v>40</v>
      </c>
      <c r="F172" t="s">
        <v>92</v>
      </c>
      <c r="G172" s="1">
        <v>45914</v>
      </c>
      <c r="H172" s="1">
        <v>45944</v>
      </c>
      <c r="I172">
        <v>30</v>
      </c>
      <c r="J172">
        <v>4729.74</v>
      </c>
      <c r="K172">
        <v>4729.74</v>
      </c>
      <c r="L172">
        <v>0</v>
      </c>
      <c r="M172" s="1">
        <v>45937</v>
      </c>
      <c r="N172" t="s">
        <v>28</v>
      </c>
      <c r="O172" t="s">
        <v>29</v>
      </c>
      <c r="P172">
        <v>23</v>
      </c>
      <c r="Q172">
        <v>7</v>
      </c>
      <c r="R172" t="s">
        <v>30</v>
      </c>
      <c r="S172" t="s">
        <v>31</v>
      </c>
      <c r="T172">
        <v>0</v>
      </c>
      <c r="U172" t="s">
        <v>31</v>
      </c>
      <c r="V172">
        <v>0</v>
      </c>
    </row>
    <row r="173" spans="1:22" x14ac:dyDescent="0.25">
      <c r="A173" t="s">
        <v>269</v>
      </c>
      <c r="B173" t="s">
        <v>43</v>
      </c>
      <c r="C173" t="s">
        <v>44</v>
      </c>
      <c r="D173" t="s">
        <v>25</v>
      </c>
      <c r="E173" t="s">
        <v>63</v>
      </c>
      <c r="F173" t="s">
        <v>64</v>
      </c>
      <c r="G173" s="1">
        <v>46003</v>
      </c>
      <c r="H173" s="1">
        <v>46033</v>
      </c>
      <c r="I173">
        <v>30</v>
      </c>
      <c r="J173">
        <v>17008.07</v>
      </c>
      <c r="K173">
        <v>5343.71</v>
      </c>
      <c r="L173">
        <v>11664.36</v>
      </c>
      <c r="M173" s="1">
        <v>46029</v>
      </c>
      <c r="N173" t="s">
        <v>98</v>
      </c>
      <c r="O173" t="s">
        <v>36</v>
      </c>
      <c r="P173">
        <v>26</v>
      </c>
      <c r="Q173">
        <v>4</v>
      </c>
      <c r="R173" t="s">
        <v>30</v>
      </c>
      <c r="S173" t="s">
        <v>30</v>
      </c>
      <c r="T173">
        <v>0.01</v>
      </c>
      <c r="U173" t="s">
        <v>31</v>
      </c>
      <c r="V173">
        <v>0</v>
      </c>
    </row>
    <row r="174" spans="1:22" x14ac:dyDescent="0.25">
      <c r="A174" t="s">
        <v>270</v>
      </c>
      <c r="B174" t="s">
        <v>23</v>
      </c>
      <c r="C174" t="s">
        <v>24</v>
      </c>
      <c r="D174" t="s">
        <v>25</v>
      </c>
      <c r="E174" t="s">
        <v>63</v>
      </c>
      <c r="F174" t="s">
        <v>92</v>
      </c>
      <c r="G174" s="1">
        <v>45689</v>
      </c>
      <c r="H174" s="1">
        <v>45749</v>
      </c>
      <c r="I174">
        <v>60</v>
      </c>
      <c r="J174">
        <v>10462.719999999999</v>
      </c>
      <c r="K174">
        <v>10462.719999999999</v>
      </c>
      <c r="L174">
        <v>0</v>
      </c>
      <c r="M174" s="1">
        <v>45742</v>
      </c>
      <c r="N174" t="s">
        <v>28</v>
      </c>
      <c r="O174" t="s">
        <v>36</v>
      </c>
      <c r="P174">
        <v>53</v>
      </c>
      <c r="Q174">
        <v>7</v>
      </c>
      <c r="R174" t="s">
        <v>30</v>
      </c>
      <c r="S174" t="s">
        <v>30</v>
      </c>
      <c r="T174">
        <v>0.01</v>
      </c>
      <c r="U174" t="s">
        <v>31</v>
      </c>
      <c r="V174">
        <v>0</v>
      </c>
    </row>
    <row r="175" spans="1:22" x14ac:dyDescent="0.25">
      <c r="A175" t="s">
        <v>271</v>
      </c>
      <c r="B175" t="s">
        <v>88</v>
      </c>
      <c r="C175" t="s">
        <v>89</v>
      </c>
      <c r="D175" t="s">
        <v>35</v>
      </c>
      <c r="E175" t="s">
        <v>45</v>
      </c>
      <c r="F175" t="s">
        <v>64</v>
      </c>
      <c r="G175" s="1">
        <v>46122</v>
      </c>
      <c r="H175" s="1">
        <v>46167</v>
      </c>
      <c r="I175">
        <v>45</v>
      </c>
      <c r="J175">
        <v>10472.98</v>
      </c>
      <c r="K175">
        <v>10472.98</v>
      </c>
      <c r="L175">
        <v>0</v>
      </c>
      <c r="M175" s="1">
        <v>46170</v>
      </c>
      <c r="N175" t="s">
        <v>28</v>
      </c>
      <c r="O175" t="s">
        <v>69</v>
      </c>
      <c r="P175">
        <v>48</v>
      </c>
      <c r="Q175">
        <v>-3</v>
      </c>
      <c r="R175" t="s">
        <v>31</v>
      </c>
      <c r="S175" t="s">
        <v>30</v>
      </c>
      <c r="T175">
        <v>1.4999999999999999E-2</v>
      </c>
      <c r="U175" t="s">
        <v>31</v>
      </c>
      <c r="V175">
        <v>0</v>
      </c>
    </row>
    <row r="176" spans="1:22" x14ac:dyDescent="0.25">
      <c r="A176" t="s">
        <v>272</v>
      </c>
      <c r="B176" t="s">
        <v>143</v>
      </c>
      <c r="C176" t="s">
        <v>144</v>
      </c>
      <c r="D176" t="s">
        <v>25</v>
      </c>
      <c r="E176" t="s">
        <v>68</v>
      </c>
      <c r="F176" t="s">
        <v>92</v>
      </c>
      <c r="G176" s="1">
        <v>46037</v>
      </c>
      <c r="H176" s="1">
        <v>46067</v>
      </c>
      <c r="I176">
        <v>30</v>
      </c>
      <c r="J176">
        <v>10784.62</v>
      </c>
      <c r="K176">
        <v>10784.62</v>
      </c>
      <c r="L176">
        <v>0</v>
      </c>
      <c r="M176" s="1">
        <v>46077</v>
      </c>
      <c r="N176" t="s">
        <v>28</v>
      </c>
      <c r="O176" t="s">
        <v>69</v>
      </c>
      <c r="P176">
        <v>40</v>
      </c>
      <c r="Q176">
        <v>-10</v>
      </c>
      <c r="R176" t="s">
        <v>31</v>
      </c>
      <c r="S176" t="s">
        <v>30</v>
      </c>
      <c r="T176">
        <v>0.01</v>
      </c>
      <c r="U176" t="s">
        <v>31</v>
      </c>
      <c r="V176">
        <v>0</v>
      </c>
    </row>
    <row r="177" spans="1:22" x14ac:dyDescent="0.25">
      <c r="A177" t="s">
        <v>273</v>
      </c>
      <c r="B177" t="s">
        <v>109</v>
      </c>
      <c r="C177" t="s">
        <v>110</v>
      </c>
      <c r="D177" t="s">
        <v>49</v>
      </c>
      <c r="E177" t="s">
        <v>68</v>
      </c>
      <c r="F177" t="s">
        <v>41</v>
      </c>
      <c r="G177" s="1">
        <v>45757</v>
      </c>
      <c r="H177" s="1">
        <v>45787</v>
      </c>
      <c r="I177">
        <v>30</v>
      </c>
      <c r="J177">
        <v>4429.05</v>
      </c>
      <c r="K177">
        <v>2254.6799999999998</v>
      </c>
      <c r="L177">
        <v>2174.37</v>
      </c>
      <c r="M177" s="1">
        <v>45787</v>
      </c>
      <c r="N177" t="s">
        <v>98</v>
      </c>
      <c r="O177" t="s">
        <v>36</v>
      </c>
      <c r="P177">
        <v>30</v>
      </c>
      <c r="Q177">
        <v>0</v>
      </c>
      <c r="R177" t="s">
        <v>30</v>
      </c>
      <c r="S177" t="s">
        <v>31</v>
      </c>
      <c r="T177">
        <v>0</v>
      </c>
      <c r="U177" t="s">
        <v>31</v>
      </c>
      <c r="V177">
        <v>0</v>
      </c>
    </row>
    <row r="178" spans="1:22" x14ac:dyDescent="0.25">
      <c r="A178" t="s">
        <v>274</v>
      </c>
      <c r="B178" t="s">
        <v>143</v>
      </c>
      <c r="C178" t="s">
        <v>144</v>
      </c>
      <c r="D178" t="s">
        <v>25</v>
      </c>
      <c r="E178" t="s">
        <v>63</v>
      </c>
      <c r="F178" t="s">
        <v>92</v>
      </c>
      <c r="G178" s="1">
        <v>46168</v>
      </c>
      <c r="H178" s="1">
        <v>46198</v>
      </c>
      <c r="I178">
        <v>30</v>
      </c>
      <c r="J178">
        <v>19923.419999999998</v>
      </c>
      <c r="K178">
        <v>6874.07</v>
      </c>
      <c r="L178">
        <v>13049.35</v>
      </c>
      <c r="M178" s="1">
        <v>46173</v>
      </c>
      <c r="N178" t="s">
        <v>98</v>
      </c>
      <c r="O178" t="s">
        <v>36</v>
      </c>
      <c r="P178">
        <v>5</v>
      </c>
      <c r="Q178">
        <v>25</v>
      </c>
      <c r="R178" t="s">
        <v>30</v>
      </c>
      <c r="S178" t="s">
        <v>30</v>
      </c>
      <c r="T178">
        <v>0.01</v>
      </c>
      <c r="U178" t="s">
        <v>31</v>
      </c>
      <c r="V178">
        <v>0</v>
      </c>
    </row>
    <row r="179" spans="1:22" x14ac:dyDescent="0.25">
      <c r="A179" t="s">
        <v>275</v>
      </c>
      <c r="B179" t="s">
        <v>82</v>
      </c>
      <c r="C179" t="s">
        <v>83</v>
      </c>
      <c r="D179" t="s">
        <v>58</v>
      </c>
      <c r="E179" t="s">
        <v>45</v>
      </c>
      <c r="F179" t="s">
        <v>64</v>
      </c>
      <c r="G179" s="1">
        <v>45707</v>
      </c>
      <c r="H179" s="1">
        <v>45767</v>
      </c>
      <c r="I179">
        <v>60</v>
      </c>
      <c r="J179">
        <v>4869.99</v>
      </c>
      <c r="K179">
        <v>3054.12</v>
      </c>
      <c r="L179">
        <v>1815.87</v>
      </c>
      <c r="M179" s="1">
        <v>45777</v>
      </c>
      <c r="N179" t="s">
        <v>98</v>
      </c>
      <c r="O179" t="s">
        <v>36</v>
      </c>
      <c r="P179">
        <v>70</v>
      </c>
      <c r="Q179">
        <v>-10</v>
      </c>
      <c r="R179" t="s">
        <v>31</v>
      </c>
      <c r="S179" t="s">
        <v>30</v>
      </c>
      <c r="T179">
        <v>0.01</v>
      </c>
      <c r="U179" t="s">
        <v>31</v>
      </c>
      <c r="V179">
        <v>0</v>
      </c>
    </row>
    <row r="180" spans="1:22" x14ac:dyDescent="0.25">
      <c r="A180" t="s">
        <v>276</v>
      </c>
      <c r="B180" t="s">
        <v>88</v>
      </c>
      <c r="C180" t="s">
        <v>89</v>
      </c>
      <c r="D180" t="s">
        <v>35</v>
      </c>
      <c r="E180" t="s">
        <v>63</v>
      </c>
      <c r="F180" t="s">
        <v>27</v>
      </c>
      <c r="G180" s="1">
        <v>45795</v>
      </c>
      <c r="H180" s="1">
        <v>45855</v>
      </c>
      <c r="I180">
        <v>60</v>
      </c>
      <c r="J180">
        <v>71184.179999999993</v>
      </c>
      <c r="K180">
        <v>71184.179999999993</v>
      </c>
      <c r="L180">
        <v>0</v>
      </c>
      <c r="M180" s="1">
        <v>45850</v>
      </c>
      <c r="N180" t="s">
        <v>28</v>
      </c>
      <c r="O180" t="s">
        <v>77</v>
      </c>
      <c r="P180">
        <v>55</v>
      </c>
      <c r="Q180">
        <v>5</v>
      </c>
      <c r="R180" t="s">
        <v>30</v>
      </c>
      <c r="S180" t="s">
        <v>31</v>
      </c>
      <c r="T180">
        <v>0</v>
      </c>
      <c r="U180" t="s">
        <v>31</v>
      </c>
      <c r="V180">
        <v>0</v>
      </c>
    </row>
    <row r="181" spans="1:22" x14ac:dyDescent="0.25">
      <c r="A181" t="s">
        <v>277</v>
      </c>
      <c r="B181" t="s">
        <v>66</v>
      </c>
      <c r="C181" t="s">
        <v>67</v>
      </c>
      <c r="D181" t="s">
        <v>35</v>
      </c>
      <c r="E181" t="s">
        <v>63</v>
      </c>
      <c r="F181" t="s">
        <v>64</v>
      </c>
      <c r="G181" s="1">
        <v>45733</v>
      </c>
      <c r="H181" s="1">
        <v>45778</v>
      </c>
      <c r="I181">
        <v>45</v>
      </c>
      <c r="J181">
        <v>33976.160000000003</v>
      </c>
      <c r="K181">
        <v>33976.160000000003</v>
      </c>
      <c r="L181">
        <v>0</v>
      </c>
      <c r="M181" s="1">
        <v>45784</v>
      </c>
      <c r="N181" t="s">
        <v>28</v>
      </c>
      <c r="O181" t="s">
        <v>29</v>
      </c>
      <c r="P181">
        <v>51</v>
      </c>
      <c r="Q181">
        <v>-6</v>
      </c>
      <c r="R181" t="s">
        <v>31</v>
      </c>
      <c r="S181" t="s">
        <v>30</v>
      </c>
      <c r="T181">
        <v>1.4999999999999999E-2</v>
      </c>
      <c r="U181" t="s">
        <v>31</v>
      </c>
      <c r="V181">
        <v>0</v>
      </c>
    </row>
    <row r="182" spans="1:22" x14ac:dyDescent="0.25">
      <c r="A182" t="s">
        <v>278</v>
      </c>
      <c r="B182" t="s">
        <v>187</v>
      </c>
      <c r="C182" t="s">
        <v>188</v>
      </c>
      <c r="D182" t="s">
        <v>73</v>
      </c>
      <c r="E182" t="s">
        <v>63</v>
      </c>
      <c r="F182" t="s">
        <v>27</v>
      </c>
      <c r="G182" s="1">
        <v>46061</v>
      </c>
      <c r="H182" s="1">
        <v>46091</v>
      </c>
      <c r="I182">
        <v>30</v>
      </c>
      <c r="J182">
        <v>14315.55</v>
      </c>
      <c r="K182">
        <v>14315.55</v>
      </c>
      <c r="L182">
        <v>0</v>
      </c>
      <c r="M182" s="1">
        <v>46089</v>
      </c>
      <c r="N182" t="s">
        <v>28</v>
      </c>
      <c r="O182" t="s">
        <v>36</v>
      </c>
      <c r="P182">
        <v>28</v>
      </c>
      <c r="Q182">
        <v>2</v>
      </c>
      <c r="R182" t="s">
        <v>30</v>
      </c>
      <c r="S182" t="s">
        <v>31</v>
      </c>
      <c r="T182">
        <v>0</v>
      </c>
      <c r="U182" t="s">
        <v>31</v>
      </c>
      <c r="V182">
        <v>0</v>
      </c>
    </row>
    <row r="183" spans="1:22" x14ac:dyDescent="0.25">
      <c r="A183" t="s">
        <v>279</v>
      </c>
      <c r="B183" t="s">
        <v>187</v>
      </c>
      <c r="C183" t="s">
        <v>188</v>
      </c>
      <c r="D183" t="s">
        <v>73</v>
      </c>
      <c r="E183" t="s">
        <v>63</v>
      </c>
      <c r="F183" t="s">
        <v>41</v>
      </c>
      <c r="G183" s="1">
        <v>45697</v>
      </c>
      <c r="H183" s="1">
        <v>45712</v>
      </c>
      <c r="I183">
        <v>15</v>
      </c>
      <c r="J183">
        <v>6522.2</v>
      </c>
      <c r="K183">
        <v>6522.2</v>
      </c>
      <c r="L183">
        <v>0</v>
      </c>
      <c r="M183" s="1">
        <v>45715</v>
      </c>
      <c r="N183" t="s">
        <v>28</v>
      </c>
      <c r="O183" t="s">
        <v>77</v>
      </c>
      <c r="P183">
        <v>18</v>
      </c>
      <c r="Q183">
        <v>-3</v>
      </c>
      <c r="R183" t="s">
        <v>31</v>
      </c>
      <c r="S183" t="s">
        <v>30</v>
      </c>
      <c r="T183">
        <v>0.02</v>
      </c>
      <c r="U183" t="s">
        <v>31</v>
      </c>
      <c r="V183">
        <v>0</v>
      </c>
    </row>
    <row r="184" spans="1:22" x14ac:dyDescent="0.25">
      <c r="A184" t="s">
        <v>280</v>
      </c>
      <c r="B184" t="s">
        <v>113</v>
      </c>
      <c r="C184" t="s">
        <v>114</v>
      </c>
      <c r="D184" t="s">
        <v>25</v>
      </c>
      <c r="E184" t="s">
        <v>40</v>
      </c>
      <c r="F184" t="s">
        <v>50</v>
      </c>
      <c r="G184" s="1">
        <v>45984</v>
      </c>
      <c r="H184" s="1">
        <v>46044</v>
      </c>
      <c r="I184">
        <v>60</v>
      </c>
      <c r="J184">
        <v>4087.54</v>
      </c>
      <c r="K184">
        <v>4087.54</v>
      </c>
      <c r="L184">
        <v>0</v>
      </c>
      <c r="M184" s="1">
        <v>46042</v>
      </c>
      <c r="N184" t="s">
        <v>28</v>
      </c>
      <c r="O184" t="s">
        <v>36</v>
      </c>
      <c r="P184">
        <v>58</v>
      </c>
      <c r="Q184">
        <v>2</v>
      </c>
      <c r="R184" t="s">
        <v>30</v>
      </c>
      <c r="S184" t="s">
        <v>31</v>
      </c>
      <c r="T184">
        <v>0</v>
      </c>
      <c r="U184" t="s">
        <v>31</v>
      </c>
      <c r="V184">
        <v>0</v>
      </c>
    </row>
    <row r="185" spans="1:22" x14ac:dyDescent="0.25">
      <c r="A185" t="s">
        <v>281</v>
      </c>
      <c r="B185" t="s">
        <v>82</v>
      </c>
      <c r="C185" t="s">
        <v>83</v>
      </c>
      <c r="D185" t="s">
        <v>58</v>
      </c>
      <c r="E185" t="s">
        <v>63</v>
      </c>
      <c r="F185" t="s">
        <v>41</v>
      </c>
      <c r="G185" s="1">
        <v>45675</v>
      </c>
      <c r="H185" s="1">
        <v>45765</v>
      </c>
      <c r="I185">
        <v>90</v>
      </c>
      <c r="J185">
        <v>16629.240000000002</v>
      </c>
      <c r="K185">
        <v>0</v>
      </c>
      <c r="L185">
        <v>16629.240000000002</v>
      </c>
      <c r="N185" t="s">
        <v>59</v>
      </c>
      <c r="O185" t="s">
        <v>29</v>
      </c>
      <c r="Q185">
        <v>-408</v>
      </c>
      <c r="R185" t="s">
        <v>31</v>
      </c>
      <c r="S185" t="s">
        <v>30</v>
      </c>
      <c r="T185">
        <v>5.0000000000000001E-3</v>
      </c>
      <c r="U185" t="s">
        <v>31</v>
      </c>
      <c r="V185">
        <v>0</v>
      </c>
    </row>
    <row r="186" spans="1:22" x14ac:dyDescent="0.25">
      <c r="A186" t="s">
        <v>282</v>
      </c>
      <c r="B186" t="s">
        <v>66</v>
      </c>
      <c r="C186" t="s">
        <v>67</v>
      </c>
      <c r="D186" t="s">
        <v>35</v>
      </c>
      <c r="E186" t="s">
        <v>68</v>
      </c>
      <c r="F186" t="s">
        <v>27</v>
      </c>
      <c r="G186" s="1">
        <v>45891</v>
      </c>
      <c r="H186" s="1">
        <v>45936</v>
      </c>
      <c r="I186">
        <v>45</v>
      </c>
      <c r="J186">
        <v>59105.01</v>
      </c>
      <c r="K186">
        <v>59105.01</v>
      </c>
      <c r="L186">
        <v>0</v>
      </c>
      <c r="M186" s="1">
        <v>45942</v>
      </c>
      <c r="N186" t="s">
        <v>28</v>
      </c>
      <c r="O186" t="s">
        <v>69</v>
      </c>
      <c r="P186">
        <v>51</v>
      </c>
      <c r="Q186">
        <v>-6</v>
      </c>
      <c r="R186" t="s">
        <v>31</v>
      </c>
      <c r="S186" t="s">
        <v>30</v>
      </c>
      <c r="T186">
        <v>1.4999999999999999E-2</v>
      </c>
      <c r="U186" t="s">
        <v>31</v>
      </c>
      <c r="V186">
        <v>0</v>
      </c>
    </row>
    <row r="187" spans="1:22" x14ac:dyDescent="0.25">
      <c r="A187" t="s">
        <v>283</v>
      </c>
      <c r="B187" t="s">
        <v>23</v>
      </c>
      <c r="C187" t="s">
        <v>24</v>
      </c>
      <c r="D187" t="s">
        <v>25</v>
      </c>
      <c r="E187" t="s">
        <v>63</v>
      </c>
      <c r="F187" t="s">
        <v>41</v>
      </c>
      <c r="G187" s="1">
        <v>45690</v>
      </c>
      <c r="H187" s="1">
        <v>45720</v>
      </c>
      <c r="I187">
        <v>30</v>
      </c>
      <c r="J187">
        <v>11878.84</v>
      </c>
      <c r="K187">
        <v>11878.84</v>
      </c>
      <c r="L187">
        <v>0</v>
      </c>
      <c r="M187" s="1">
        <v>45713</v>
      </c>
      <c r="N187" t="s">
        <v>28</v>
      </c>
      <c r="O187" t="s">
        <v>36</v>
      </c>
      <c r="P187">
        <v>23</v>
      </c>
      <c r="Q187">
        <v>7</v>
      </c>
      <c r="R187" t="s">
        <v>30</v>
      </c>
      <c r="S187" t="s">
        <v>31</v>
      </c>
      <c r="T187">
        <v>0</v>
      </c>
      <c r="U187" t="s">
        <v>31</v>
      </c>
      <c r="V187">
        <v>0</v>
      </c>
    </row>
    <row r="188" spans="1:22" x14ac:dyDescent="0.25">
      <c r="A188" t="s">
        <v>284</v>
      </c>
      <c r="B188" t="s">
        <v>38</v>
      </c>
      <c r="C188" t="s">
        <v>39</v>
      </c>
      <c r="D188" t="s">
        <v>35</v>
      </c>
      <c r="E188" t="s">
        <v>40</v>
      </c>
      <c r="F188" t="s">
        <v>41</v>
      </c>
      <c r="G188" s="1">
        <v>45799</v>
      </c>
      <c r="H188" s="1">
        <v>45814</v>
      </c>
      <c r="I188">
        <v>15</v>
      </c>
      <c r="J188">
        <v>43901.24</v>
      </c>
      <c r="K188">
        <v>0</v>
      </c>
      <c r="L188">
        <v>43901.24</v>
      </c>
      <c r="N188" t="s">
        <v>59</v>
      </c>
      <c r="O188" t="s">
        <v>69</v>
      </c>
      <c r="Q188">
        <v>-359</v>
      </c>
      <c r="R188" t="s">
        <v>31</v>
      </c>
      <c r="S188" t="s">
        <v>30</v>
      </c>
      <c r="T188">
        <v>0.02</v>
      </c>
      <c r="U188" t="s">
        <v>31</v>
      </c>
      <c r="V188">
        <v>0</v>
      </c>
    </row>
    <row r="189" spans="1:22" x14ac:dyDescent="0.25">
      <c r="A189" t="s">
        <v>285</v>
      </c>
      <c r="B189" t="s">
        <v>100</v>
      </c>
      <c r="C189" t="s">
        <v>101</v>
      </c>
      <c r="D189" t="s">
        <v>54</v>
      </c>
      <c r="E189" t="s">
        <v>63</v>
      </c>
      <c r="F189" t="s">
        <v>41</v>
      </c>
      <c r="G189" s="1">
        <v>46128</v>
      </c>
      <c r="H189" s="1">
        <v>46158</v>
      </c>
      <c r="I189">
        <v>30</v>
      </c>
      <c r="J189">
        <v>13725.8</v>
      </c>
      <c r="K189">
        <v>13725.8</v>
      </c>
      <c r="L189">
        <v>0</v>
      </c>
      <c r="M189" s="1">
        <v>46161</v>
      </c>
      <c r="N189" t="s">
        <v>28</v>
      </c>
      <c r="O189" t="s">
        <v>29</v>
      </c>
      <c r="P189">
        <v>33</v>
      </c>
      <c r="Q189">
        <v>-3</v>
      </c>
      <c r="R189" t="s">
        <v>31</v>
      </c>
      <c r="S189" t="s">
        <v>30</v>
      </c>
      <c r="T189">
        <v>0.01</v>
      </c>
      <c r="U189" t="s">
        <v>31</v>
      </c>
      <c r="V189">
        <v>0</v>
      </c>
    </row>
    <row r="190" spans="1:22" x14ac:dyDescent="0.25">
      <c r="A190" t="s">
        <v>286</v>
      </c>
      <c r="B190" t="s">
        <v>71</v>
      </c>
      <c r="C190" t="s">
        <v>72</v>
      </c>
      <c r="D190" t="s">
        <v>73</v>
      </c>
      <c r="E190" t="s">
        <v>68</v>
      </c>
      <c r="F190" t="s">
        <v>50</v>
      </c>
      <c r="G190" s="1">
        <v>45910</v>
      </c>
      <c r="H190" s="1">
        <v>45940</v>
      </c>
      <c r="I190">
        <v>30</v>
      </c>
      <c r="J190">
        <v>11207.21</v>
      </c>
      <c r="K190">
        <v>0</v>
      </c>
      <c r="L190">
        <v>11207.21</v>
      </c>
      <c r="N190" t="s">
        <v>59</v>
      </c>
      <c r="O190" t="s">
        <v>69</v>
      </c>
      <c r="Q190">
        <v>-233</v>
      </c>
      <c r="R190" t="s">
        <v>31</v>
      </c>
      <c r="S190" t="s">
        <v>30</v>
      </c>
      <c r="T190">
        <v>0.01</v>
      </c>
      <c r="U190" t="s">
        <v>31</v>
      </c>
      <c r="V190">
        <v>0</v>
      </c>
    </row>
    <row r="191" spans="1:22" x14ac:dyDescent="0.25">
      <c r="A191" t="s">
        <v>287</v>
      </c>
      <c r="B191" t="s">
        <v>88</v>
      </c>
      <c r="C191" t="s">
        <v>89</v>
      </c>
      <c r="D191" t="s">
        <v>35</v>
      </c>
      <c r="E191" t="s">
        <v>68</v>
      </c>
      <c r="F191" t="s">
        <v>64</v>
      </c>
      <c r="G191" s="1">
        <v>46149</v>
      </c>
      <c r="H191" s="1">
        <v>46209</v>
      </c>
      <c r="I191">
        <v>60</v>
      </c>
      <c r="J191">
        <v>31160.240000000002</v>
      </c>
      <c r="K191">
        <v>0</v>
      </c>
      <c r="L191">
        <v>31160.240000000002</v>
      </c>
      <c r="N191" t="s">
        <v>93</v>
      </c>
      <c r="O191" t="s">
        <v>69</v>
      </c>
      <c r="S191" t="s">
        <v>31</v>
      </c>
      <c r="T191">
        <v>0</v>
      </c>
      <c r="U191" t="s">
        <v>31</v>
      </c>
      <c r="V191">
        <v>0</v>
      </c>
    </row>
    <row r="192" spans="1:22" x14ac:dyDescent="0.25">
      <c r="A192" t="s">
        <v>288</v>
      </c>
      <c r="B192" t="s">
        <v>109</v>
      </c>
      <c r="C192" t="s">
        <v>110</v>
      </c>
      <c r="D192" t="s">
        <v>49</v>
      </c>
      <c r="E192" t="s">
        <v>63</v>
      </c>
      <c r="F192" t="s">
        <v>50</v>
      </c>
      <c r="G192" s="1">
        <v>46011</v>
      </c>
      <c r="H192" s="1">
        <v>46071</v>
      </c>
      <c r="I192">
        <v>60</v>
      </c>
      <c r="J192">
        <v>47821.23</v>
      </c>
      <c r="K192">
        <v>47821.23</v>
      </c>
      <c r="L192">
        <v>0</v>
      </c>
      <c r="M192" s="1">
        <v>46069</v>
      </c>
      <c r="N192" t="s">
        <v>28</v>
      </c>
      <c r="O192" t="s">
        <v>69</v>
      </c>
      <c r="P192">
        <v>58</v>
      </c>
      <c r="Q192">
        <v>2</v>
      </c>
      <c r="R192" t="s">
        <v>30</v>
      </c>
      <c r="S192" t="s">
        <v>31</v>
      </c>
      <c r="T192">
        <v>0</v>
      </c>
      <c r="U192" t="s">
        <v>31</v>
      </c>
      <c r="V192">
        <v>0</v>
      </c>
    </row>
    <row r="193" spans="1:22" x14ac:dyDescent="0.25">
      <c r="A193" t="s">
        <v>289</v>
      </c>
      <c r="B193" t="s">
        <v>128</v>
      </c>
      <c r="C193" t="s">
        <v>129</v>
      </c>
      <c r="D193" t="s">
        <v>73</v>
      </c>
      <c r="E193" t="s">
        <v>45</v>
      </c>
      <c r="F193" t="s">
        <v>92</v>
      </c>
      <c r="G193" s="1">
        <v>45864</v>
      </c>
      <c r="H193" s="1">
        <v>45894</v>
      </c>
      <c r="I193">
        <v>30</v>
      </c>
      <c r="J193">
        <v>29322.41</v>
      </c>
      <c r="K193">
        <v>29322.41</v>
      </c>
      <c r="L193">
        <v>0</v>
      </c>
      <c r="M193" s="1">
        <v>45906</v>
      </c>
      <c r="N193" t="s">
        <v>28</v>
      </c>
      <c r="O193" t="s">
        <v>69</v>
      </c>
      <c r="P193">
        <v>42</v>
      </c>
      <c r="Q193">
        <v>-12</v>
      </c>
      <c r="R193" t="s">
        <v>31</v>
      </c>
      <c r="S193" t="s">
        <v>30</v>
      </c>
      <c r="T193">
        <v>0.01</v>
      </c>
      <c r="U193" t="s">
        <v>31</v>
      </c>
      <c r="V193">
        <v>0</v>
      </c>
    </row>
    <row r="194" spans="1:22" x14ac:dyDescent="0.25">
      <c r="A194" t="s">
        <v>290</v>
      </c>
      <c r="B194" t="s">
        <v>131</v>
      </c>
      <c r="C194" t="s">
        <v>132</v>
      </c>
      <c r="D194" t="s">
        <v>49</v>
      </c>
      <c r="E194" t="s">
        <v>40</v>
      </c>
      <c r="F194" t="s">
        <v>27</v>
      </c>
      <c r="G194" s="1">
        <v>45709</v>
      </c>
      <c r="H194" s="1">
        <v>45739</v>
      </c>
      <c r="I194">
        <v>30</v>
      </c>
      <c r="J194">
        <v>34152.03</v>
      </c>
      <c r="K194">
        <v>34152.03</v>
      </c>
      <c r="L194">
        <v>0</v>
      </c>
      <c r="M194" s="1">
        <v>45746</v>
      </c>
      <c r="N194" t="s">
        <v>28</v>
      </c>
      <c r="O194" t="s">
        <v>36</v>
      </c>
      <c r="P194">
        <v>37</v>
      </c>
      <c r="Q194">
        <v>-7</v>
      </c>
      <c r="R194" t="s">
        <v>31</v>
      </c>
      <c r="S194" t="s">
        <v>30</v>
      </c>
      <c r="T194">
        <v>0.01</v>
      </c>
      <c r="U194" t="s">
        <v>31</v>
      </c>
      <c r="V194">
        <v>0</v>
      </c>
    </row>
    <row r="195" spans="1:22" x14ac:dyDescent="0.25">
      <c r="A195" t="s">
        <v>291</v>
      </c>
      <c r="B195" t="s">
        <v>61</v>
      </c>
      <c r="C195" t="s">
        <v>62</v>
      </c>
      <c r="D195" t="s">
        <v>35</v>
      </c>
      <c r="E195" t="s">
        <v>45</v>
      </c>
      <c r="F195" t="s">
        <v>27</v>
      </c>
      <c r="G195" s="1">
        <v>45819</v>
      </c>
      <c r="H195" s="1">
        <v>45834</v>
      </c>
      <c r="I195">
        <v>15</v>
      </c>
      <c r="J195">
        <v>35518.06</v>
      </c>
      <c r="K195">
        <v>19134.439999999999</v>
      </c>
      <c r="L195">
        <v>16383.62</v>
      </c>
      <c r="M195" s="1">
        <v>45835</v>
      </c>
      <c r="N195" t="s">
        <v>98</v>
      </c>
      <c r="O195" t="s">
        <v>36</v>
      </c>
      <c r="P195">
        <v>16</v>
      </c>
      <c r="Q195">
        <v>-1</v>
      </c>
      <c r="R195" t="s">
        <v>31</v>
      </c>
      <c r="S195" t="s">
        <v>31</v>
      </c>
      <c r="T195">
        <v>0</v>
      </c>
      <c r="U195" t="s">
        <v>31</v>
      </c>
      <c r="V195">
        <v>0</v>
      </c>
    </row>
    <row r="196" spans="1:22" x14ac:dyDescent="0.25">
      <c r="A196" t="s">
        <v>292</v>
      </c>
      <c r="B196" t="s">
        <v>85</v>
      </c>
      <c r="C196" t="s">
        <v>86</v>
      </c>
      <c r="D196" t="s">
        <v>25</v>
      </c>
      <c r="E196" t="s">
        <v>68</v>
      </c>
      <c r="F196" t="s">
        <v>92</v>
      </c>
      <c r="G196" s="1">
        <v>45749</v>
      </c>
      <c r="H196" s="1">
        <v>45764</v>
      </c>
      <c r="I196">
        <v>15</v>
      </c>
      <c r="J196">
        <v>13393.68</v>
      </c>
      <c r="K196">
        <v>13393.68</v>
      </c>
      <c r="L196">
        <v>0</v>
      </c>
      <c r="M196" s="1">
        <v>45766</v>
      </c>
      <c r="N196" t="s">
        <v>28</v>
      </c>
      <c r="O196" t="s">
        <v>29</v>
      </c>
      <c r="P196">
        <v>17</v>
      </c>
      <c r="Q196">
        <v>-2</v>
      </c>
      <c r="R196" t="s">
        <v>31</v>
      </c>
      <c r="S196" t="s">
        <v>30</v>
      </c>
      <c r="T196">
        <v>0.02</v>
      </c>
      <c r="U196" t="s">
        <v>31</v>
      </c>
      <c r="V196">
        <v>0</v>
      </c>
    </row>
    <row r="197" spans="1:22" x14ac:dyDescent="0.25">
      <c r="A197" t="s">
        <v>293</v>
      </c>
      <c r="B197" t="s">
        <v>33</v>
      </c>
      <c r="C197" t="s">
        <v>34</v>
      </c>
      <c r="D197" t="s">
        <v>35</v>
      </c>
      <c r="E197" t="s">
        <v>40</v>
      </c>
      <c r="F197" t="s">
        <v>41</v>
      </c>
      <c r="G197" s="1">
        <v>46064</v>
      </c>
      <c r="H197" s="1">
        <v>46079</v>
      </c>
      <c r="I197">
        <v>15</v>
      </c>
      <c r="J197">
        <v>64097.05</v>
      </c>
      <c r="K197">
        <v>64097.05</v>
      </c>
      <c r="L197">
        <v>0</v>
      </c>
      <c r="M197" s="1">
        <v>46083</v>
      </c>
      <c r="N197" t="s">
        <v>28</v>
      </c>
      <c r="O197" t="s">
        <v>36</v>
      </c>
      <c r="P197">
        <v>19</v>
      </c>
      <c r="Q197">
        <v>-4</v>
      </c>
      <c r="R197" t="s">
        <v>31</v>
      </c>
      <c r="S197" t="s">
        <v>30</v>
      </c>
      <c r="T197">
        <v>0.02</v>
      </c>
      <c r="U197" t="s">
        <v>31</v>
      </c>
      <c r="V197">
        <v>0</v>
      </c>
    </row>
    <row r="198" spans="1:22" x14ac:dyDescent="0.25">
      <c r="A198" t="s">
        <v>294</v>
      </c>
      <c r="B198" t="s">
        <v>33</v>
      </c>
      <c r="C198" t="s">
        <v>34</v>
      </c>
      <c r="D198" t="s">
        <v>35</v>
      </c>
      <c r="E198" t="s">
        <v>26</v>
      </c>
      <c r="F198" t="s">
        <v>92</v>
      </c>
      <c r="G198" s="1">
        <v>45949</v>
      </c>
      <c r="H198" s="1">
        <v>46009</v>
      </c>
      <c r="I198">
        <v>60</v>
      </c>
      <c r="J198">
        <v>39076.18</v>
      </c>
      <c r="K198">
        <v>39076.18</v>
      </c>
      <c r="L198">
        <v>0</v>
      </c>
      <c r="M198" s="1">
        <v>46005</v>
      </c>
      <c r="N198" t="s">
        <v>28</v>
      </c>
      <c r="O198" t="s">
        <v>77</v>
      </c>
      <c r="P198">
        <v>56</v>
      </c>
      <c r="Q198">
        <v>4</v>
      </c>
      <c r="R198" t="s">
        <v>30</v>
      </c>
      <c r="S198" t="s">
        <v>30</v>
      </c>
      <c r="T198">
        <v>0.01</v>
      </c>
      <c r="U198" t="s">
        <v>31</v>
      </c>
      <c r="V198">
        <v>0</v>
      </c>
    </row>
    <row r="199" spans="1:22" x14ac:dyDescent="0.25">
      <c r="A199" t="s">
        <v>295</v>
      </c>
      <c r="B199" t="s">
        <v>75</v>
      </c>
      <c r="C199" t="s">
        <v>76</v>
      </c>
      <c r="D199" t="s">
        <v>35</v>
      </c>
      <c r="E199" t="s">
        <v>63</v>
      </c>
      <c r="F199" t="s">
        <v>41</v>
      </c>
      <c r="G199" s="1">
        <v>45773</v>
      </c>
      <c r="H199" s="1">
        <v>45803</v>
      </c>
      <c r="I199">
        <v>30</v>
      </c>
      <c r="J199">
        <v>29801.31</v>
      </c>
      <c r="K199">
        <v>29801.31</v>
      </c>
      <c r="L199">
        <v>0</v>
      </c>
      <c r="M199" s="1">
        <v>45803</v>
      </c>
      <c r="N199" t="s">
        <v>28</v>
      </c>
      <c r="O199" t="s">
        <v>29</v>
      </c>
      <c r="P199">
        <v>30</v>
      </c>
      <c r="Q199">
        <v>0</v>
      </c>
      <c r="R199" t="s">
        <v>30</v>
      </c>
      <c r="S199" t="s">
        <v>31</v>
      </c>
      <c r="T199">
        <v>0</v>
      </c>
      <c r="U199" t="s">
        <v>31</v>
      </c>
      <c r="V199">
        <v>0</v>
      </c>
    </row>
    <row r="200" spans="1:22" x14ac:dyDescent="0.25">
      <c r="A200" t="s">
        <v>296</v>
      </c>
      <c r="B200" t="s">
        <v>143</v>
      </c>
      <c r="C200" t="s">
        <v>144</v>
      </c>
      <c r="D200" t="s">
        <v>25</v>
      </c>
      <c r="E200" t="s">
        <v>68</v>
      </c>
      <c r="F200" t="s">
        <v>50</v>
      </c>
      <c r="G200" s="1">
        <v>46073</v>
      </c>
      <c r="H200" s="1">
        <v>46103</v>
      </c>
      <c r="I200">
        <v>30</v>
      </c>
      <c r="J200">
        <v>16712.810000000001</v>
      </c>
      <c r="K200">
        <v>16712.810000000001</v>
      </c>
      <c r="L200">
        <v>0</v>
      </c>
      <c r="M200" s="1">
        <v>46102</v>
      </c>
      <c r="N200" t="s">
        <v>28</v>
      </c>
      <c r="O200" t="s">
        <v>36</v>
      </c>
      <c r="P200">
        <v>29</v>
      </c>
      <c r="Q200">
        <v>1</v>
      </c>
      <c r="R200" t="s">
        <v>30</v>
      </c>
      <c r="S200" t="s">
        <v>30</v>
      </c>
      <c r="T200">
        <v>0.01</v>
      </c>
      <c r="U200" t="s">
        <v>31</v>
      </c>
      <c r="V200">
        <v>0</v>
      </c>
    </row>
    <row r="201" spans="1:22" x14ac:dyDescent="0.25">
      <c r="A201" t="s">
        <v>297</v>
      </c>
      <c r="B201" t="s">
        <v>56</v>
      </c>
      <c r="C201" t="s">
        <v>57</v>
      </c>
      <c r="D201" t="s">
        <v>58</v>
      </c>
      <c r="E201" t="s">
        <v>26</v>
      </c>
      <c r="F201" t="s">
        <v>64</v>
      </c>
      <c r="G201" s="1">
        <v>45989</v>
      </c>
      <c r="H201" s="1">
        <v>46079</v>
      </c>
      <c r="I201">
        <v>90</v>
      </c>
      <c r="J201">
        <v>37625.54</v>
      </c>
      <c r="K201">
        <v>37625.54</v>
      </c>
      <c r="L201">
        <v>0</v>
      </c>
      <c r="M201" s="1">
        <v>46074</v>
      </c>
      <c r="N201" t="s">
        <v>28</v>
      </c>
      <c r="O201" t="s">
        <v>36</v>
      </c>
      <c r="P201">
        <v>85</v>
      </c>
      <c r="Q201">
        <v>5</v>
      </c>
      <c r="R201" t="s">
        <v>30</v>
      </c>
      <c r="S201" t="s">
        <v>30</v>
      </c>
      <c r="T201">
        <v>5.0000000000000001E-3</v>
      </c>
      <c r="U201" t="s">
        <v>31</v>
      </c>
      <c r="V201">
        <v>0</v>
      </c>
    </row>
    <row r="202" spans="1:22" x14ac:dyDescent="0.25">
      <c r="A202" t="s">
        <v>298</v>
      </c>
      <c r="B202" t="s">
        <v>143</v>
      </c>
      <c r="C202" t="s">
        <v>144</v>
      </c>
      <c r="D202" t="s">
        <v>25</v>
      </c>
      <c r="E202" t="s">
        <v>68</v>
      </c>
      <c r="F202" t="s">
        <v>50</v>
      </c>
      <c r="G202" s="1">
        <v>46026</v>
      </c>
      <c r="H202" s="1">
        <v>46071</v>
      </c>
      <c r="I202">
        <v>45</v>
      </c>
      <c r="J202">
        <v>14162.6</v>
      </c>
      <c r="K202">
        <v>14162.6</v>
      </c>
      <c r="L202">
        <v>0</v>
      </c>
      <c r="M202" s="1">
        <v>46073</v>
      </c>
      <c r="N202" t="s">
        <v>28</v>
      </c>
      <c r="O202" t="s">
        <v>77</v>
      </c>
      <c r="P202">
        <v>47</v>
      </c>
      <c r="Q202">
        <v>-2</v>
      </c>
      <c r="R202" t="s">
        <v>31</v>
      </c>
      <c r="S202" t="s">
        <v>30</v>
      </c>
      <c r="T202">
        <v>1.4999999999999999E-2</v>
      </c>
      <c r="U202" t="s">
        <v>31</v>
      </c>
      <c r="V202">
        <v>0</v>
      </c>
    </row>
    <row r="203" spans="1:22" x14ac:dyDescent="0.25">
      <c r="A203" t="s">
        <v>299</v>
      </c>
      <c r="B203" t="s">
        <v>88</v>
      </c>
      <c r="C203" t="s">
        <v>89</v>
      </c>
      <c r="D203" t="s">
        <v>35</v>
      </c>
      <c r="E203" t="s">
        <v>40</v>
      </c>
      <c r="F203" t="s">
        <v>41</v>
      </c>
      <c r="G203" s="1">
        <v>45960</v>
      </c>
      <c r="H203" s="1">
        <v>45990</v>
      </c>
      <c r="I203">
        <v>30</v>
      </c>
      <c r="J203">
        <v>32565.79</v>
      </c>
      <c r="K203">
        <v>0</v>
      </c>
      <c r="L203">
        <v>32565.79</v>
      </c>
      <c r="N203" t="s">
        <v>59</v>
      </c>
      <c r="O203" t="s">
        <v>29</v>
      </c>
      <c r="Q203">
        <v>-183</v>
      </c>
      <c r="R203" t="s">
        <v>31</v>
      </c>
      <c r="S203" t="s">
        <v>30</v>
      </c>
      <c r="T203">
        <v>0.01</v>
      </c>
      <c r="U203" t="s">
        <v>31</v>
      </c>
      <c r="V203">
        <v>0</v>
      </c>
    </row>
    <row r="204" spans="1:22" x14ac:dyDescent="0.25">
      <c r="A204" t="s">
        <v>300</v>
      </c>
      <c r="B204" t="s">
        <v>100</v>
      </c>
      <c r="C204" t="s">
        <v>101</v>
      </c>
      <c r="D204" t="s">
        <v>54</v>
      </c>
      <c r="E204" t="s">
        <v>40</v>
      </c>
      <c r="F204" t="s">
        <v>41</v>
      </c>
      <c r="G204" s="1">
        <v>46140</v>
      </c>
      <c r="H204" s="1">
        <v>46200</v>
      </c>
      <c r="I204">
        <v>60</v>
      </c>
      <c r="J204">
        <v>11481.58</v>
      </c>
      <c r="K204">
        <v>7350.17</v>
      </c>
      <c r="L204">
        <v>4131.41</v>
      </c>
      <c r="M204" s="1">
        <v>46173</v>
      </c>
      <c r="N204" t="s">
        <v>98</v>
      </c>
      <c r="O204" t="s">
        <v>29</v>
      </c>
      <c r="P204">
        <v>33</v>
      </c>
      <c r="Q204">
        <v>27</v>
      </c>
      <c r="R204" t="s">
        <v>30</v>
      </c>
      <c r="S204" t="s">
        <v>31</v>
      </c>
      <c r="T204">
        <v>0</v>
      </c>
      <c r="U204" t="s">
        <v>31</v>
      </c>
      <c r="V204">
        <v>0</v>
      </c>
    </row>
    <row r="205" spans="1:22" x14ac:dyDescent="0.25">
      <c r="A205" t="s">
        <v>301</v>
      </c>
      <c r="B205" t="s">
        <v>43</v>
      </c>
      <c r="C205" t="s">
        <v>44</v>
      </c>
      <c r="D205" t="s">
        <v>25</v>
      </c>
      <c r="E205" t="s">
        <v>63</v>
      </c>
      <c r="F205" t="s">
        <v>41</v>
      </c>
      <c r="G205" s="1">
        <v>45772</v>
      </c>
      <c r="H205" s="1">
        <v>45802</v>
      </c>
      <c r="I205">
        <v>30</v>
      </c>
      <c r="J205">
        <v>2173.4</v>
      </c>
      <c r="K205">
        <v>2173.4</v>
      </c>
      <c r="L205">
        <v>0</v>
      </c>
      <c r="M205" s="1">
        <v>45798</v>
      </c>
      <c r="N205" t="s">
        <v>28</v>
      </c>
      <c r="O205" t="s">
        <v>29</v>
      </c>
      <c r="P205">
        <v>26</v>
      </c>
      <c r="Q205">
        <v>4</v>
      </c>
      <c r="R205" t="s">
        <v>30</v>
      </c>
      <c r="S205" t="s">
        <v>30</v>
      </c>
      <c r="T205">
        <v>0.01</v>
      </c>
      <c r="U205" t="s">
        <v>31</v>
      </c>
      <c r="V205">
        <v>0</v>
      </c>
    </row>
    <row r="206" spans="1:22" x14ac:dyDescent="0.25">
      <c r="A206" t="s">
        <v>302</v>
      </c>
      <c r="B206" t="s">
        <v>143</v>
      </c>
      <c r="C206" t="s">
        <v>144</v>
      </c>
      <c r="D206" t="s">
        <v>25</v>
      </c>
      <c r="E206" t="s">
        <v>63</v>
      </c>
      <c r="F206" t="s">
        <v>41</v>
      </c>
      <c r="G206" s="1">
        <v>46158</v>
      </c>
      <c r="H206" s="1">
        <v>46188</v>
      </c>
      <c r="I206">
        <v>30</v>
      </c>
      <c r="J206">
        <v>2727.89</v>
      </c>
      <c r="K206">
        <v>1518.41</v>
      </c>
      <c r="L206">
        <v>1209.48</v>
      </c>
      <c r="M206" s="1">
        <v>46173</v>
      </c>
      <c r="N206" t="s">
        <v>98</v>
      </c>
      <c r="O206" t="s">
        <v>77</v>
      </c>
      <c r="P206">
        <v>15</v>
      </c>
      <c r="Q206">
        <v>15</v>
      </c>
      <c r="R206" t="s">
        <v>30</v>
      </c>
      <c r="S206" t="s">
        <v>30</v>
      </c>
      <c r="T206">
        <v>0.01</v>
      </c>
      <c r="U206" t="s">
        <v>31</v>
      </c>
      <c r="V206">
        <v>0</v>
      </c>
    </row>
    <row r="207" spans="1:22" x14ac:dyDescent="0.25">
      <c r="A207" t="s">
        <v>303</v>
      </c>
      <c r="B207" t="s">
        <v>66</v>
      </c>
      <c r="C207" t="s">
        <v>67</v>
      </c>
      <c r="D207" t="s">
        <v>35</v>
      </c>
      <c r="E207" t="s">
        <v>26</v>
      </c>
      <c r="F207" t="s">
        <v>50</v>
      </c>
      <c r="G207" s="1">
        <v>45680</v>
      </c>
      <c r="H207" s="1">
        <v>45725</v>
      </c>
      <c r="I207">
        <v>45</v>
      </c>
      <c r="J207">
        <v>34696.15</v>
      </c>
      <c r="K207">
        <v>34696.15</v>
      </c>
      <c r="L207">
        <v>0</v>
      </c>
      <c r="M207" s="1">
        <v>45723</v>
      </c>
      <c r="N207" t="s">
        <v>28</v>
      </c>
      <c r="O207" t="s">
        <v>69</v>
      </c>
      <c r="P207">
        <v>43</v>
      </c>
      <c r="Q207">
        <v>2</v>
      </c>
      <c r="R207" t="s">
        <v>30</v>
      </c>
      <c r="S207" t="s">
        <v>31</v>
      </c>
      <c r="T207">
        <v>0</v>
      </c>
      <c r="U207" t="s">
        <v>31</v>
      </c>
      <c r="V207">
        <v>0</v>
      </c>
    </row>
    <row r="208" spans="1:22" x14ac:dyDescent="0.25">
      <c r="A208" t="s">
        <v>304</v>
      </c>
      <c r="B208" t="s">
        <v>66</v>
      </c>
      <c r="C208" t="s">
        <v>67</v>
      </c>
      <c r="D208" t="s">
        <v>35</v>
      </c>
      <c r="E208" t="s">
        <v>26</v>
      </c>
      <c r="F208" t="s">
        <v>27</v>
      </c>
      <c r="G208" s="1">
        <v>45723</v>
      </c>
      <c r="H208" s="1">
        <v>45783</v>
      </c>
      <c r="I208">
        <v>60</v>
      </c>
      <c r="J208">
        <v>45587.26</v>
      </c>
      <c r="K208">
        <v>36153.83</v>
      </c>
      <c r="L208">
        <v>9433.43</v>
      </c>
      <c r="M208" s="1">
        <v>45793</v>
      </c>
      <c r="N208" t="s">
        <v>98</v>
      </c>
      <c r="O208" t="s">
        <v>69</v>
      </c>
      <c r="P208">
        <v>70</v>
      </c>
      <c r="Q208">
        <v>-10</v>
      </c>
      <c r="R208" t="s">
        <v>31</v>
      </c>
      <c r="S208" t="s">
        <v>30</v>
      </c>
      <c r="T208">
        <v>0.01</v>
      </c>
      <c r="U208" t="s">
        <v>31</v>
      </c>
      <c r="V208">
        <v>0</v>
      </c>
    </row>
    <row r="209" spans="1:22" x14ac:dyDescent="0.25">
      <c r="A209" t="s">
        <v>305</v>
      </c>
      <c r="B209" t="s">
        <v>33</v>
      </c>
      <c r="C209" t="s">
        <v>34</v>
      </c>
      <c r="D209" t="s">
        <v>35</v>
      </c>
      <c r="E209" t="s">
        <v>68</v>
      </c>
      <c r="F209" t="s">
        <v>41</v>
      </c>
      <c r="G209" s="1">
        <v>46088</v>
      </c>
      <c r="H209" s="1">
        <v>46118</v>
      </c>
      <c r="I209">
        <v>30</v>
      </c>
      <c r="J209">
        <v>33084.57</v>
      </c>
      <c r="K209">
        <v>33084.57</v>
      </c>
      <c r="L209">
        <v>0</v>
      </c>
      <c r="M209" s="1">
        <v>46116</v>
      </c>
      <c r="N209" t="s">
        <v>28</v>
      </c>
      <c r="O209" t="s">
        <v>36</v>
      </c>
      <c r="P209">
        <v>28</v>
      </c>
      <c r="Q209">
        <v>2</v>
      </c>
      <c r="R209" t="s">
        <v>30</v>
      </c>
      <c r="S209" t="s">
        <v>31</v>
      </c>
      <c r="T209">
        <v>0</v>
      </c>
      <c r="U209" t="s">
        <v>31</v>
      </c>
      <c r="V209">
        <v>0</v>
      </c>
    </row>
    <row r="210" spans="1:22" x14ac:dyDescent="0.25">
      <c r="A210" t="s">
        <v>306</v>
      </c>
      <c r="B210" t="s">
        <v>56</v>
      </c>
      <c r="C210" t="s">
        <v>57</v>
      </c>
      <c r="D210" t="s">
        <v>58</v>
      </c>
      <c r="E210" t="s">
        <v>63</v>
      </c>
      <c r="F210" t="s">
        <v>64</v>
      </c>
      <c r="G210" s="1">
        <v>45840</v>
      </c>
      <c r="H210" s="1">
        <v>45870</v>
      </c>
      <c r="I210">
        <v>30</v>
      </c>
      <c r="J210">
        <v>39735.33</v>
      </c>
      <c r="K210">
        <v>39735.33</v>
      </c>
      <c r="L210">
        <v>0</v>
      </c>
      <c r="M210" s="1">
        <v>45872</v>
      </c>
      <c r="N210" t="s">
        <v>28</v>
      </c>
      <c r="O210" t="s">
        <v>29</v>
      </c>
      <c r="P210">
        <v>32</v>
      </c>
      <c r="Q210">
        <v>-2</v>
      </c>
      <c r="R210" t="s">
        <v>31</v>
      </c>
      <c r="S210" t="s">
        <v>30</v>
      </c>
      <c r="T210">
        <v>0.01</v>
      </c>
      <c r="U210" t="s">
        <v>31</v>
      </c>
      <c r="V210">
        <v>0</v>
      </c>
    </row>
    <row r="211" spans="1:22" x14ac:dyDescent="0.25">
      <c r="A211" t="s">
        <v>307</v>
      </c>
      <c r="B211" t="s">
        <v>52</v>
      </c>
      <c r="C211" t="s">
        <v>53</v>
      </c>
      <c r="D211" t="s">
        <v>54</v>
      </c>
      <c r="E211" t="s">
        <v>26</v>
      </c>
      <c r="F211" t="s">
        <v>27</v>
      </c>
      <c r="G211" s="1">
        <v>46092</v>
      </c>
      <c r="H211" s="1">
        <v>46182</v>
      </c>
      <c r="I211">
        <v>90</v>
      </c>
      <c r="J211">
        <v>8213.0400000000009</v>
      </c>
      <c r="K211">
        <v>0</v>
      </c>
      <c r="L211">
        <v>8213.0400000000009</v>
      </c>
      <c r="N211" t="s">
        <v>93</v>
      </c>
      <c r="O211" t="s">
        <v>29</v>
      </c>
      <c r="S211" t="s">
        <v>31</v>
      </c>
      <c r="T211">
        <v>0</v>
      </c>
      <c r="U211" t="s">
        <v>31</v>
      </c>
      <c r="V211">
        <v>0</v>
      </c>
    </row>
    <row r="212" spans="1:22" x14ac:dyDescent="0.25">
      <c r="A212" t="s">
        <v>308</v>
      </c>
      <c r="B212" t="s">
        <v>131</v>
      </c>
      <c r="C212" t="s">
        <v>132</v>
      </c>
      <c r="D212" t="s">
        <v>49</v>
      </c>
      <c r="E212" t="s">
        <v>40</v>
      </c>
      <c r="F212" t="s">
        <v>27</v>
      </c>
      <c r="G212" s="1">
        <v>45674</v>
      </c>
      <c r="H212" s="1">
        <v>45734</v>
      </c>
      <c r="I212">
        <v>60</v>
      </c>
      <c r="J212">
        <v>13551.98</v>
      </c>
      <c r="K212">
        <v>13551.98</v>
      </c>
      <c r="L212">
        <v>0</v>
      </c>
      <c r="M212" s="1">
        <v>45723</v>
      </c>
      <c r="N212" t="s">
        <v>28</v>
      </c>
      <c r="O212" t="s">
        <v>77</v>
      </c>
      <c r="P212">
        <v>49</v>
      </c>
      <c r="Q212">
        <v>11</v>
      </c>
      <c r="R212" t="s">
        <v>30</v>
      </c>
      <c r="S212" t="s">
        <v>30</v>
      </c>
      <c r="T212">
        <v>0.01</v>
      </c>
      <c r="U212" t="s">
        <v>31</v>
      </c>
      <c r="V212">
        <v>0</v>
      </c>
    </row>
    <row r="213" spans="1:22" x14ac:dyDescent="0.25">
      <c r="A213" t="s">
        <v>309</v>
      </c>
      <c r="B213" t="s">
        <v>33</v>
      </c>
      <c r="C213" t="s">
        <v>34</v>
      </c>
      <c r="D213" t="s">
        <v>35</v>
      </c>
      <c r="E213" t="s">
        <v>40</v>
      </c>
      <c r="F213" t="s">
        <v>27</v>
      </c>
      <c r="G213" s="1">
        <v>45897</v>
      </c>
      <c r="H213" s="1">
        <v>45987</v>
      </c>
      <c r="I213">
        <v>90</v>
      </c>
      <c r="J213">
        <v>45481.99</v>
      </c>
      <c r="K213">
        <v>45481.99</v>
      </c>
      <c r="L213">
        <v>0</v>
      </c>
      <c r="M213" s="1">
        <v>45990</v>
      </c>
      <c r="N213" t="s">
        <v>28</v>
      </c>
      <c r="O213" t="s">
        <v>69</v>
      </c>
      <c r="P213">
        <v>93</v>
      </c>
      <c r="Q213">
        <v>-3</v>
      </c>
      <c r="R213" t="s">
        <v>31</v>
      </c>
      <c r="S213" t="s">
        <v>31</v>
      </c>
      <c r="T213">
        <v>0</v>
      </c>
      <c r="U213" t="s">
        <v>31</v>
      </c>
      <c r="V213">
        <v>0</v>
      </c>
    </row>
    <row r="214" spans="1:22" x14ac:dyDescent="0.25">
      <c r="A214" t="s">
        <v>310</v>
      </c>
      <c r="B214" t="s">
        <v>75</v>
      </c>
      <c r="C214" t="s">
        <v>76</v>
      </c>
      <c r="D214" t="s">
        <v>35</v>
      </c>
      <c r="E214" t="s">
        <v>63</v>
      </c>
      <c r="F214" t="s">
        <v>92</v>
      </c>
      <c r="G214" s="1">
        <v>45986</v>
      </c>
      <c r="H214" s="1">
        <v>46046</v>
      </c>
      <c r="I214">
        <v>60</v>
      </c>
      <c r="J214">
        <v>22767.8</v>
      </c>
      <c r="K214">
        <v>0</v>
      </c>
      <c r="L214">
        <v>22767.8</v>
      </c>
      <c r="N214" t="s">
        <v>59</v>
      </c>
      <c r="O214" t="s">
        <v>36</v>
      </c>
      <c r="Q214">
        <v>-127</v>
      </c>
      <c r="R214" t="s">
        <v>31</v>
      </c>
      <c r="S214" t="s">
        <v>31</v>
      </c>
      <c r="T214">
        <v>0</v>
      </c>
      <c r="U214" t="s">
        <v>31</v>
      </c>
      <c r="V214">
        <v>0</v>
      </c>
    </row>
    <row r="215" spans="1:22" x14ac:dyDescent="0.25">
      <c r="A215" t="s">
        <v>311</v>
      </c>
      <c r="B215" t="s">
        <v>82</v>
      </c>
      <c r="C215" t="s">
        <v>83</v>
      </c>
      <c r="D215" t="s">
        <v>58</v>
      </c>
      <c r="E215" t="s">
        <v>40</v>
      </c>
      <c r="F215" t="s">
        <v>41</v>
      </c>
      <c r="G215" s="1">
        <v>45720</v>
      </c>
      <c r="H215" s="1">
        <v>45765</v>
      </c>
      <c r="I215">
        <v>45</v>
      </c>
      <c r="J215">
        <v>23598.57</v>
      </c>
      <c r="K215">
        <v>23598.57</v>
      </c>
      <c r="L215">
        <v>0</v>
      </c>
      <c r="M215" s="1">
        <v>45770</v>
      </c>
      <c r="N215" t="s">
        <v>28</v>
      </c>
      <c r="O215" t="s">
        <v>29</v>
      </c>
      <c r="P215">
        <v>50</v>
      </c>
      <c r="Q215">
        <v>-5</v>
      </c>
      <c r="R215" t="s">
        <v>31</v>
      </c>
      <c r="S215" t="s">
        <v>30</v>
      </c>
      <c r="T215">
        <v>1.4999999999999999E-2</v>
      </c>
      <c r="U215" t="s">
        <v>31</v>
      </c>
      <c r="V215">
        <v>0</v>
      </c>
    </row>
    <row r="216" spans="1:22" x14ac:dyDescent="0.25">
      <c r="A216" t="s">
        <v>312</v>
      </c>
      <c r="B216" t="s">
        <v>79</v>
      </c>
      <c r="C216" t="s">
        <v>80</v>
      </c>
      <c r="D216" t="s">
        <v>49</v>
      </c>
      <c r="E216" t="s">
        <v>45</v>
      </c>
      <c r="F216" t="s">
        <v>27</v>
      </c>
      <c r="G216" s="1">
        <v>45984</v>
      </c>
      <c r="H216" s="1">
        <v>46044</v>
      </c>
      <c r="I216">
        <v>60</v>
      </c>
      <c r="J216">
        <v>35422.800000000003</v>
      </c>
      <c r="K216">
        <v>35422.800000000003</v>
      </c>
      <c r="L216">
        <v>0</v>
      </c>
      <c r="M216" s="1">
        <v>46054</v>
      </c>
      <c r="N216" t="s">
        <v>28</v>
      </c>
      <c r="O216" t="s">
        <v>29</v>
      </c>
      <c r="P216">
        <v>70</v>
      </c>
      <c r="Q216">
        <v>-10</v>
      </c>
      <c r="R216" t="s">
        <v>31</v>
      </c>
      <c r="S216" t="s">
        <v>30</v>
      </c>
      <c r="T216">
        <v>0.01</v>
      </c>
      <c r="U216" t="s">
        <v>31</v>
      </c>
      <c r="V216">
        <v>0</v>
      </c>
    </row>
    <row r="217" spans="1:22" x14ac:dyDescent="0.25">
      <c r="A217" t="s">
        <v>313</v>
      </c>
      <c r="B217" t="s">
        <v>120</v>
      </c>
      <c r="C217" t="s">
        <v>121</v>
      </c>
      <c r="D217" t="s">
        <v>54</v>
      </c>
      <c r="E217" t="s">
        <v>63</v>
      </c>
      <c r="F217" t="s">
        <v>41</v>
      </c>
      <c r="G217" s="1">
        <v>45965</v>
      </c>
      <c r="H217" s="1">
        <v>45995</v>
      </c>
      <c r="I217">
        <v>30</v>
      </c>
      <c r="J217">
        <v>12934.35</v>
      </c>
      <c r="K217">
        <v>12934.35</v>
      </c>
      <c r="L217">
        <v>0</v>
      </c>
      <c r="M217" s="1">
        <v>46002</v>
      </c>
      <c r="N217" t="s">
        <v>28</v>
      </c>
      <c r="O217" t="s">
        <v>36</v>
      </c>
      <c r="P217">
        <v>37</v>
      </c>
      <c r="Q217">
        <v>-7</v>
      </c>
      <c r="R217" t="s">
        <v>31</v>
      </c>
      <c r="S217" t="s">
        <v>30</v>
      </c>
      <c r="T217">
        <v>0.01</v>
      </c>
      <c r="U217" t="s">
        <v>31</v>
      </c>
      <c r="V217">
        <v>0</v>
      </c>
    </row>
    <row r="218" spans="1:22" x14ac:dyDescent="0.25">
      <c r="A218" t="s">
        <v>314</v>
      </c>
      <c r="B218" t="s">
        <v>38</v>
      </c>
      <c r="C218" t="s">
        <v>39</v>
      </c>
      <c r="D218" t="s">
        <v>35</v>
      </c>
      <c r="E218" t="s">
        <v>63</v>
      </c>
      <c r="F218" t="s">
        <v>50</v>
      </c>
      <c r="G218" s="1">
        <v>45906</v>
      </c>
      <c r="H218" s="1">
        <v>45966</v>
      </c>
      <c r="I218">
        <v>60</v>
      </c>
      <c r="J218">
        <v>24124.67</v>
      </c>
      <c r="K218">
        <v>24124.67</v>
      </c>
      <c r="L218">
        <v>0</v>
      </c>
      <c r="M218" s="1">
        <v>45968</v>
      </c>
      <c r="N218" t="s">
        <v>28</v>
      </c>
      <c r="O218" t="s">
        <v>36</v>
      </c>
      <c r="P218">
        <v>62</v>
      </c>
      <c r="Q218">
        <v>-2</v>
      </c>
      <c r="R218" t="s">
        <v>31</v>
      </c>
      <c r="S218" t="s">
        <v>30</v>
      </c>
      <c r="T218">
        <v>0.01</v>
      </c>
      <c r="U218" t="s">
        <v>31</v>
      </c>
      <c r="V218">
        <v>0</v>
      </c>
    </row>
    <row r="219" spans="1:22" x14ac:dyDescent="0.25">
      <c r="A219" t="s">
        <v>315</v>
      </c>
      <c r="B219" t="s">
        <v>113</v>
      </c>
      <c r="C219" t="s">
        <v>114</v>
      </c>
      <c r="D219" t="s">
        <v>25</v>
      </c>
      <c r="E219" t="s">
        <v>68</v>
      </c>
      <c r="F219" t="s">
        <v>27</v>
      </c>
      <c r="G219" s="1">
        <v>45932</v>
      </c>
      <c r="H219" s="1">
        <v>45947</v>
      </c>
      <c r="I219">
        <v>15</v>
      </c>
      <c r="J219">
        <v>8166.19</v>
      </c>
      <c r="K219">
        <v>8166.19</v>
      </c>
      <c r="L219">
        <v>0</v>
      </c>
      <c r="M219" s="1">
        <v>45959</v>
      </c>
      <c r="N219" t="s">
        <v>28</v>
      </c>
      <c r="O219" t="s">
        <v>36</v>
      </c>
      <c r="P219">
        <v>27</v>
      </c>
      <c r="Q219">
        <v>-12</v>
      </c>
      <c r="R219" t="s">
        <v>31</v>
      </c>
      <c r="S219" t="s">
        <v>30</v>
      </c>
      <c r="T219">
        <v>0.02</v>
      </c>
      <c r="U219" t="s">
        <v>31</v>
      </c>
      <c r="V219">
        <v>0</v>
      </c>
    </row>
    <row r="220" spans="1:22" x14ac:dyDescent="0.25">
      <c r="A220" t="s">
        <v>316</v>
      </c>
      <c r="B220" t="s">
        <v>66</v>
      </c>
      <c r="C220" t="s">
        <v>67</v>
      </c>
      <c r="D220" t="s">
        <v>35</v>
      </c>
      <c r="E220" t="s">
        <v>63</v>
      </c>
      <c r="F220" t="s">
        <v>64</v>
      </c>
      <c r="G220" s="1">
        <v>45998</v>
      </c>
      <c r="H220" s="1">
        <v>46028</v>
      </c>
      <c r="I220">
        <v>30</v>
      </c>
      <c r="J220">
        <v>27739.1</v>
      </c>
      <c r="K220">
        <v>27739.1</v>
      </c>
      <c r="L220">
        <v>0</v>
      </c>
      <c r="M220" s="1">
        <v>46034</v>
      </c>
      <c r="N220" t="s">
        <v>28</v>
      </c>
      <c r="O220" t="s">
        <v>69</v>
      </c>
      <c r="P220">
        <v>36</v>
      </c>
      <c r="Q220">
        <v>-6</v>
      </c>
      <c r="R220" t="s">
        <v>31</v>
      </c>
      <c r="S220" t="s">
        <v>31</v>
      </c>
      <c r="T220">
        <v>0</v>
      </c>
      <c r="U220" t="s">
        <v>31</v>
      </c>
      <c r="V220">
        <v>0</v>
      </c>
    </row>
    <row r="221" spans="1:22" x14ac:dyDescent="0.25">
      <c r="A221" t="s">
        <v>317</v>
      </c>
      <c r="B221" t="s">
        <v>153</v>
      </c>
      <c r="C221" t="s">
        <v>154</v>
      </c>
      <c r="D221" t="s">
        <v>58</v>
      </c>
      <c r="E221" t="s">
        <v>26</v>
      </c>
      <c r="F221" t="s">
        <v>41</v>
      </c>
      <c r="G221" s="1">
        <v>46064</v>
      </c>
      <c r="H221" s="1">
        <v>46094</v>
      </c>
      <c r="I221">
        <v>30</v>
      </c>
      <c r="J221">
        <v>36859.68</v>
      </c>
      <c r="K221">
        <v>36859.68</v>
      </c>
      <c r="L221">
        <v>0</v>
      </c>
      <c r="M221" s="1">
        <v>46087</v>
      </c>
      <c r="N221" t="s">
        <v>28</v>
      </c>
      <c r="O221" t="s">
        <v>36</v>
      </c>
      <c r="P221">
        <v>23</v>
      </c>
      <c r="Q221">
        <v>7</v>
      </c>
      <c r="R221" t="s">
        <v>30</v>
      </c>
      <c r="S221" t="s">
        <v>30</v>
      </c>
      <c r="T221">
        <v>0.01</v>
      </c>
      <c r="U221" t="s">
        <v>31</v>
      </c>
      <c r="V221">
        <v>0</v>
      </c>
    </row>
    <row r="222" spans="1:22" x14ac:dyDescent="0.25">
      <c r="A222" t="s">
        <v>318</v>
      </c>
      <c r="B222" t="s">
        <v>128</v>
      </c>
      <c r="C222" t="s">
        <v>129</v>
      </c>
      <c r="D222" t="s">
        <v>73</v>
      </c>
      <c r="E222" t="s">
        <v>68</v>
      </c>
      <c r="F222" t="s">
        <v>92</v>
      </c>
      <c r="G222" s="1">
        <v>46135</v>
      </c>
      <c r="H222" s="1">
        <v>46225</v>
      </c>
      <c r="I222">
        <v>90</v>
      </c>
      <c r="J222">
        <v>5254.07</v>
      </c>
      <c r="K222">
        <v>5254.07</v>
      </c>
      <c r="L222">
        <v>0</v>
      </c>
      <c r="M222" s="1">
        <v>46173</v>
      </c>
      <c r="N222" t="s">
        <v>28</v>
      </c>
      <c r="O222" t="s">
        <v>29</v>
      </c>
      <c r="P222">
        <v>38</v>
      </c>
      <c r="Q222">
        <v>52</v>
      </c>
      <c r="R222" t="s">
        <v>30</v>
      </c>
      <c r="S222" t="s">
        <v>31</v>
      </c>
      <c r="T222">
        <v>0</v>
      </c>
      <c r="U222" t="s">
        <v>31</v>
      </c>
      <c r="V222">
        <v>0</v>
      </c>
    </row>
    <row r="223" spans="1:22" x14ac:dyDescent="0.25">
      <c r="A223" t="s">
        <v>319</v>
      </c>
      <c r="B223" t="s">
        <v>153</v>
      </c>
      <c r="C223" t="s">
        <v>154</v>
      </c>
      <c r="D223" t="s">
        <v>58</v>
      </c>
      <c r="E223" t="s">
        <v>68</v>
      </c>
      <c r="F223" t="s">
        <v>92</v>
      </c>
      <c r="G223" s="1">
        <v>45884</v>
      </c>
      <c r="H223" s="1">
        <v>45899</v>
      </c>
      <c r="I223">
        <v>15</v>
      </c>
      <c r="J223">
        <v>30426.34</v>
      </c>
      <c r="K223">
        <v>30426.34</v>
      </c>
      <c r="L223">
        <v>0</v>
      </c>
      <c r="M223" s="1">
        <v>45888</v>
      </c>
      <c r="N223" t="s">
        <v>28</v>
      </c>
      <c r="O223" t="s">
        <v>69</v>
      </c>
      <c r="P223">
        <v>4</v>
      </c>
      <c r="Q223">
        <v>11</v>
      </c>
      <c r="R223" t="s">
        <v>30</v>
      </c>
      <c r="S223" t="s">
        <v>30</v>
      </c>
      <c r="T223">
        <v>0.02</v>
      </c>
      <c r="U223" t="s">
        <v>30</v>
      </c>
      <c r="V223">
        <v>608.53</v>
      </c>
    </row>
    <row r="224" spans="1:22" x14ac:dyDescent="0.25">
      <c r="A224" t="s">
        <v>320</v>
      </c>
      <c r="B224" t="s">
        <v>88</v>
      </c>
      <c r="C224" t="s">
        <v>89</v>
      </c>
      <c r="D224" t="s">
        <v>35</v>
      </c>
      <c r="E224" t="s">
        <v>40</v>
      </c>
      <c r="F224" t="s">
        <v>64</v>
      </c>
      <c r="G224" s="1">
        <v>46046</v>
      </c>
      <c r="H224" s="1">
        <v>46076</v>
      </c>
      <c r="I224">
        <v>30</v>
      </c>
      <c r="J224">
        <v>47734.21</v>
      </c>
      <c r="K224">
        <v>47734.21</v>
      </c>
      <c r="L224">
        <v>0</v>
      </c>
      <c r="M224" s="1">
        <v>46070</v>
      </c>
      <c r="N224" t="s">
        <v>28</v>
      </c>
      <c r="O224" t="s">
        <v>29</v>
      </c>
      <c r="P224">
        <v>24</v>
      </c>
      <c r="Q224">
        <v>6</v>
      </c>
      <c r="R224" t="s">
        <v>30</v>
      </c>
      <c r="S224" t="s">
        <v>30</v>
      </c>
      <c r="T224">
        <v>0.01</v>
      </c>
      <c r="U224" t="s">
        <v>31</v>
      </c>
      <c r="V224">
        <v>0</v>
      </c>
    </row>
    <row r="225" spans="1:22" x14ac:dyDescent="0.25">
      <c r="A225" t="s">
        <v>321</v>
      </c>
      <c r="B225" t="s">
        <v>56</v>
      </c>
      <c r="C225" t="s">
        <v>57</v>
      </c>
      <c r="D225" t="s">
        <v>58</v>
      </c>
      <c r="E225" t="s">
        <v>68</v>
      </c>
      <c r="F225" t="s">
        <v>92</v>
      </c>
      <c r="G225" s="1">
        <v>46129</v>
      </c>
      <c r="H225" s="1">
        <v>46219</v>
      </c>
      <c r="I225">
        <v>90</v>
      </c>
      <c r="J225">
        <v>9224.64</v>
      </c>
      <c r="K225">
        <v>9224.64</v>
      </c>
      <c r="L225">
        <v>0</v>
      </c>
      <c r="M225" s="1">
        <v>46173</v>
      </c>
      <c r="N225" t="s">
        <v>28</v>
      </c>
      <c r="O225" t="s">
        <v>69</v>
      </c>
      <c r="P225">
        <v>44</v>
      </c>
      <c r="Q225">
        <v>46</v>
      </c>
      <c r="R225" t="s">
        <v>30</v>
      </c>
      <c r="S225" t="s">
        <v>31</v>
      </c>
      <c r="T225">
        <v>0</v>
      </c>
      <c r="U225" t="s">
        <v>31</v>
      </c>
      <c r="V225">
        <v>0</v>
      </c>
    </row>
    <row r="226" spans="1:22" x14ac:dyDescent="0.25">
      <c r="A226" t="s">
        <v>322</v>
      </c>
      <c r="B226" t="s">
        <v>79</v>
      </c>
      <c r="C226" t="s">
        <v>80</v>
      </c>
      <c r="D226" t="s">
        <v>49</v>
      </c>
      <c r="E226" t="s">
        <v>26</v>
      </c>
      <c r="F226" t="s">
        <v>50</v>
      </c>
      <c r="G226" s="1">
        <v>45707</v>
      </c>
      <c r="H226" s="1">
        <v>45737</v>
      </c>
      <c r="I226">
        <v>30</v>
      </c>
      <c r="J226">
        <v>38688.26</v>
      </c>
      <c r="K226">
        <v>16083.36</v>
      </c>
      <c r="L226">
        <v>22604.9</v>
      </c>
      <c r="M226" s="1">
        <v>45754</v>
      </c>
      <c r="N226" t="s">
        <v>98</v>
      </c>
      <c r="O226" t="s">
        <v>77</v>
      </c>
      <c r="P226">
        <v>47</v>
      </c>
      <c r="Q226">
        <v>-17</v>
      </c>
      <c r="R226" t="s">
        <v>31</v>
      </c>
      <c r="S226" t="s">
        <v>30</v>
      </c>
      <c r="T226">
        <v>0.01</v>
      </c>
      <c r="U226" t="s">
        <v>31</v>
      </c>
      <c r="V226">
        <v>0</v>
      </c>
    </row>
    <row r="227" spans="1:22" x14ac:dyDescent="0.25">
      <c r="A227" t="s">
        <v>323</v>
      </c>
      <c r="B227" t="s">
        <v>75</v>
      </c>
      <c r="C227" t="s">
        <v>76</v>
      </c>
      <c r="D227" t="s">
        <v>35</v>
      </c>
      <c r="E227" t="s">
        <v>26</v>
      </c>
      <c r="F227" t="s">
        <v>64</v>
      </c>
      <c r="G227" s="1">
        <v>45719</v>
      </c>
      <c r="H227" s="1">
        <v>45779</v>
      </c>
      <c r="I227">
        <v>60</v>
      </c>
      <c r="J227">
        <v>51337.64</v>
      </c>
      <c r="K227">
        <v>51337.64</v>
      </c>
      <c r="L227">
        <v>0</v>
      </c>
      <c r="M227" s="1">
        <v>45780</v>
      </c>
      <c r="N227" t="s">
        <v>28</v>
      </c>
      <c r="O227" t="s">
        <v>69</v>
      </c>
      <c r="P227">
        <v>61</v>
      </c>
      <c r="Q227">
        <v>-1</v>
      </c>
      <c r="R227" t="s">
        <v>31</v>
      </c>
      <c r="S227" t="s">
        <v>30</v>
      </c>
      <c r="T227">
        <v>0.01</v>
      </c>
      <c r="U227" t="s">
        <v>31</v>
      </c>
      <c r="V227">
        <v>0</v>
      </c>
    </row>
    <row r="228" spans="1:22" x14ac:dyDescent="0.25">
      <c r="A228" t="s">
        <v>324</v>
      </c>
      <c r="B228" t="s">
        <v>100</v>
      </c>
      <c r="C228" t="s">
        <v>101</v>
      </c>
      <c r="D228" t="s">
        <v>54</v>
      </c>
      <c r="E228" t="s">
        <v>45</v>
      </c>
      <c r="F228" t="s">
        <v>27</v>
      </c>
      <c r="G228" s="1">
        <v>45670</v>
      </c>
      <c r="H228" s="1">
        <v>45730</v>
      </c>
      <c r="I228">
        <v>60</v>
      </c>
      <c r="J228">
        <v>742.53</v>
      </c>
      <c r="K228">
        <v>742.53</v>
      </c>
      <c r="L228">
        <v>0</v>
      </c>
      <c r="M228" s="1">
        <v>45728</v>
      </c>
      <c r="N228" t="s">
        <v>28</v>
      </c>
      <c r="O228" t="s">
        <v>77</v>
      </c>
      <c r="P228">
        <v>58</v>
      </c>
      <c r="Q228">
        <v>2</v>
      </c>
      <c r="R228" t="s">
        <v>30</v>
      </c>
      <c r="S228" t="s">
        <v>31</v>
      </c>
      <c r="T228">
        <v>0</v>
      </c>
      <c r="U228" t="s">
        <v>31</v>
      </c>
      <c r="V228">
        <v>0</v>
      </c>
    </row>
    <row r="229" spans="1:22" x14ac:dyDescent="0.25">
      <c r="A229" t="s">
        <v>325</v>
      </c>
      <c r="B229" t="s">
        <v>61</v>
      </c>
      <c r="C229" t="s">
        <v>62</v>
      </c>
      <c r="D229" t="s">
        <v>35</v>
      </c>
      <c r="E229" t="s">
        <v>45</v>
      </c>
      <c r="F229" t="s">
        <v>64</v>
      </c>
      <c r="G229" s="1">
        <v>45810</v>
      </c>
      <c r="H229" s="1">
        <v>45840</v>
      </c>
      <c r="I229">
        <v>30</v>
      </c>
      <c r="J229">
        <v>23072.66</v>
      </c>
      <c r="K229">
        <v>23072.66</v>
      </c>
      <c r="L229">
        <v>0</v>
      </c>
      <c r="M229" s="1">
        <v>45849</v>
      </c>
      <c r="N229" t="s">
        <v>28</v>
      </c>
      <c r="O229" t="s">
        <v>77</v>
      </c>
      <c r="P229">
        <v>39</v>
      </c>
      <c r="Q229">
        <v>-9</v>
      </c>
      <c r="R229" t="s">
        <v>31</v>
      </c>
      <c r="S229" t="s">
        <v>30</v>
      </c>
      <c r="T229">
        <v>0.01</v>
      </c>
      <c r="U229" t="s">
        <v>31</v>
      </c>
      <c r="V229">
        <v>0</v>
      </c>
    </row>
    <row r="230" spans="1:22" x14ac:dyDescent="0.25">
      <c r="A230" t="s">
        <v>326</v>
      </c>
      <c r="B230" t="s">
        <v>128</v>
      </c>
      <c r="C230" t="s">
        <v>129</v>
      </c>
      <c r="D230" t="s">
        <v>73</v>
      </c>
      <c r="E230" t="s">
        <v>68</v>
      </c>
      <c r="F230" t="s">
        <v>41</v>
      </c>
      <c r="G230" s="1">
        <v>46073</v>
      </c>
      <c r="H230" s="1">
        <v>46133</v>
      </c>
      <c r="I230">
        <v>60</v>
      </c>
      <c r="J230">
        <v>17146.93</v>
      </c>
      <c r="K230">
        <v>0</v>
      </c>
      <c r="L230">
        <v>17146.93</v>
      </c>
      <c r="N230" t="s">
        <v>93</v>
      </c>
      <c r="O230" t="s">
        <v>77</v>
      </c>
      <c r="S230" t="s">
        <v>30</v>
      </c>
      <c r="T230">
        <v>0.01</v>
      </c>
      <c r="U230" t="s">
        <v>31</v>
      </c>
      <c r="V230">
        <v>0</v>
      </c>
    </row>
    <row r="231" spans="1:22" x14ac:dyDescent="0.25">
      <c r="A231" t="s">
        <v>327</v>
      </c>
      <c r="B231" t="s">
        <v>43</v>
      </c>
      <c r="C231" t="s">
        <v>44</v>
      </c>
      <c r="D231" t="s">
        <v>25</v>
      </c>
      <c r="E231" t="s">
        <v>26</v>
      </c>
      <c r="F231" t="s">
        <v>27</v>
      </c>
      <c r="G231" s="1">
        <v>46044</v>
      </c>
      <c r="H231" s="1">
        <v>46104</v>
      </c>
      <c r="I231">
        <v>60</v>
      </c>
      <c r="J231">
        <v>11501.33</v>
      </c>
      <c r="K231">
        <v>11501.33</v>
      </c>
      <c r="L231">
        <v>0</v>
      </c>
      <c r="M231" s="1">
        <v>46108</v>
      </c>
      <c r="N231" t="s">
        <v>28</v>
      </c>
      <c r="O231" t="s">
        <v>69</v>
      </c>
      <c r="P231">
        <v>64</v>
      </c>
      <c r="Q231">
        <v>-4</v>
      </c>
      <c r="R231" t="s">
        <v>31</v>
      </c>
      <c r="S231" t="s">
        <v>30</v>
      </c>
      <c r="T231">
        <v>0.01</v>
      </c>
      <c r="U231" t="s">
        <v>31</v>
      </c>
      <c r="V231">
        <v>0</v>
      </c>
    </row>
    <row r="232" spans="1:22" x14ac:dyDescent="0.25">
      <c r="A232" t="s">
        <v>328</v>
      </c>
      <c r="B232" t="s">
        <v>38</v>
      </c>
      <c r="C232" t="s">
        <v>39</v>
      </c>
      <c r="D232" t="s">
        <v>35</v>
      </c>
      <c r="E232" t="s">
        <v>68</v>
      </c>
      <c r="F232" t="s">
        <v>50</v>
      </c>
      <c r="G232" s="1">
        <v>45893</v>
      </c>
      <c r="H232" s="1">
        <v>45908</v>
      </c>
      <c r="I232">
        <v>15</v>
      </c>
      <c r="J232">
        <v>20856.28</v>
      </c>
      <c r="K232">
        <v>11215.47</v>
      </c>
      <c r="L232">
        <v>9640.81</v>
      </c>
      <c r="M232" s="1">
        <v>45904</v>
      </c>
      <c r="N232" t="s">
        <v>98</v>
      </c>
      <c r="O232" t="s">
        <v>77</v>
      </c>
      <c r="P232">
        <v>11</v>
      </c>
      <c r="Q232">
        <v>4</v>
      </c>
      <c r="R232" t="s">
        <v>30</v>
      </c>
      <c r="S232" t="s">
        <v>31</v>
      </c>
      <c r="T232">
        <v>0</v>
      </c>
      <c r="U232" t="s">
        <v>31</v>
      </c>
      <c r="V232">
        <v>0</v>
      </c>
    </row>
    <row r="233" spans="1:22" x14ac:dyDescent="0.25">
      <c r="A233" t="s">
        <v>329</v>
      </c>
      <c r="B233" t="s">
        <v>43</v>
      </c>
      <c r="C233" t="s">
        <v>44</v>
      </c>
      <c r="D233" t="s">
        <v>25</v>
      </c>
      <c r="E233" t="s">
        <v>68</v>
      </c>
      <c r="F233" t="s">
        <v>50</v>
      </c>
      <c r="G233" s="1">
        <v>45980</v>
      </c>
      <c r="H233" s="1">
        <v>46010</v>
      </c>
      <c r="I233">
        <v>30</v>
      </c>
      <c r="J233">
        <v>1297.5</v>
      </c>
      <c r="K233">
        <v>1297.5</v>
      </c>
      <c r="L233">
        <v>0</v>
      </c>
      <c r="M233" s="1">
        <v>46018</v>
      </c>
      <c r="N233" t="s">
        <v>28</v>
      </c>
      <c r="O233" t="s">
        <v>77</v>
      </c>
      <c r="P233">
        <v>38</v>
      </c>
      <c r="Q233">
        <v>-8</v>
      </c>
      <c r="R233" t="s">
        <v>31</v>
      </c>
      <c r="S233" t="s">
        <v>30</v>
      </c>
      <c r="T233">
        <v>0.01</v>
      </c>
      <c r="U233" t="s">
        <v>31</v>
      </c>
      <c r="V233">
        <v>0</v>
      </c>
    </row>
    <row r="234" spans="1:22" x14ac:dyDescent="0.25">
      <c r="A234" t="s">
        <v>330</v>
      </c>
      <c r="B234" t="s">
        <v>61</v>
      </c>
      <c r="C234" t="s">
        <v>62</v>
      </c>
      <c r="D234" t="s">
        <v>35</v>
      </c>
      <c r="E234" t="s">
        <v>45</v>
      </c>
      <c r="F234" t="s">
        <v>27</v>
      </c>
      <c r="G234" s="1">
        <v>45904</v>
      </c>
      <c r="H234" s="1">
        <v>45934</v>
      </c>
      <c r="I234">
        <v>30</v>
      </c>
      <c r="J234">
        <v>47502.19</v>
      </c>
      <c r="K234">
        <v>47502.19</v>
      </c>
      <c r="L234">
        <v>0</v>
      </c>
      <c r="M234" s="1">
        <v>45927</v>
      </c>
      <c r="N234" t="s">
        <v>28</v>
      </c>
      <c r="O234" t="s">
        <v>29</v>
      </c>
      <c r="P234">
        <v>23</v>
      </c>
      <c r="Q234">
        <v>7</v>
      </c>
      <c r="R234" t="s">
        <v>30</v>
      </c>
      <c r="S234" t="s">
        <v>31</v>
      </c>
      <c r="T234">
        <v>0</v>
      </c>
      <c r="U234" t="s">
        <v>31</v>
      </c>
      <c r="V234">
        <v>0</v>
      </c>
    </row>
    <row r="235" spans="1:22" x14ac:dyDescent="0.25">
      <c r="A235" t="s">
        <v>331</v>
      </c>
      <c r="B235" t="s">
        <v>71</v>
      </c>
      <c r="C235" t="s">
        <v>72</v>
      </c>
      <c r="D235" t="s">
        <v>73</v>
      </c>
      <c r="E235" t="s">
        <v>40</v>
      </c>
      <c r="F235" t="s">
        <v>27</v>
      </c>
      <c r="G235" s="1">
        <v>45758</v>
      </c>
      <c r="H235" s="1">
        <v>45773</v>
      </c>
      <c r="I235">
        <v>15</v>
      </c>
      <c r="J235">
        <v>16423.91</v>
      </c>
      <c r="K235">
        <v>16423.91</v>
      </c>
      <c r="L235">
        <v>0</v>
      </c>
      <c r="M235" s="1">
        <v>45772</v>
      </c>
      <c r="N235" t="s">
        <v>28</v>
      </c>
      <c r="O235" t="s">
        <v>29</v>
      </c>
      <c r="P235">
        <v>14</v>
      </c>
      <c r="Q235">
        <v>1</v>
      </c>
      <c r="R235" t="s">
        <v>30</v>
      </c>
      <c r="S235" t="s">
        <v>31</v>
      </c>
      <c r="T235">
        <v>0</v>
      </c>
      <c r="U235" t="s">
        <v>31</v>
      </c>
      <c r="V235">
        <v>0</v>
      </c>
    </row>
    <row r="236" spans="1:22" x14ac:dyDescent="0.25">
      <c r="A236" t="s">
        <v>332</v>
      </c>
      <c r="B236" t="s">
        <v>85</v>
      </c>
      <c r="C236" t="s">
        <v>86</v>
      </c>
      <c r="D236" t="s">
        <v>25</v>
      </c>
      <c r="E236" t="s">
        <v>63</v>
      </c>
      <c r="F236" t="s">
        <v>50</v>
      </c>
      <c r="G236" s="1">
        <v>45688</v>
      </c>
      <c r="H236" s="1">
        <v>45748</v>
      </c>
      <c r="I236">
        <v>60</v>
      </c>
      <c r="J236">
        <v>13048.34</v>
      </c>
      <c r="K236">
        <v>13048.34</v>
      </c>
      <c r="L236">
        <v>0</v>
      </c>
      <c r="M236" s="1">
        <v>45749</v>
      </c>
      <c r="N236" t="s">
        <v>28</v>
      </c>
      <c r="O236" t="s">
        <v>69</v>
      </c>
      <c r="P236">
        <v>61</v>
      </c>
      <c r="Q236">
        <v>-1</v>
      </c>
      <c r="R236" t="s">
        <v>31</v>
      </c>
      <c r="S236" t="s">
        <v>31</v>
      </c>
      <c r="T236">
        <v>0</v>
      </c>
      <c r="U236" t="s">
        <v>31</v>
      </c>
      <c r="V236">
        <v>0</v>
      </c>
    </row>
    <row r="237" spans="1:22" x14ac:dyDescent="0.25">
      <c r="A237" t="s">
        <v>333</v>
      </c>
      <c r="B237" t="s">
        <v>47</v>
      </c>
      <c r="C237" t="s">
        <v>48</v>
      </c>
      <c r="D237" t="s">
        <v>49</v>
      </c>
      <c r="E237" t="s">
        <v>45</v>
      </c>
      <c r="F237" t="s">
        <v>64</v>
      </c>
      <c r="G237" s="1">
        <v>45960</v>
      </c>
      <c r="H237" s="1">
        <v>45990</v>
      </c>
      <c r="I237">
        <v>30</v>
      </c>
      <c r="J237">
        <v>40306.65</v>
      </c>
      <c r="K237">
        <v>40306.65</v>
      </c>
      <c r="L237">
        <v>0</v>
      </c>
      <c r="M237" s="1">
        <v>46000</v>
      </c>
      <c r="N237" t="s">
        <v>28</v>
      </c>
      <c r="O237" t="s">
        <v>69</v>
      </c>
      <c r="P237">
        <v>40</v>
      </c>
      <c r="Q237">
        <v>-10</v>
      </c>
      <c r="R237" t="s">
        <v>31</v>
      </c>
      <c r="S237" t="s">
        <v>31</v>
      </c>
      <c r="T237">
        <v>0</v>
      </c>
      <c r="U237" t="s">
        <v>31</v>
      </c>
      <c r="V237">
        <v>0</v>
      </c>
    </row>
    <row r="238" spans="1:22" x14ac:dyDescent="0.25">
      <c r="A238" t="s">
        <v>334</v>
      </c>
      <c r="B238" t="s">
        <v>75</v>
      </c>
      <c r="C238" t="s">
        <v>76</v>
      </c>
      <c r="D238" t="s">
        <v>35</v>
      </c>
      <c r="E238" t="s">
        <v>45</v>
      </c>
      <c r="F238" t="s">
        <v>64</v>
      </c>
      <c r="G238" s="1">
        <v>46027</v>
      </c>
      <c r="H238" s="1">
        <v>46087</v>
      </c>
      <c r="I238">
        <v>60</v>
      </c>
      <c r="J238">
        <v>12991.32</v>
      </c>
      <c r="K238">
        <v>12991.32</v>
      </c>
      <c r="L238">
        <v>0</v>
      </c>
      <c r="M238" s="1">
        <v>46083</v>
      </c>
      <c r="N238" t="s">
        <v>28</v>
      </c>
      <c r="O238" t="s">
        <v>69</v>
      </c>
      <c r="P238">
        <v>56</v>
      </c>
      <c r="Q238">
        <v>4</v>
      </c>
      <c r="R238" t="s">
        <v>30</v>
      </c>
      <c r="S238" t="s">
        <v>30</v>
      </c>
      <c r="T238">
        <v>0.01</v>
      </c>
      <c r="U238" t="s">
        <v>31</v>
      </c>
      <c r="V238">
        <v>0</v>
      </c>
    </row>
    <row r="239" spans="1:22" x14ac:dyDescent="0.25">
      <c r="A239" t="s">
        <v>335</v>
      </c>
      <c r="B239" t="s">
        <v>75</v>
      </c>
      <c r="C239" t="s">
        <v>76</v>
      </c>
      <c r="D239" t="s">
        <v>35</v>
      </c>
      <c r="E239" t="s">
        <v>26</v>
      </c>
      <c r="F239" t="s">
        <v>64</v>
      </c>
      <c r="G239" s="1">
        <v>46075</v>
      </c>
      <c r="H239" s="1">
        <v>46165</v>
      </c>
      <c r="I239">
        <v>90</v>
      </c>
      <c r="J239">
        <v>12746.97</v>
      </c>
      <c r="K239">
        <v>12746.97</v>
      </c>
      <c r="L239">
        <v>0</v>
      </c>
      <c r="M239" s="1">
        <v>46169</v>
      </c>
      <c r="N239" t="s">
        <v>28</v>
      </c>
      <c r="O239" t="s">
        <v>69</v>
      </c>
      <c r="P239">
        <v>94</v>
      </c>
      <c r="Q239">
        <v>-4</v>
      </c>
      <c r="R239" t="s">
        <v>31</v>
      </c>
      <c r="S239" t="s">
        <v>30</v>
      </c>
      <c r="T239">
        <v>5.0000000000000001E-3</v>
      </c>
      <c r="U239" t="s">
        <v>31</v>
      </c>
      <c r="V239">
        <v>0</v>
      </c>
    </row>
    <row r="240" spans="1:22" x14ac:dyDescent="0.25">
      <c r="A240" t="s">
        <v>336</v>
      </c>
      <c r="B240" t="s">
        <v>143</v>
      </c>
      <c r="C240" t="s">
        <v>144</v>
      </c>
      <c r="D240" t="s">
        <v>25</v>
      </c>
      <c r="E240" t="s">
        <v>45</v>
      </c>
      <c r="F240" t="s">
        <v>27</v>
      </c>
      <c r="G240" s="1">
        <v>46055</v>
      </c>
      <c r="H240" s="1">
        <v>46115</v>
      </c>
      <c r="I240">
        <v>60</v>
      </c>
      <c r="J240">
        <v>15804.21</v>
      </c>
      <c r="K240">
        <v>15804.21</v>
      </c>
      <c r="L240">
        <v>0</v>
      </c>
      <c r="M240" s="1">
        <v>46115</v>
      </c>
      <c r="N240" t="s">
        <v>28</v>
      </c>
      <c r="O240" t="s">
        <v>29</v>
      </c>
      <c r="P240">
        <v>60</v>
      </c>
      <c r="Q240">
        <v>0</v>
      </c>
      <c r="R240" t="s">
        <v>30</v>
      </c>
      <c r="S240" t="s">
        <v>31</v>
      </c>
      <c r="T240">
        <v>0</v>
      </c>
      <c r="U240" t="s">
        <v>31</v>
      </c>
      <c r="V240">
        <v>0</v>
      </c>
    </row>
    <row r="241" spans="1:22" x14ac:dyDescent="0.25">
      <c r="A241" t="s">
        <v>337</v>
      </c>
      <c r="B241" t="s">
        <v>56</v>
      </c>
      <c r="C241" t="s">
        <v>57</v>
      </c>
      <c r="D241" t="s">
        <v>58</v>
      </c>
      <c r="E241" t="s">
        <v>45</v>
      </c>
      <c r="F241" t="s">
        <v>64</v>
      </c>
      <c r="G241" s="1">
        <v>45966</v>
      </c>
      <c r="H241" s="1">
        <v>46011</v>
      </c>
      <c r="I241">
        <v>45</v>
      </c>
      <c r="J241">
        <v>12931.05</v>
      </c>
      <c r="K241">
        <v>12931.05</v>
      </c>
      <c r="L241">
        <v>0</v>
      </c>
      <c r="M241" s="1">
        <v>46020</v>
      </c>
      <c r="N241" t="s">
        <v>28</v>
      </c>
      <c r="O241" t="s">
        <v>36</v>
      </c>
      <c r="P241">
        <v>54</v>
      </c>
      <c r="Q241">
        <v>-9</v>
      </c>
      <c r="R241" t="s">
        <v>31</v>
      </c>
      <c r="S241" t="s">
        <v>30</v>
      </c>
      <c r="T241">
        <v>1.4999999999999999E-2</v>
      </c>
      <c r="U241" t="s">
        <v>31</v>
      </c>
      <c r="V241">
        <v>0</v>
      </c>
    </row>
    <row r="242" spans="1:22" x14ac:dyDescent="0.25">
      <c r="A242" t="s">
        <v>338</v>
      </c>
      <c r="B242" t="s">
        <v>131</v>
      </c>
      <c r="C242" t="s">
        <v>132</v>
      </c>
      <c r="D242" t="s">
        <v>49</v>
      </c>
      <c r="E242" t="s">
        <v>45</v>
      </c>
      <c r="F242" t="s">
        <v>92</v>
      </c>
      <c r="G242" s="1">
        <v>46027</v>
      </c>
      <c r="H242" s="1">
        <v>46057</v>
      </c>
      <c r="I242">
        <v>30</v>
      </c>
      <c r="J242">
        <v>14081.59</v>
      </c>
      <c r="K242">
        <v>14081.59</v>
      </c>
      <c r="L242">
        <v>0</v>
      </c>
      <c r="M242" s="1">
        <v>46053</v>
      </c>
      <c r="N242" t="s">
        <v>28</v>
      </c>
      <c r="O242" t="s">
        <v>69</v>
      </c>
      <c r="P242">
        <v>26</v>
      </c>
      <c r="Q242">
        <v>4</v>
      </c>
      <c r="R242" t="s">
        <v>30</v>
      </c>
      <c r="S242" t="s">
        <v>30</v>
      </c>
      <c r="T242">
        <v>0.01</v>
      </c>
      <c r="U242" t="s">
        <v>31</v>
      </c>
      <c r="V242">
        <v>0</v>
      </c>
    </row>
    <row r="243" spans="1:22" x14ac:dyDescent="0.25">
      <c r="A243" t="s">
        <v>339</v>
      </c>
      <c r="B243" t="s">
        <v>109</v>
      </c>
      <c r="C243" t="s">
        <v>110</v>
      </c>
      <c r="D243" t="s">
        <v>49</v>
      </c>
      <c r="E243" t="s">
        <v>40</v>
      </c>
      <c r="F243" t="s">
        <v>92</v>
      </c>
      <c r="G243" s="1">
        <v>45998</v>
      </c>
      <c r="H243" s="1">
        <v>46058</v>
      </c>
      <c r="I243">
        <v>60</v>
      </c>
      <c r="J243">
        <v>42397.440000000002</v>
      </c>
      <c r="K243">
        <v>22051.39</v>
      </c>
      <c r="L243">
        <v>20346.05</v>
      </c>
      <c r="M243" s="1">
        <v>46066</v>
      </c>
      <c r="N243" t="s">
        <v>98</v>
      </c>
      <c r="O243" t="s">
        <v>77</v>
      </c>
      <c r="P243">
        <v>68</v>
      </c>
      <c r="Q243">
        <v>-8</v>
      </c>
      <c r="R243" t="s">
        <v>31</v>
      </c>
      <c r="S243" t="s">
        <v>30</v>
      </c>
      <c r="T243">
        <v>0.01</v>
      </c>
      <c r="U243" t="s">
        <v>31</v>
      </c>
      <c r="V243">
        <v>0</v>
      </c>
    </row>
    <row r="244" spans="1:22" x14ac:dyDescent="0.25">
      <c r="A244" t="s">
        <v>340</v>
      </c>
      <c r="B244" t="s">
        <v>23</v>
      </c>
      <c r="C244" t="s">
        <v>24</v>
      </c>
      <c r="D244" t="s">
        <v>25</v>
      </c>
      <c r="E244" t="s">
        <v>63</v>
      </c>
      <c r="F244" t="s">
        <v>64</v>
      </c>
      <c r="G244" s="1">
        <v>45863</v>
      </c>
      <c r="H244" s="1">
        <v>45923</v>
      </c>
      <c r="I244">
        <v>60</v>
      </c>
      <c r="J244">
        <v>10101.19</v>
      </c>
      <c r="K244">
        <v>10101.19</v>
      </c>
      <c r="L244">
        <v>0</v>
      </c>
      <c r="M244" s="1">
        <v>45921</v>
      </c>
      <c r="N244" t="s">
        <v>28</v>
      </c>
      <c r="O244" t="s">
        <v>29</v>
      </c>
      <c r="P244">
        <v>58</v>
      </c>
      <c r="Q244">
        <v>2</v>
      </c>
      <c r="R244" t="s">
        <v>30</v>
      </c>
      <c r="S244" t="s">
        <v>30</v>
      </c>
      <c r="T244">
        <v>0.01</v>
      </c>
      <c r="U244" t="s">
        <v>31</v>
      </c>
      <c r="V244">
        <v>0</v>
      </c>
    </row>
    <row r="245" spans="1:22" x14ac:dyDescent="0.25">
      <c r="A245" t="s">
        <v>341</v>
      </c>
      <c r="B245" t="s">
        <v>143</v>
      </c>
      <c r="C245" t="s">
        <v>144</v>
      </c>
      <c r="D245" t="s">
        <v>25</v>
      </c>
      <c r="E245" t="s">
        <v>68</v>
      </c>
      <c r="F245" t="s">
        <v>41</v>
      </c>
      <c r="G245" s="1">
        <v>46043</v>
      </c>
      <c r="H245" s="1">
        <v>46103</v>
      </c>
      <c r="I245">
        <v>60</v>
      </c>
      <c r="J245">
        <v>6325.7</v>
      </c>
      <c r="K245">
        <v>6325.7</v>
      </c>
      <c r="L245">
        <v>0</v>
      </c>
      <c r="M245" s="1">
        <v>46107</v>
      </c>
      <c r="N245" t="s">
        <v>28</v>
      </c>
      <c r="O245" t="s">
        <v>36</v>
      </c>
      <c r="P245">
        <v>64</v>
      </c>
      <c r="Q245">
        <v>-4</v>
      </c>
      <c r="R245" t="s">
        <v>31</v>
      </c>
      <c r="S245" t="s">
        <v>31</v>
      </c>
      <c r="T245">
        <v>0</v>
      </c>
      <c r="U245" t="s">
        <v>31</v>
      </c>
      <c r="V245">
        <v>0</v>
      </c>
    </row>
    <row r="246" spans="1:22" x14ac:dyDescent="0.25">
      <c r="A246" t="s">
        <v>342</v>
      </c>
      <c r="B246" t="s">
        <v>79</v>
      </c>
      <c r="C246" t="s">
        <v>80</v>
      </c>
      <c r="D246" t="s">
        <v>49</v>
      </c>
      <c r="E246" t="s">
        <v>40</v>
      </c>
      <c r="F246" t="s">
        <v>50</v>
      </c>
      <c r="G246" s="1">
        <v>45872</v>
      </c>
      <c r="H246" s="1">
        <v>45962</v>
      </c>
      <c r="I246">
        <v>90</v>
      </c>
      <c r="J246">
        <v>23045.84</v>
      </c>
      <c r="K246">
        <v>23045.84</v>
      </c>
      <c r="L246">
        <v>0</v>
      </c>
      <c r="M246" s="1">
        <v>45960</v>
      </c>
      <c r="N246" t="s">
        <v>28</v>
      </c>
      <c r="O246" t="s">
        <v>77</v>
      </c>
      <c r="P246">
        <v>88</v>
      </c>
      <c r="Q246">
        <v>2</v>
      </c>
      <c r="R246" t="s">
        <v>30</v>
      </c>
      <c r="S246" t="s">
        <v>30</v>
      </c>
      <c r="T246">
        <v>5.0000000000000001E-3</v>
      </c>
      <c r="U246" t="s">
        <v>31</v>
      </c>
      <c r="V246">
        <v>0</v>
      </c>
    </row>
    <row r="247" spans="1:22" x14ac:dyDescent="0.25">
      <c r="A247" t="s">
        <v>343</v>
      </c>
      <c r="B247" t="s">
        <v>38</v>
      </c>
      <c r="C247" t="s">
        <v>39</v>
      </c>
      <c r="D247" t="s">
        <v>35</v>
      </c>
      <c r="E247" t="s">
        <v>45</v>
      </c>
      <c r="F247" t="s">
        <v>64</v>
      </c>
      <c r="G247" s="1">
        <v>45916</v>
      </c>
      <c r="H247" s="1">
        <v>45946</v>
      </c>
      <c r="I247">
        <v>30</v>
      </c>
      <c r="J247">
        <v>54399.72</v>
      </c>
      <c r="K247">
        <v>18331.759999999998</v>
      </c>
      <c r="L247">
        <v>36067.96</v>
      </c>
      <c r="M247" s="1">
        <v>45960</v>
      </c>
      <c r="N247" t="s">
        <v>98</v>
      </c>
      <c r="O247" t="s">
        <v>29</v>
      </c>
      <c r="P247">
        <v>44</v>
      </c>
      <c r="Q247">
        <v>-14</v>
      </c>
      <c r="R247" t="s">
        <v>31</v>
      </c>
      <c r="S247" t="s">
        <v>31</v>
      </c>
      <c r="T247">
        <v>0</v>
      </c>
      <c r="U247" t="s">
        <v>31</v>
      </c>
      <c r="V247">
        <v>0</v>
      </c>
    </row>
    <row r="248" spans="1:22" x14ac:dyDescent="0.25">
      <c r="A248" t="s">
        <v>344</v>
      </c>
      <c r="B248" t="s">
        <v>100</v>
      </c>
      <c r="C248" t="s">
        <v>101</v>
      </c>
      <c r="D248" t="s">
        <v>54</v>
      </c>
      <c r="E248" t="s">
        <v>63</v>
      </c>
      <c r="F248" t="s">
        <v>41</v>
      </c>
      <c r="G248" s="1">
        <v>46026</v>
      </c>
      <c r="H248" s="1">
        <v>46041</v>
      </c>
      <c r="I248">
        <v>15</v>
      </c>
      <c r="J248">
        <v>10673.7</v>
      </c>
      <c r="K248">
        <v>10673.7</v>
      </c>
      <c r="L248">
        <v>0</v>
      </c>
      <c r="M248" s="1">
        <v>46044</v>
      </c>
      <c r="N248" t="s">
        <v>28</v>
      </c>
      <c r="O248" t="s">
        <v>69</v>
      </c>
      <c r="P248">
        <v>18</v>
      </c>
      <c r="Q248">
        <v>-3</v>
      </c>
      <c r="R248" t="s">
        <v>31</v>
      </c>
      <c r="S248" t="s">
        <v>31</v>
      </c>
      <c r="T248">
        <v>0</v>
      </c>
      <c r="U248" t="s">
        <v>31</v>
      </c>
      <c r="V248">
        <v>0</v>
      </c>
    </row>
    <row r="249" spans="1:22" x14ac:dyDescent="0.25">
      <c r="A249" t="s">
        <v>345</v>
      </c>
      <c r="B249" t="s">
        <v>52</v>
      </c>
      <c r="C249" t="s">
        <v>53</v>
      </c>
      <c r="D249" t="s">
        <v>54</v>
      </c>
      <c r="E249" t="s">
        <v>68</v>
      </c>
      <c r="F249" t="s">
        <v>64</v>
      </c>
      <c r="G249" s="1">
        <v>45997</v>
      </c>
      <c r="H249" s="1">
        <v>46057</v>
      </c>
      <c r="I249">
        <v>60</v>
      </c>
      <c r="J249">
        <v>14502.89</v>
      </c>
      <c r="K249">
        <v>14502.89</v>
      </c>
      <c r="L249">
        <v>0</v>
      </c>
      <c r="M249" s="1">
        <v>46056</v>
      </c>
      <c r="N249" t="s">
        <v>28</v>
      </c>
      <c r="O249" t="s">
        <v>77</v>
      </c>
      <c r="P249">
        <v>59</v>
      </c>
      <c r="Q249">
        <v>1</v>
      </c>
      <c r="R249" t="s">
        <v>30</v>
      </c>
      <c r="S249" t="s">
        <v>30</v>
      </c>
      <c r="T249">
        <v>0.01</v>
      </c>
      <c r="U249" t="s">
        <v>31</v>
      </c>
      <c r="V249">
        <v>0</v>
      </c>
    </row>
    <row r="250" spans="1:22" x14ac:dyDescent="0.25">
      <c r="A250" t="s">
        <v>346</v>
      </c>
      <c r="B250" t="s">
        <v>131</v>
      </c>
      <c r="C250" t="s">
        <v>132</v>
      </c>
      <c r="D250" t="s">
        <v>49</v>
      </c>
      <c r="E250" t="s">
        <v>40</v>
      </c>
      <c r="F250" t="s">
        <v>50</v>
      </c>
      <c r="G250" s="1">
        <v>46041</v>
      </c>
      <c r="H250" s="1">
        <v>46131</v>
      </c>
      <c r="I250">
        <v>90</v>
      </c>
      <c r="J250">
        <v>20774.439999999999</v>
      </c>
      <c r="K250">
        <v>20774.439999999999</v>
      </c>
      <c r="L250">
        <v>0</v>
      </c>
      <c r="M250" s="1">
        <v>46130</v>
      </c>
      <c r="N250" t="s">
        <v>28</v>
      </c>
      <c r="O250" t="s">
        <v>36</v>
      </c>
      <c r="P250">
        <v>89</v>
      </c>
      <c r="Q250">
        <v>1</v>
      </c>
      <c r="R250" t="s">
        <v>30</v>
      </c>
      <c r="S250" t="s">
        <v>31</v>
      </c>
      <c r="T250">
        <v>0</v>
      </c>
      <c r="U250" t="s">
        <v>31</v>
      </c>
      <c r="V250">
        <v>0</v>
      </c>
    </row>
    <row r="251" spans="1:22" x14ac:dyDescent="0.25">
      <c r="A251" t="s">
        <v>347</v>
      </c>
      <c r="B251" t="s">
        <v>109</v>
      </c>
      <c r="C251" t="s">
        <v>110</v>
      </c>
      <c r="D251" t="s">
        <v>49</v>
      </c>
      <c r="E251" t="s">
        <v>68</v>
      </c>
      <c r="F251" t="s">
        <v>41</v>
      </c>
      <c r="G251" s="1">
        <v>45803</v>
      </c>
      <c r="H251" s="1">
        <v>45833</v>
      </c>
      <c r="I251">
        <v>30</v>
      </c>
      <c r="J251">
        <v>18719.78</v>
      </c>
      <c r="K251">
        <v>10493.51</v>
      </c>
      <c r="L251">
        <v>8226.27</v>
      </c>
      <c r="M251" s="1">
        <v>45839</v>
      </c>
      <c r="N251" t="s">
        <v>98</v>
      </c>
      <c r="O251" t="s">
        <v>77</v>
      </c>
      <c r="P251">
        <v>36</v>
      </c>
      <c r="Q251">
        <v>-6</v>
      </c>
      <c r="R251" t="s">
        <v>31</v>
      </c>
      <c r="S251" t="s">
        <v>30</v>
      </c>
      <c r="T251">
        <v>0.01</v>
      </c>
      <c r="U251" t="s">
        <v>31</v>
      </c>
      <c r="V251">
        <v>0</v>
      </c>
    </row>
    <row r="252" spans="1:22" x14ac:dyDescent="0.25">
      <c r="A252" t="s">
        <v>348</v>
      </c>
      <c r="B252" t="s">
        <v>100</v>
      </c>
      <c r="C252" t="s">
        <v>101</v>
      </c>
      <c r="D252" t="s">
        <v>54</v>
      </c>
      <c r="E252" t="s">
        <v>26</v>
      </c>
      <c r="F252" t="s">
        <v>41</v>
      </c>
      <c r="G252" s="1">
        <v>45726</v>
      </c>
      <c r="H252" s="1">
        <v>45786</v>
      </c>
      <c r="I252">
        <v>60</v>
      </c>
      <c r="J252">
        <v>4853.83</v>
      </c>
      <c r="K252">
        <v>4853.83</v>
      </c>
      <c r="L252">
        <v>0</v>
      </c>
      <c r="M252" s="1">
        <v>45787</v>
      </c>
      <c r="N252" t="s">
        <v>28</v>
      </c>
      <c r="O252" t="s">
        <v>69</v>
      </c>
      <c r="P252">
        <v>61</v>
      </c>
      <c r="Q252">
        <v>-1</v>
      </c>
      <c r="R252" t="s">
        <v>31</v>
      </c>
      <c r="S252" t="s">
        <v>31</v>
      </c>
      <c r="T252">
        <v>0</v>
      </c>
      <c r="U252" t="s">
        <v>31</v>
      </c>
      <c r="V252">
        <v>0</v>
      </c>
    </row>
    <row r="253" spans="1:22" x14ac:dyDescent="0.25">
      <c r="A253" t="s">
        <v>349</v>
      </c>
      <c r="B253" t="s">
        <v>143</v>
      </c>
      <c r="C253" t="s">
        <v>144</v>
      </c>
      <c r="D253" t="s">
        <v>25</v>
      </c>
      <c r="E253" t="s">
        <v>26</v>
      </c>
      <c r="F253" t="s">
        <v>64</v>
      </c>
      <c r="G253" s="1">
        <v>45821</v>
      </c>
      <c r="H253" s="1">
        <v>45851</v>
      </c>
      <c r="I253">
        <v>30</v>
      </c>
      <c r="J253">
        <v>7288.8</v>
      </c>
      <c r="K253">
        <v>7288.8</v>
      </c>
      <c r="L253">
        <v>0</v>
      </c>
      <c r="M253" s="1">
        <v>45854</v>
      </c>
      <c r="N253" t="s">
        <v>28</v>
      </c>
      <c r="O253" t="s">
        <v>36</v>
      </c>
      <c r="P253">
        <v>33</v>
      </c>
      <c r="Q253">
        <v>-3</v>
      </c>
      <c r="R253" t="s">
        <v>31</v>
      </c>
      <c r="S253" t="s">
        <v>30</v>
      </c>
      <c r="T253">
        <v>0.01</v>
      </c>
      <c r="U253" t="s">
        <v>31</v>
      </c>
      <c r="V253">
        <v>0</v>
      </c>
    </row>
    <row r="254" spans="1:22" x14ac:dyDescent="0.25">
      <c r="A254" t="s">
        <v>350</v>
      </c>
      <c r="B254" t="s">
        <v>120</v>
      </c>
      <c r="C254" t="s">
        <v>121</v>
      </c>
      <c r="D254" t="s">
        <v>54</v>
      </c>
      <c r="E254" t="s">
        <v>45</v>
      </c>
      <c r="F254" t="s">
        <v>41</v>
      </c>
      <c r="G254" s="1">
        <v>46118</v>
      </c>
      <c r="H254" s="1">
        <v>46148</v>
      </c>
      <c r="I254">
        <v>30</v>
      </c>
      <c r="J254">
        <v>9086.9500000000007</v>
      </c>
      <c r="K254">
        <v>0</v>
      </c>
      <c r="L254">
        <v>9086.9500000000007</v>
      </c>
      <c r="N254" t="s">
        <v>93</v>
      </c>
      <c r="O254" t="s">
        <v>77</v>
      </c>
      <c r="S254" t="s">
        <v>30</v>
      </c>
      <c r="T254">
        <v>0.01</v>
      </c>
      <c r="U254" t="s">
        <v>31</v>
      </c>
      <c r="V254">
        <v>0</v>
      </c>
    </row>
    <row r="255" spans="1:22" x14ac:dyDescent="0.25">
      <c r="A255" t="s">
        <v>351</v>
      </c>
      <c r="B255" t="s">
        <v>85</v>
      </c>
      <c r="C255" t="s">
        <v>86</v>
      </c>
      <c r="D255" t="s">
        <v>25</v>
      </c>
      <c r="E255" t="s">
        <v>26</v>
      </c>
      <c r="F255" t="s">
        <v>50</v>
      </c>
      <c r="G255" s="1">
        <v>46032</v>
      </c>
      <c r="H255" s="1">
        <v>46062</v>
      </c>
      <c r="I255">
        <v>30</v>
      </c>
      <c r="J255">
        <v>7193.71</v>
      </c>
      <c r="K255">
        <v>7193.71</v>
      </c>
      <c r="L255">
        <v>0</v>
      </c>
      <c r="M255" s="1">
        <v>46052</v>
      </c>
      <c r="N255" t="s">
        <v>28</v>
      </c>
      <c r="O255" t="s">
        <v>77</v>
      </c>
      <c r="P255">
        <v>20</v>
      </c>
      <c r="Q255">
        <v>10</v>
      </c>
      <c r="R255" t="s">
        <v>30</v>
      </c>
      <c r="S255" t="s">
        <v>30</v>
      </c>
      <c r="T255">
        <v>0.01</v>
      </c>
      <c r="U255" t="s">
        <v>31</v>
      </c>
      <c r="V255">
        <v>0</v>
      </c>
    </row>
    <row r="256" spans="1:22" x14ac:dyDescent="0.25">
      <c r="A256" t="s">
        <v>352</v>
      </c>
      <c r="B256" t="s">
        <v>100</v>
      </c>
      <c r="C256" t="s">
        <v>101</v>
      </c>
      <c r="D256" t="s">
        <v>54</v>
      </c>
      <c r="E256" t="s">
        <v>63</v>
      </c>
      <c r="F256" t="s">
        <v>92</v>
      </c>
      <c r="G256" s="1">
        <v>45774</v>
      </c>
      <c r="H256" s="1">
        <v>45834</v>
      </c>
      <c r="I256">
        <v>60</v>
      </c>
      <c r="J256">
        <v>5544.91</v>
      </c>
      <c r="K256">
        <v>5544.91</v>
      </c>
      <c r="L256">
        <v>0</v>
      </c>
      <c r="M256" s="1">
        <v>45838</v>
      </c>
      <c r="N256" t="s">
        <v>28</v>
      </c>
      <c r="O256" t="s">
        <v>69</v>
      </c>
      <c r="P256">
        <v>64</v>
      </c>
      <c r="Q256">
        <v>-4</v>
      </c>
      <c r="R256" t="s">
        <v>31</v>
      </c>
      <c r="S256" t="s">
        <v>31</v>
      </c>
      <c r="T256">
        <v>0</v>
      </c>
      <c r="U256" t="s">
        <v>31</v>
      </c>
      <c r="V256">
        <v>0</v>
      </c>
    </row>
    <row r="257" spans="1:22" x14ac:dyDescent="0.25">
      <c r="A257" t="s">
        <v>353</v>
      </c>
      <c r="B257" t="s">
        <v>88</v>
      </c>
      <c r="C257" t="s">
        <v>89</v>
      </c>
      <c r="D257" t="s">
        <v>35</v>
      </c>
      <c r="E257" t="s">
        <v>63</v>
      </c>
      <c r="F257" t="s">
        <v>50</v>
      </c>
      <c r="G257" s="1">
        <v>45978</v>
      </c>
      <c r="H257" s="1">
        <v>46008</v>
      </c>
      <c r="I257">
        <v>30</v>
      </c>
      <c r="J257">
        <v>13839.62</v>
      </c>
      <c r="K257">
        <v>13839.62</v>
      </c>
      <c r="L257">
        <v>0</v>
      </c>
      <c r="M257" s="1">
        <v>45997</v>
      </c>
      <c r="N257" t="s">
        <v>28</v>
      </c>
      <c r="O257" t="s">
        <v>77</v>
      </c>
      <c r="P257">
        <v>19</v>
      </c>
      <c r="Q257">
        <v>11</v>
      </c>
      <c r="R257" t="s">
        <v>30</v>
      </c>
      <c r="S257" t="s">
        <v>30</v>
      </c>
      <c r="T257">
        <v>0.01</v>
      </c>
      <c r="U257" t="s">
        <v>31</v>
      </c>
      <c r="V257">
        <v>0</v>
      </c>
    </row>
    <row r="258" spans="1:22" x14ac:dyDescent="0.25">
      <c r="A258" t="s">
        <v>354</v>
      </c>
      <c r="B258" t="s">
        <v>61</v>
      </c>
      <c r="C258" t="s">
        <v>62</v>
      </c>
      <c r="D258" t="s">
        <v>35</v>
      </c>
      <c r="E258" t="s">
        <v>40</v>
      </c>
      <c r="F258" t="s">
        <v>50</v>
      </c>
      <c r="G258" s="1">
        <v>45799</v>
      </c>
      <c r="H258" s="1">
        <v>45859</v>
      </c>
      <c r="I258">
        <v>60</v>
      </c>
      <c r="J258">
        <v>48110.45</v>
      </c>
      <c r="K258">
        <v>48110.45</v>
      </c>
      <c r="L258">
        <v>0</v>
      </c>
      <c r="M258" s="1">
        <v>45842</v>
      </c>
      <c r="N258" t="s">
        <v>28</v>
      </c>
      <c r="O258" t="s">
        <v>69</v>
      </c>
      <c r="P258">
        <v>43</v>
      </c>
      <c r="Q258">
        <v>17</v>
      </c>
      <c r="R258" t="s">
        <v>30</v>
      </c>
      <c r="S258" t="s">
        <v>30</v>
      </c>
      <c r="T258">
        <v>0.01</v>
      </c>
      <c r="U258" t="s">
        <v>31</v>
      </c>
      <c r="V258">
        <v>0</v>
      </c>
    </row>
    <row r="259" spans="1:22" x14ac:dyDescent="0.25">
      <c r="A259" t="s">
        <v>355</v>
      </c>
      <c r="B259" t="s">
        <v>120</v>
      </c>
      <c r="C259" t="s">
        <v>121</v>
      </c>
      <c r="D259" t="s">
        <v>54</v>
      </c>
      <c r="E259" t="s">
        <v>63</v>
      </c>
      <c r="F259" t="s">
        <v>64</v>
      </c>
      <c r="G259" s="1">
        <v>45801</v>
      </c>
      <c r="H259" s="1">
        <v>45846</v>
      </c>
      <c r="I259">
        <v>45</v>
      </c>
      <c r="J259">
        <v>3212.93</v>
      </c>
      <c r="K259">
        <v>3212.93</v>
      </c>
      <c r="L259">
        <v>0</v>
      </c>
      <c r="M259" s="1">
        <v>45842</v>
      </c>
      <c r="N259" t="s">
        <v>28</v>
      </c>
      <c r="O259" t="s">
        <v>69</v>
      </c>
      <c r="P259">
        <v>41</v>
      </c>
      <c r="Q259">
        <v>4</v>
      </c>
      <c r="R259" t="s">
        <v>30</v>
      </c>
      <c r="S259" t="s">
        <v>31</v>
      </c>
      <c r="T259">
        <v>0</v>
      </c>
      <c r="U259" t="s">
        <v>31</v>
      </c>
      <c r="V259">
        <v>0</v>
      </c>
    </row>
    <row r="260" spans="1:22" x14ac:dyDescent="0.25">
      <c r="A260" t="s">
        <v>356</v>
      </c>
      <c r="B260" t="s">
        <v>128</v>
      </c>
      <c r="C260" t="s">
        <v>129</v>
      </c>
      <c r="D260" t="s">
        <v>73</v>
      </c>
      <c r="E260" t="s">
        <v>26</v>
      </c>
      <c r="F260" t="s">
        <v>41</v>
      </c>
      <c r="G260" s="1">
        <v>46051</v>
      </c>
      <c r="H260" s="1">
        <v>46081</v>
      </c>
      <c r="I260">
        <v>30</v>
      </c>
      <c r="J260">
        <v>33806.36</v>
      </c>
      <c r="K260">
        <v>33806.36</v>
      </c>
      <c r="L260">
        <v>0</v>
      </c>
      <c r="M260" s="1">
        <v>46078</v>
      </c>
      <c r="N260" t="s">
        <v>28</v>
      </c>
      <c r="O260" t="s">
        <v>36</v>
      </c>
      <c r="P260">
        <v>27</v>
      </c>
      <c r="Q260">
        <v>3</v>
      </c>
      <c r="R260" t="s">
        <v>30</v>
      </c>
      <c r="S260" t="s">
        <v>30</v>
      </c>
      <c r="T260">
        <v>0.01</v>
      </c>
      <c r="U260" t="s">
        <v>31</v>
      </c>
      <c r="V260">
        <v>0</v>
      </c>
    </row>
    <row r="261" spans="1:22" x14ac:dyDescent="0.25">
      <c r="A261" t="s">
        <v>357</v>
      </c>
      <c r="B261" t="s">
        <v>113</v>
      </c>
      <c r="C261" t="s">
        <v>114</v>
      </c>
      <c r="D261" t="s">
        <v>25</v>
      </c>
      <c r="E261" t="s">
        <v>45</v>
      </c>
      <c r="F261" t="s">
        <v>64</v>
      </c>
      <c r="G261" s="1">
        <v>45883</v>
      </c>
      <c r="H261" s="1">
        <v>45898</v>
      </c>
      <c r="I261">
        <v>15</v>
      </c>
      <c r="J261">
        <v>6549.71</v>
      </c>
      <c r="K261">
        <v>6549.71</v>
      </c>
      <c r="L261">
        <v>0</v>
      </c>
      <c r="M261" s="1">
        <v>45891</v>
      </c>
      <c r="N261" t="s">
        <v>28</v>
      </c>
      <c r="O261" t="s">
        <v>77</v>
      </c>
      <c r="P261">
        <v>8</v>
      </c>
      <c r="Q261">
        <v>7</v>
      </c>
      <c r="R261" t="s">
        <v>30</v>
      </c>
      <c r="S261" t="s">
        <v>30</v>
      </c>
      <c r="T261">
        <v>0.02</v>
      </c>
      <c r="U261" t="s">
        <v>31</v>
      </c>
      <c r="V261">
        <v>0</v>
      </c>
    </row>
    <row r="262" spans="1:22" x14ac:dyDescent="0.25">
      <c r="A262" t="s">
        <v>358</v>
      </c>
      <c r="B262" t="s">
        <v>120</v>
      </c>
      <c r="C262" t="s">
        <v>121</v>
      </c>
      <c r="D262" t="s">
        <v>54</v>
      </c>
      <c r="E262" t="s">
        <v>45</v>
      </c>
      <c r="F262" t="s">
        <v>50</v>
      </c>
      <c r="G262" s="1">
        <v>45774</v>
      </c>
      <c r="H262" s="1">
        <v>45804</v>
      </c>
      <c r="I262">
        <v>30</v>
      </c>
      <c r="J262">
        <v>4384.3900000000003</v>
      </c>
      <c r="K262">
        <v>0</v>
      </c>
      <c r="L262">
        <v>4384.3900000000003</v>
      </c>
      <c r="N262" t="s">
        <v>59</v>
      </c>
      <c r="O262" t="s">
        <v>69</v>
      </c>
      <c r="Q262">
        <v>-369</v>
      </c>
      <c r="R262" t="s">
        <v>31</v>
      </c>
      <c r="S262" t="s">
        <v>30</v>
      </c>
      <c r="T262">
        <v>0.01</v>
      </c>
      <c r="U262" t="s">
        <v>31</v>
      </c>
      <c r="V262">
        <v>0</v>
      </c>
    </row>
    <row r="263" spans="1:22" x14ac:dyDescent="0.25">
      <c r="A263" t="s">
        <v>359</v>
      </c>
      <c r="B263" t="s">
        <v>79</v>
      </c>
      <c r="C263" t="s">
        <v>80</v>
      </c>
      <c r="D263" t="s">
        <v>49</v>
      </c>
      <c r="E263" t="s">
        <v>26</v>
      </c>
      <c r="F263" t="s">
        <v>41</v>
      </c>
      <c r="G263" s="1">
        <v>45762</v>
      </c>
      <c r="H263" s="1">
        <v>45822</v>
      </c>
      <c r="I263">
        <v>60</v>
      </c>
      <c r="J263">
        <v>37327.46</v>
      </c>
      <c r="K263">
        <v>37327.46</v>
      </c>
      <c r="L263">
        <v>0</v>
      </c>
      <c r="M263" s="1">
        <v>45823</v>
      </c>
      <c r="N263" t="s">
        <v>28</v>
      </c>
      <c r="O263" t="s">
        <v>36</v>
      </c>
      <c r="P263">
        <v>61</v>
      </c>
      <c r="Q263">
        <v>-1</v>
      </c>
      <c r="R263" t="s">
        <v>31</v>
      </c>
      <c r="S263" t="s">
        <v>30</v>
      </c>
      <c r="T263">
        <v>0.01</v>
      </c>
      <c r="U263" t="s">
        <v>31</v>
      </c>
      <c r="V263">
        <v>0</v>
      </c>
    </row>
    <row r="264" spans="1:22" x14ac:dyDescent="0.25">
      <c r="A264" t="s">
        <v>360</v>
      </c>
      <c r="B264" t="s">
        <v>131</v>
      </c>
      <c r="C264" t="s">
        <v>132</v>
      </c>
      <c r="D264" t="s">
        <v>49</v>
      </c>
      <c r="E264" t="s">
        <v>68</v>
      </c>
      <c r="F264" t="s">
        <v>27</v>
      </c>
      <c r="G264" s="1">
        <v>45900</v>
      </c>
      <c r="H264" s="1">
        <v>45930</v>
      </c>
      <c r="I264">
        <v>30</v>
      </c>
      <c r="J264">
        <v>12074.15</v>
      </c>
      <c r="K264">
        <v>12074.15</v>
      </c>
      <c r="L264">
        <v>0</v>
      </c>
      <c r="M264" s="1">
        <v>45929</v>
      </c>
      <c r="N264" t="s">
        <v>28</v>
      </c>
      <c r="O264" t="s">
        <v>69</v>
      </c>
      <c r="P264">
        <v>29</v>
      </c>
      <c r="Q264">
        <v>1</v>
      </c>
      <c r="R264" t="s">
        <v>30</v>
      </c>
      <c r="S264" t="s">
        <v>31</v>
      </c>
      <c r="T264">
        <v>0</v>
      </c>
      <c r="U264" t="s">
        <v>31</v>
      </c>
      <c r="V264">
        <v>0</v>
      </c>
    </row>
    <row r="265" spans="1:22" x14ac:dyDescent="0.25">
      <c r="A265" t="s">
        <v>361</v>
      </c>
      <c r="B265" t="s">
        <v>61</v>
      </c>
      <c r="C265" t="s">
        <v>62</v>
      </c>
      <c r="D265" t="s">
        <v>35</v>
      </c>
      <c r="E265" t="s">
        <v>63</v>
      </c>
      <c r="F265" t="s">
        <v>41</v>
      </c>
      <c r="G265" s="1">
        <v>45869</v>
      </c>
      <c r="H265" s="1">
        <v>45899</v>
      </c>
      <c r="I265">
        <v>30</v>
      </c>
      <c r="J265">
        <v>66014.740000000005</v>
      </c>
      <c r="K265">
        <v>66014.740000000005</v>
      </c>
      <c r="L265">
        <v>0</v>
      </c>
      <c r="M265" s="1">
        <v>45889</v>
      </c>
      <c r="N265" t="s">
        <v>28</v>
      </c>
      <c r="O265" t="s">
        <v>36</v>
      </c>
      <c r="P265">
        <v>20</v>
      </c>
      <c r="Q265">
        <v>10</v>
      </c>
      <c r="R265" t="s">
        <v>30</v>
      </c>
      <c r="S265" t="s">
        <v>31</v>
      </c>
      <c r="T265">
        <v>0</v>
      </c>
      <c r="U265" t="s">
        <v>31</v>
      </c>
      <c r="V265">
        <v>0</v>
      </c>
    </row>
    <row r="266" spans="1:22" x14ac:dyDescent="0.25">
      <c r="A266" t="s">
        <v>362</v>
      </c>
      <c r="B266" t="s">
        <v>120</v>
      </c>
      <c r="C266" t="s">
        <v>121</v>
      </c>
      <c r="D266" t="s">
        <v>54</v>
      </c>
      <c r="E266" t="s">
        <v>68</v>
      </c>
      <c r="F266" t="s">
        <v>92</v>
      </c>
      <c r="G266" s="1">
        <v>45755</v>
      </c>
      <c r="H266" s="1">
        <v>45800</v>
      </c>
      <c r="I266">
        <v>45</v>
      </c>
      <c r="J266">
        <v>2466.04</v>
      </c>
      <c r="K266">
        <v>2466.04</v>
      </c>
      <c r="L266">
        <v>0</v>
      </c>
      <c r="M266" s="1">
        <v>45798</v>
      </c>
      <c r="N266" t="s">
        <v>28</v>
      </c>
      <c r="O266" t="s">
        <v>29</v>
      </c>
      <c r="P266">
        <v>43</v>
      </c>
      <c r="Q266">
        <v>2</v>
      </c>
      <c r="R266" t="s">
        <v>30</v>
      </c>
      <c r="S266" t="s">
        <v>31</v>
      </c>
      <c r="T266">
        <v>0</v>
      </c>
      <c r="U266" t="s">
        <v>31</v>
      </c>
      <c r="V266">
        <v>0</v>
      </c>
    </row>
    <row r="267" spans="1:22" x14ac:dyDescent="0.25">
      <c r="A267" t="s">
        <v>363</v>
      </c>
      <c r="B267" t="s">
        <v>33</v>
      </c>
      <c r="C267" t="s">
        <v>34</v>
      </c>
      <c r="D267" t="s">
        <v>35</v>
      </c>
      <c r="E267" t="s">
        <v>68</v>
      </c>
      <c r="F267" t="s">
        <v>64</v>
      </c>
      <c r="G267" s="1">
        <v>45807</v>
      </c>
      <c r="H267" s="1">
        <v>45837</v>
      </c>
      <c r="I267">
        <v>30</v>
      </c>
      <c r="J267">
        <v>58354.61</v>
      </c>
      <c r="K267">
        <v>58354.61</v>
      </c>
      <c r="L267">
        <v>0</v>
      </c>
      <c r="M267" s="1">
        <v>45833</v>
      </c>
      <c r="N267" t="s">
        <v>28</v>
      </c>
      <c r="O267" t="s">
        <v>36</v>
      </c>
      <c r="P267">
        <v>26</v>
      </c>
      <c r="Q267">
        <v>4</v>
      </c>
      <c r="R267" t="s">
        <v>30</v>
      </c>
      <c r="S267" t="s">
        <v>31</v>
      </c>
      <c r="T267">
        <v>0</v>
      </c>
      <c r="U267" t="s">
        <v>31</v>
      </c>
      <c r="V267">
        <v>0</v>
      </c>
    </row>
    <row r="268" spans="1:22" x14ac:dyDescent="0.25">
      <c r="A268" t="s">
        <v>364</v>
      </c>
      <c r="B268" t="s">
        <v>66</v>
      </c>
      <c r="C268" t="s">
        <v>67</v>
      </c>
      <c r="D268" t="s">
        <v>35</v>
      </c>
      <c r="E268" t="s">
        <v>68</v>
      </c>
      <c r="F268" t="s">
        <v>41</v>
      </c>
      <c r="G268" s="1">
        <v>45735</v>
      </c>
      <c r="H268" s="1">
        <v>45825</v>
      </c>
      <c r="I268">
        <v>90</v>
      </c>
      <c r="J268">
        <v>52522.080000000002</v>
      </c>
      <c r="K268">
        <v>52522.080000000002</v>
      </c>
      <c r="L268">
        <v>0</v>
      </c>
      <c r="M268" s="1">
        <v>45817</v>
      </c>
      <c r="N268" t="s">
        <v>28</v>
      </c>
      <c r="O268" t="s">
        <v>69</v>
      </c>
      <c r="P268">
        <v>82</v>
      </c>
      <c r="Q268">
        <v>8</v>
      </c>
      <c r="R268" t="s">
        <v>30</v>
      </c>
      <c r="S268" t="s">
        <v>31</v>
      </c>
      <c r="T268">
        <v>0</v>
      </c>
      <c r="U268" t="s">
        <v>31</v>
      </c>
      <c r="V268">
        <v>0</v>
      </c>
    </row>
    <row r="269" spans="1:22" x14ac:dyDescent="0.25">
      <c r="A269" t="s">
        <v>365</v>
      </c>
      <c r="B269" t="s">
        <v>82</v>
      </c>
      <c r="C269" t="s">
        <v>83</v>
      </c>
      <c r="D269" t="s">
        <v>58</v>
      </c>
      <c r="E269" t="s">
        <v>68</v>
      </c>
      <c r="F269" t="s">
        <v>92</v>
      </c>
      <c r="G269" s="1">
        <v>45993</v>
      </c>
      <c r="H269" s="1">
        <v>46083</v>
      </c>
      <c r="I269">
        <v>90</v>
      </c>
      <c r="J269">
        <v>24532.36</v>
      </c>
      <c r="K269">
        <v>8502.2000000000007</v>
      </c>
      <c r="L269">
        <v>16030.16</v>
      </c>
      <c r="M269" s="1">
        <v>46092</v>
      </c>
      <c r="N269" t="s">
        <v>98</v>
      </c>
      <c r="O269" t="s">
        <v>69</v>
      </c>
      <c r="P269">
        <v>99</v>
      </c>
      <c r="Q269">
        <v>-9</v>
      </c>
      <c r="R269" t="s">
        <v>31</v>
      </c>
      <c r="S269" t="s">
        <v>31</v>
      </c>
      <c r="T269">
        <v>0</v>
      </c>
      <c r="U269" t="s">
        <v>31</v>
      </c>
      <c r="V269">
        <v>0</v>
      </c>
    </row>
    <row r="270" spans="1:22" x14ac:dyDescent="0.25">
      <c r="A270" t="s">
        <v>366</v>
      </c>
      <c r="B270" t="s">
        <v>23</v>
      </c>
      <c r="C270" t="s">
        <v>24</v>
      </c>
      <c r="D270" t="s">
        <v>25</v>
      </c>
      <c r="E270" t="s">
        <v>68</v>
      </c>
      <c r="F270" t="s">
        <v>27</v>
      </c>
      <c r="G270" s="1">
        <v>46097</v>
      </c>
      <c r="H270" s="1">
        <v>46127</v>
      </c>
      <c r="I270">
        <v>30</v>
      </c>
      <c r="J270">
        <v>16672.11</v>
      </c>
      <c r="K270">
        <v>0</v>
      </c>
      <c r="L270">
        <v>16672.11</v>
      </c>
      <c r="N270" t="s">
        <v>93</v>
      </c>
      <c r="O270" t="s">
        <v>69</v>
      </c>
      <c r="S270" t="s">
        <v>30</v>
      </c>
      <c r="T270">
        <v>0.01</v>
      </c>
      <c r="U270" t="s">
        <v>31</v>
      </c>
      <c r="V270">
        <v>0</v>
      </c>
    </row>
    <row r="271" spans="1:22" x14ac:dyDescent="0.25">
      <c r="A271" t="s">
        <v>367</v>
      </c>
      <c r="B271" t="s">
        <v>79</v>
      </c>
      <c r="C271" t="s">
        <v>80</v>
      </c>
      <c r="D271" t="s">
        <v>49</v>
      </c>
      <c r="E271" t="s">
        <v>63</v>
      </c>
      <c r="F271" t="s">
        <v>64</v>
      </c>
      <c r="G271" s="1">
        <v>45707</v>
      </c>
      <c r="H271" s="1">
        <v>45767</v>
      </c>
      <c r="I271">
        <v>60</v>
      </c>
      <c r="J271">
        <v>4205.26</v>
      </c>
      <c r="K271">
        <v>1295.81</v>
      </c>
      <c r="L271">
        <v>2909.45</v>
      </c>
      <c r="M271" s="1">
        <v>45767</v>
      </c>
      <c r="N271" t="s">
        <v>98</v>
      </c>
      <c r="O271" t="s">
        <v>69</v>
      </c>
      <c r="P271">
        <v>60</v>
      </c>
      <c r="Q271">
        <v>0</v>
      </c>
      <c r="R271" t="s">
        <v>30</v>
      </c>
      <c r="S271" t="s">
        <v>30</v>
      </c>
      <c r="T271">
        <v>0.01</v>
      </c>
      <c r="U271" t="s">
        <v>31</v>
      </c>
      <c r="V271">
        <v>0</v>
      </c>
    </row>
    <row r="272" spans="1:22" x14ac:dyDescent="0.25">
      <c r="A272" t="s">
        <v>368</v>
      </c>
      <c r="B272" t="s">
        <v>113</v>
      </c>
      <c r="C272" t="s">
        <v>114</v>
      </c>
      <c r="D272" t="s">
        <v>25</v>
      </c>
      <c r="E272" t="s">
        <v>45</v>
      </c>
      <c r="F272" t="s">
        <v>27</v>
      </c>
      <c r="G272" s="1">
        <v>45793</v>
      </c>
      <c r="H272" s="1">
        <v>45823</v>
      </c>
      <c r="I272">
        <v>30</v>
      </c>
      <c r="J272">
        <v>17760.810000000001</v>
      </c>
      <c r="K272">
        <v>13112.76</v>
      </c>
      <c r="L272">
        <v>4648.05</v>
      </c>
      <c r="M272" s="1">
        <v>45820</v>
      </c>
      <c r="N272" t="s">
        <v>98</v>
      </c>
      <c r="O272" t="s">
        <v>69</v>
      </c>
      <c r="P272">
        <v>27</v>
      </c>
      <c r="Q272">
        <v>3</v>
      </c>
      <c r="R272" t="s">
        <v>30</v>
      </c>
      <c r="S272" t="s">
        <v>30</v>
      </c>
      <c r="T272">
        <v>0.01</v>
      </c>
      <c r="U272" t="s">
        <v>31</v>
      </c>
      <c r="V272">
        <v>0</v>
      </c>
    </row>
    <row r="273" spans="1:22" x14ac:dyDescent="0.25">
      <c r="A273" t="s">
        <v>369</v>
      </c>
      <c r="B273" t="s">
        <v>23</v>
      </c>
      <c r="C273" t="s">
        <v>24</v>
      </c>
      <c r="D273" t="s">
        <v>25</v>
      </c>
      <c r="E273" t="s">
        <v>68</v>
      </c>
      <c r="F273" t="s">
        <v>92</v>
      </c>
      <c r="G273" s="1">
        <v>45827</v>
      </c>
      <c r="H273" s="1">
        <v>45887</v>
      </c>
      <c r="I273">
        <v>60</v>
      </c>
      <c r="J273">
        <v>1983.96</v>
      </c>
      <c r="K273">
        <v>1983.96</v>
      </c>
      <c r="L273">
        <v>0</v>
      </c>
      <c r="M273" s="1">
        <v>45887</v>
      </c>
      <c r="N273" t="s">
        <v>28</v>
      </c>
      <c r="O273" t="s">
        <v>77</v>
      </c>
      <c r="P273">
        <v>60</v>
      </c>
      <c r="Q273">
        <v>0</v>
      </c>
      <c r="R273" t="s">
        <v>30</v>
      </c>
      <c r="S273" t="s">
        <v>30</v>
      </c>
      <c r="T273">
        <v>0.01</v>
      </c>
      <c r="U273" t="s">
        <v>31</v>
      </c>
      <c r="V273">
        <v>0</v>
      </c>
    </row>
    <row r="274" spans="1:22" x14ac:dyDescent="0.25">
      <c r="A274" t="s">
        <v>370</v>
      </c>
      <c r="B274" t="s">
        <v>43</v>
      </c>
      <c r="C274" t="s">
        <v>44</v>
      </c>
      <c r="D274" t="s">
        <v>25</v>
      </c>
      <c r="E274" t="s">
        <v>26</v>
      </c>
      <c r="F274" t="s">
        <v>27</v>
      </c>
      <c r="G274" s="1">
        <v>45737</v>
      </c>
      <c r="H274" s="1">
        <v>45827</v>
      </c>
      <c r="I274">
        <v>90</v>
      </c>
      <c r="J274">
        <v>3521.3</v>
      </c>
      <c r="K274">
        <v>3521.3</v>
      </c>
      <c r="L274">
        <v>0</v>
      </c>
      <c r="M274" s="1">
        <v>45819</v>
      </c>
      <c r="N274" t="s">
        <v>28</v>
      </c>
      <c r="O274" t="s">
        <v>36</v>
      </c>
      <c r="P274">
        <v>82</v>
      </c>
      <c r="Q274">
        <v>8</v>
      </c>
      <c r="R274" t="s">
        <v>30</v>
      </c>
      <c r="S274" t="s">
        <v>30</v>
      </c>
      <c r="T274">
        <v>5.0000000000000001E-3</v>
      </c>
      <c r="U274" t="s">
        <v>31</v>
      </c>
      <c r="V274">
        <v>0</v>
      </c>
    </row>
    <row r="275" spans="1:22" x14ac:dyDescent="0.25">
      <c r="A275" t="s">
        <v>371</v>
      </c>
      <c r="B275" t="s">
        <v>95</v>
      </c>
      <c r="C275" t="s">
        <v>96</v>
      </c>
      <c r="D275" t="s">
        <v>49</v>
      </c>
      <c r="E275" t="s">
        <v>26</v>
      </c>
      <c r="F275" t="s">
        <v>92</v>
      </c>
      <c r="G275" s="1">
        <v>45793</v>
      </c>
      <c r="H275" s="1">
        <v>45853</v>
      </c>
      <c r="I275">
        <v>60</v>
      </c>
      <c r="J275">
        <v>24929.61</v>
      </c>
      <c r="K275">
        <v>24929.61</v>
      </c>
      <c r="L275">
        <v>0</v>
      </c>
      <c r="M275" s="1">
        <v>45854</v>
      </c>
      <c r="N275" t="s">
        <v>28</v>
      </c>
      <c r="O275" t="s">
        <v>77</v>
      </c>
      <c r="P275">
        <v>61</v>
      </c>
      <c r="Q275">
        <v>-1</v>
      </c>
      <c r="R275" t="s">
        <v>31</v>
      </c>
      <c r="S275" t="s">
        <v>30</v>
      </c>
      <c r="T275">
        <v>0.01</v>
      </c>
      <c r="U275" t="s">
        <v>31</v>
      </c>
      <c r="V275">
        <v>0</v>
      </c>
    </row>
    <row r="276" spans="1:22" x14ac:dyDescent="0.25">
      <c r="A276" t="s">
        <v>372</v>
      </c>
      <c r="B276" t="s">
        <v>128</v>
      </c>
      <c r="C276" t="s">
        <v>129</v>
      </c>
      <c r="D276" t="s">
        <v>73</v>
      </c>
      <c r="E276" t="s">
        <v>68</v>
      </c>
      <c r="F276" t="s">
        <v>64</v>
      </c>
      <c r="G276" s="1">
        <v>45804</v>
      </c>
      <c r="H276" s="1">
        <v>45834</v>
      </c>
      <c r="I276">
        <v>30</v>
      </c>
      <c r="J276">
        <v>4257.58</v>
      </c>
      <c r="K276">
        <v>4257.58</v>
      </c>
      <c r="L276">
        <v>0</v>
      </c>
      <c r="M276" s="1">
        <v>45831</v>
      </c>
      <c r="N276" t="s">
        <v>28</v>
      </c>
      <c r="O276" t="s">
        <v>69</v>
      </c>
      <c r="P276">
        <v>27</v>
      </c>
      <c r="Q276">
        <v>3</v>
      </c>
      <c r="R276" t="s">
        <v>30</v>
      </c>
      <c r="S276" t="s">
        <v>30</v>
      </c>
      <c r="T276">
        <v>0.01</v>
      </c>
      <c r="U276" t="s">
        <v>31</v>
      </c>
      <c r="V276">
        <v>0</v>
      </c>
    </row>
    <row r="277" spans="1:22" x14ac:dyDescent="0.25">
      <c r="A277" t="s">
        <v>373</v>
      </c>
      <c r="B277" t="s">
        <v>120</v>
      </c>
      <c r="C277" t="s">
        <v>121</v>
      </c>
      <c r="D277" t="s">
        <v>54</v>
      </c>
      <c r="E277" t="s">
        <v>45</v>
      </c>
      <c r="F277" t="s">
        <v>92</v>
      </c>
      <c r="G277" s="1">
        <v>46079</v>
      </c>
      <c r="H277" s="1">
        <v>46109</v>
      </c>
      <c r="I277">
        <v>30</v>
      </c>
      <c r="J277">
        <v>9433.1</v>
      </c>
      <c r="K277">
        <v>9433.1</v>
      </c>
      <c r="L277">
        <v>0</v>
      </c>
      <c r="M277" s="1">
        <v>46112</v>
      </c>
      <c r="N277" t="s">
        <v>28</v>
      </c>
      <c r="O277" t="s">
        <v>36</v>
      </c>
      <c r="P277">
        <v>33</v>
      </c>
      <c r="Q277">
        <v>-3</v>
      </c>
      <c r="R277" t="s">
        <v>31</v>
      </c>
      <c r="S277" t="s">
        <v>30</v>
      </c>
      <c r="T277">
        <v>0.01</v>
      </c>
      <c r="U277" t="s">
        <v>31</v>
      </c>
      <c r="V277">
        <v>0</v>
      </c>
    </row>
    <row r="278" spans="1:22" x14ac:dyDescent="0.25">
      <c r="A278" t="s">
        <v>374</v>
      </c>
      <c r="B278" t="s">
        <v>109</v>
      </c>
      <c r="C278" t="s">
        <v>110</v>
      </c>
      <c r="D278" t="s">
        <v>49</v>
      </c>
      <c r="E278" t="s">
        <v>63</v>
      </c>
      <c r="F278" t="s">
        <v>41</v>
      </c>
      <c r="G278" s="1">
        <v>45980</v>
      </c>
      <c r="H278" s="1">
        <v>46040</v>
      </c>
      <c r="I278">
        <v>60</v>
      </c>
      <c r="J278">
        <v>39971.68</v>
      </c>
      <c r="K278">
        <v>39971.68</v>
      </c>
      <c r="L278">
        <v>0</v>
      </c>
      <c r="M278" s="1">
        <v>46038</v>
      </c>
      <c r="N278" t="s">
        <v>28</v>
      </c>
      <c r="O278" t="s">
        <v>29</v>
      </c>
      <c r="P278">
        <v>58</v>
      </c>
      <c r="Q278">
        <v>2</v>
      </c>
      <c r="R278" t="s">
        <v>30</v>
      </c>
      <c r="S278" t="s">
        <v>30</v>
      </c>
      <c r="T278">
        <v>0.01</v>
      </c>
      <c r="U278" t="s">
        <v>31</v>
      </c>
      <c r="V278">
        <v>0</v>
      </c>
    </row>
    <row r="279" spans="1:22" x14ac:dyDescent="0.25">
      <c r="A279" t="s">
        <v>375</v>
      </c>
      <c r="B279" t="s">
        <v>52</v>
      </c>
      <c r="C279" t="s">
        <v>53</v>
      </c>
      <c r="D279" t="s">
        <v>54</v>
      </c>
      <c r="E279" t="s">
        <v>63</v>
      </c>
      <c r="F279" t="s">
        <v>50</v>
      </c>
      <c r="G279" s="1">
        <v>45966</v>
      </c>
      <c r="H279" s="1">
        <v>45981</v>
      </c>
      <c r="I279">
        <v>15</v>
      </c>
      <c r="J279">
        <v>3478.96</v>
      </c>
      <c r="K279">
        <v>3478.96</v>
      </c>
      <c r="L279">
        <v>0</v>
      </c>
      <c r="M279" s="1">
        <v>45973</v>
      </c>
      <c r="N279" t="s">
        <v>28</v>
      </c>
      <c r="O279" t="s">
        <v>29</v>
      </c>
      <c r="P279">
        <v>7</v>
      </c>
      <c r="Q279">
        <v>8</v>
      </c>
      <c r="R279" t="s">
        <v>30</v>
      </c>
      <c r="S279" t="s">
        <v>30</v>
      </c>
      <c r="T279">
        <v>0.02</v>
      </c>
      <c r="U279" t="s">
        <v>31</v>
      </c>
      <c r="V279">
        <v>0</v>
      </c>
    </row>
    <row r="280" spans="1:22" x14ac:dyDescent="0.25">
      <c r="A280" t="s">
        <v>376</v>
      </c>
      <c r="B280" t="s">
        <v>52</v>
      </c>
      <c r="C280" t="s">
        <v>53</v>
      </c>
      <c r="D280" t="s">
        <v>54</v>
      </c>
      <c r="E280" t="s">
        <v>45</v>
      </c>
      <c r="F280" t="s">
        <v>41</v>
      </c>
      <c r="G280" s="1">
        <v>46169</v>
      </c>
      <c r="H280" s="1">
        <v>46199</v>
      </c>
      <c r="I280">
        <v>30</v>
      </c>
      <c r="J280">
        <v>9752.19</v>
      </c>
      <c r="K280">
        <v>0</v>
      </c>
      <c r="L280">
        <v>9752.19</v>
      </c>
      <c r="N280" t="s">
        <v>93</v>
      </c>
      <c r="O280" t="s">
        <v>77</v>
      </c>
      <c r="S280" t="s">
        <v>30</v>
      </c>
      <c r="T280">
        <v>0.01</v>
      </c>
      <c r="U280" t="s">
        <v>31</v>
      </c>
      <c r="V280">
        <v>0</v>
      </c>
    </row>
    <row r="281" spans="1:22" x14ac:dyDescent="0.25">
      <c r="A281" t="s">
        <v>377</v>
      </c>
      <c r="B281" t="s">
        <v>128</v>
      </c>
      <c r="C281" t="s">
        <v>129</v>
      </c>
      <c r="D281" t="s">
        <v>73</v>
      </c>
      <c r="E281" t="s">
        <v>68</v>
      </c>
      <c r="F281" t="s">
        <v>64</v>
      </c>
      <c r="G281" s="1">
        <v>46032</v>
      </c>
      <c r="H281" s="1">
        <v>46092</v>
      </c>
      <c r="I281">
        <v>60</v>
      </c>
      <c r="J281">
        <v>20029.759999999998</v>
      </c>
      <c r="K281">
        <v>20029.759999999998</v>
      </c>
      <c r="L281">
        <v>0</v>
      </c>
      <c r="M281" s="1">
        <v>46099</v>
      </c>
      <c r="N281" t="s">
        <v>28</v>
      </c>
      <c r="O281" t="s">
        <v>69</v>
      </c>
      <c r="P281">
        <v>67</v>
      </c>
      <c r="Q281">
        <v>-7</v>
      </c>
      <c r="R281" t="s">
        <v>31</v>
      </c>
      <c r="S281" t="s">
        <v>30</v>
      </c>
      <c r="T281">
        <v>0.01</v>
      </c>
      <c r="U281" t="s">
        <v>31</v>
      </c>
      <c r="V281">
        <v>0</v>
      </c>
    </row>
    <row r="282" spans="1:22" x14ac:dyDescent="0.25">
      <c r="A282" t="s">
        <v>378</v>
      </c>
      <c r="B282" t="s">
        <v>85</v>
      </c>
      <c r="C282" t="s">
        <v>86</v>
      </c>
      <c r="D282" t="s">
        <v>25</v>
      </c>
      <c r="E282" t="s">
        <v>26</v>
      </c>
      <c r="F282" t="s">
        <v>27</v>
      </c>
      <c r="G282" s="1">
        <v>45926</v>
      </c>
      <c r="H282" s="1">
        <v>45941</v>
      </c>
      <c r="I282">
        <v>15</v>
      </c>
      <c r="J282">
        <v>5099.12</v>
      </c>
      <c r="K282">
        <v>0</v>
      </c>
      <c r="L282">
        <v>5099.12</v>
      </c>
      <c r="N282" t="s">
        <v>59</v>
      </c>
      <c r="O282" t="s">
        <v>77</v>
      </c>
      <c r="Q282">
        <v>-232</v>
      </c>
      <c r="R282" t="s">
        <v>31</v>
      </c>
      <c r="S282" t="s">
        <v>31</v>
      </c>
      <c r="T282">
        <v>0</v>
      </c>
      <c r="U282" t="s">
        <v>31</v>
      </c>
      <c r="V282">
        <v>0</v>
      </c>
    </row>
    <row r="283" spans="1:22" x14ac:dyDescent="0.25">
      <c r="A283" t="s">
        <v>379</v>
      </c>
      <c r="B283" t="s">
        <v>47</v>
      </c>
      <c r="C283" t="s">
        <v>48</v>
      </c>
      <c r="D283" t="s">
        <v>49</v>
      </c>
      <c r="E283" t="s">
        <v>63</v>
      </c>
      <c r="F283" t="s">
        <v>92</v>
      </c>
      <c r="G283" s="1">
        <v>46069</v>
      </c>
      <c r="H283" s="1">
        <v>46129</v>
      </c>
      <c r="I283">
        <v>60</v>
      </c>
      <c r="J283">
        <v>5956.53</v>
      </c>
      <c r="K283">
        <v>0</v>
      </c>
      <c r="L283">
        <v>5956.53</v>
      </c>
      <c r="N283" t="s">
        <v>93</v>
      </c>
      <c r="O283" t="s">
        <v>69</v>
      </c>
      <c r="S283" t="s">
        <v>30</v>
      </c>
      <c r="T283">
        <v>0.01</v>
      </c>
      <c r="U283" t="s">
        <v>31</v>
      </c>
      <c r="V283">
        <v>0</v>
      </c>
    </row>
    <row r="284" spans="1:22" x14ac:dyDescent="0.25">
      <c r="A284" t="s">
        <v>380</v>
      </c>
      <c r="B284" t="s">
        <v>88</v>
      </c>
      <c r="C284" t="s">
        <v>89</v>
      </c>
      <c r="D284" t="s">
        <v>35</v>
      </c>
      <c r="E284" t="s">
        <v>26</v>
      </c>
      <c r="F284" t="s">
        <v>50</v>
      </c>
      <c r="G284" s="1">
        <v>45992</v>
      </c>
      <c r="H284" s="1">
        <v>46022</v>
      </c>
      <c r="I284">
        <v>30</v>
      </c>
      <c r="J284">
        <v>34304.86</v>
      </c>
      <c r="K284">
        <v>21973.22</v>
      </c>
      <c r="L284">
        <v>12331.64</v>
      </c>
      <c r="M284" s="1">
        <v>46019</v>
      </c>
      <c r="N284" t="s">
        <v>98</v>
      </c>
      <c r="O284" t="s">
        <v>36</v>
      </c>
      <c r="P284">
        <v>27</v>
      </c>
      <c r="Q284">
        <v>3</v>
      </c>
      <c r="R284" t="s">
        <v>30</v>
      </c>
      <c r="S284" t="s">
        <v>30</v>
      </c>
      <c r="T284">
        <v>0.01</v>
      </c>
      <c r="U284" t="s">
        <v>31</v>
      </c>
      <c r="V284">
        <v>0</v>
      </c>
    </row>
    <row r="285" spans="1:22" x14ac:dyDescent="0.25">
      <c r="A285" t="s">
        <v>381</v>
      </c>
      <c r="B285" t="s">
        <v>88</v>
      </c>
      <c r="C285" t="s">
        <v>89</v>
      </c>
      <c r="D285" t="s">
        <v>35</v>
      </c>
      <c r="E285" t="s">
        <v>45</v>
      </c>
      <c r="F285" t="s">
        <v>64</v>
      </c>
      <c r="G285" s="1">
        <v>45746</v>
      </c>
      <c r="H285" s="1">
        <v>45776</v>
      </c>
      <c r="I285">
        <v>30</v>
      </c>
      <c r="J285">
        <v>74347.08</v>
      </c>
      <c r="K285">
        <v>74347.08</v>
      </c>
      <c r="L285">
        <v>0</v>
      </c>
      <c r="M285" s="1">
        <v>45787</v>
      </c>
      <c r="N285" t="s">
        <v>28</v>
      </c>
      <c r="O285" t="s">
        <v>77</v>
      </c>
      <c r="P285">
        <v>41</v>
      </c>
      <c r="Q285">
        <v>-11</v>
      </c>
      <c r="R285" t="s">
        <v>31</v>
      </c>
      <c r="S285" t="s">
        <v>30</v>
      </c>
      <c r="T285">
        <v>0.01</v>
      </c>
      <c r="U285" t="s">
        <v>31</v>
      </c>
      <c r="V285">
        <v>0</v>
      </c>
    </row>
    <row r="286" spans="1:22" x14ac:dyDescent="0.25">
      <c r="A286" t="s">
        <v>382</v>
      </c>
      <c r="B286" t="s">
        <v>56</v>
      </c>
      <c r="C286" t="s">
        <v>57</v>
      </c>
      <c r="D286" t="s">
        <v>58</v>
      </c>
      <c r="E286" t="s">
        <v>40</v>
      </c>
      <c r="F286" t="s">
        <v>27</v>
      </c>
      <c r="G286" s="1">
        <v>45669</v>
      </c>
      <c r="H286" s="1">
        <v>45699</v>
      </c>
      <c r="I286">
        <v>30</v>
      </c>
      <c r="J286">
        <v>9061.81</v>
      </c>
      <c r="K286">
        <v>9061.81</v>
      </c>
      <c r="L286">
        <v>0</v>
      </c>
      <c r="M286" s="1">
        <v>45703</v>
      </c>
      <c r="N286" t="s">
        <v>28</v>
      </c>
      <c r="O286" t="s">
        <v>77</v>
      </c>
      <c r="P286">
        <v>34</v>
      </c>
      <c r="Q286">
        <v>-4</v>
      </c>
      <c r="R286" t="s">
        <v>31</v>
      </c>
      <c r="S286" t="s">
        <v>31</v>
      </c>
      <c r="T286">
        <v>0</v>
      </c>
      <c r="U286" t="s">
        <v>31</v>
      </c>
      <c r="V286">
        <v>0</v>
      </c>
    </row>
    <row r="287" spans="1:22" x14ac:dyDescent="0.25">
      <c r="A287" t="s">
        <v>383</v>
      </c>
      <c r="B287" t="s">
        <v>71</v>
      </c>
      <c r="C287" t="s">
        <v>72</v>
      </c>
      <c r="D287" t="s">
        <v>73</v>
      </c>
      <c r="E287" t="s">
        <v>68</v>
      </c>
      <c r="F287" t="s">
        <v>64</v>
      </c>
      <c r="G287" s="1">
        <v>45933</v>
      </c>
      <c r="H287" s="1">
        <v>45963</v>
      </c>
      <c r="I287">
        <v>30</v>
      </c>
      <c r="J287">
        <v>26186.880000000001</v>
      </c>
      <c r="K287">
        <v>12242.51</v>
      </c>
      <c r="L287">
        <v>13944.37</v>
      </c>
      <c r="M287" s="1">
        <v>45971</v>
      </c>
      <c r="N287" t="s">
        <v>98</v>
      </c>
      <c r="O287" t="s">
        <v>29</v>
      </c>
      <c r="P287">
        <v>38</v>
      </c>
      <c r="Q287">
        <v>-8</v>
      </c>
      <c r="R287" t="s">
        <v>31</v>
      </c>
      <c r="S287" t="s">
        <v>30</v>
      </c>
      <c r="T287">
        <v>0.01</v>
      </c>
      <c r="U287" t="s">
        <v>31</v>
      </c>
      <c r="V287">
        <v>0</v>
      </c>
    </row>
    <row r="288" spans="1:22" x14ac:dyDescent="0.25">
      <c r="A288" t="s">
        <v>384</v>
      </c>
      <c r="B288" t="s">
        <v>131</v>
      </c>
      <c r="C288" t="s">
        <v>132</v>
      </c>
      <c r="D288" t="s">
        <v>49</v>
      </c>
      <c r="E288" t="s">
        <v>63</v>
      </c>
      <c r="F288" t="s">
        <v>27</v>
      </c>
      <c r="G288" s="1">
        <v>46166</v>
      </c>
      <c r="H288" s="1">
        <v>46196</v>
      </c>
      <c r="I288">
        <v>30</v>
      </c>
      <c r="J288">
        <v>23849.49</v>
      </c>
      <c r="K288">
        <v>23849.49</v>
      </c>
      <c r="L288">
        <v>0</v>
      </c>
      <c r="M288" s="1">
        <v>46173</v>
      </c>
      <c r="N288" t="s">
        <v>28</v>
      </c>
      <c r="O288" t="s">
        <v>29</v>
      </c>
      <c r="P288">
        <v>7</v>
      </c>
      <c r="Q288">
        <v>23</v>
      </c>
      <c r="R288" t="s">
        <v>30</v>
      </c>
      <c r="S288" t="s">
        <v>30</v>
      </c>
      <c r="T288">
        <v>0.01</v>
      </c>
      <c r="U288" t="s">
        <v>30</v>
      </c>
      <c r="V288">
        <v>238.49</v>
      </c>
    </row>
    <row r="289" spans="1:22" x14ac:dyDescent="0.25">
      <c r="A289" t="s">
        <v>385</v>
      </c>
      <c r="B289" t="s">
        <v>109</v>
      </c>
      <c r="C289" t="s">
        <v>110</v>
      </c>
      <c r="D289" t="s">
        <v>49</v>
      </c>
      <c r="E289" t="s">
        <v>63</v>
      </c>
      <c r="F289" t="s">
        <v>27</v>
      </c>
      <c r="G289" s="1">
        <v>45703</v>
      </c>
      <c r="H289" s="1">
        <v>45718</v>
      </c>
      <c r="I289">
        <v>15</v>
      </c>
      <c r="J289">
        <v>43217.07</v>
      </c>
      <c r="K289">
        <v>43217.07</v>
      </c>
      <c r="L289">
        <v>0</v>
      </c>
      <c r="M289" s="1">
        <v>45722</v>
      </c>
      <c r="N289" t="s">
        <v>28</v>
      </c>
      <c r="O289" t="s">
        <v>36</v>
      </c>
      <c r="P289">
        <v>19</v>
      </c>
      <c r="Q289">
        <v>-4</v>
      </c>
      <c r="R289" t="s">
        <v>31</v>
      </c>
      <c r="S289" t="s">
        <v>30</v>
      </c>
      <c r="T289">
        <v>0.02</v>
      </c>
      <c r="U289" t="s">
        <v>31</v>
      </c>
      <c r="V289">
        <v>0</v>
      </c>
    </row>
    <row r="290" spans="1:22" x14ac:dyDescent="0.25">
      <c r="A290" t="s">
        <v>386</v>
      </c>
      <c r="B290" t="s">
        <v>128</v>
      </c>
      <c r="C290" t="s">
        <v>129</v>
      </c>
      <c r="D290" t="s">
        <v>73</v>
      </c>
      <c r="E290" t="s">
        <v>45</v>
      </c>
      <c r="F290" t="s">
        <v>64</v>
      </c>
      <c r="G290" s="1">
        <v>46087</v>
      </c>
      <c r="H290" s="1">
        <v>46102</v>
      </c>
      <c r="I290">
        <v>15</v>
      </c>
      <c r="J290">
        <v>9409.01</v>
      </c>
      <c r="K290">
        <v>0</v>
      </c>
      <c r="L290">
        <v>9409.01</v>
      </c>
      <c r="N290" t="s">
        <v>59</v>
      </c>
      <c r="O290" t="s">
        <v>36</v>
      </c>
      <c r="Q290">
        <v>-71</v>
      </c>
      <c r="R290" t="s">
        <v>31</v>
      </c>
      <c r="S290" t="s">
        <v>30</v>
      </c>
      <c r="T290">
        <v>0.02</v>
      </c>
      <c r="U290" t="s">
        <v>31</v>
      </c>
      <c r="V290">
        <v>0</v>
      </c>
    </row>
    <row r="291" spans="1:22" x14ac:dyDescent="0.25">
      <c r="A291" t="s">
        <v>387</v>
      </c>
      <c r="B291" t="s">
        <v>143</v>
      </c>
      <c r="C291" t="s">
        <v>144</v>
      </c>
      <c r="D291" t="s">
        <v>25</v>
      </c>
      <c r="E291" t="s">
        <v>68</v>
      </c>
      <c r="F291" t="s">
        <v>27</v>
      </c>
      <c r="G291" s="1">
        <v>46172</v>
      </c>
      <c r="H291" s="1">
        <v>46202</v>
      </c>
      <c r="I291">
        <v>30</v>
      </c>
      <c r="J291">
        <v>13793.19</v>
      </c>
      <c r="K291">
        <v>13793.19</v>
      </c>
      <c r="L291">
        <v>0</v>
      </c>
      <c r="M291" s="1">
        <v>46173</v>
      </c>
      <c r="N291" t="s">
        <v>28</v>
      </c>
      <c r="O291" t="s">
        <v>29</v>
      </c>
      <c r="P291">
        <v>1</v>
      </c>
      <c r="Q291">
        <v>29</v>
      </c>
      <c r="R291" t="s">
        <v>30</v>
      </c>
      <c r="S291" t="s">
        <v>30</v>
      </c>
      <c r="T291">
        <v>0.01</v>
      </c>
      <c r="U291" t="s">
        <v>30</v>
      </c>
      <c r="V291">
        <v>137.93</v>
      </c>
    </row>
    <row r="292" spans="1:22" x14ac:dyDescent="0.25">
      <c r="A292" t="s">
        <v>388</v>
      </c>
      <c r="B292" t="s">
        <v>113</v>
      </c>
      <c r="C292" t="s">
        <v>114</v>
      </c>
      <c r="D292" t="s">
        <v>25</v>
      </c>
      <c r="E292" t="s">
        <v>68</v>
      </c>
      <c r="F292" t="s">
        <v>92</v>
      </c>
      <c r="G292" s="1">
        <v>46125</v>
      </c>
      <c r="H292" s="1">
        <v>46155</v>
      </c>
      <c r="I292">
        <v>30</v>
      </c>
      <c r="J292">
        <v>1151.4100000000001</v>
      </c>
      <c r="K292">
        <v>0</v>
      </c>
      <c r="L292">
        <v>1151.4100000000001</v>
      </c>
      <c r="N292" t="s">
        <v>93</v>
      </c>
      <c r="O292" t="s">
        <v>29</v>
      </c>
      <c r="S292" t="s">
        <v>30</v>
      </c>
      <c r="T292">
        <v>0.01</v>
      </c>
      <c r="U292" t="s">
        <v>31</v>
      </c>
      <c r="V292">
        <v>0</v>
      </c>
    </row>
    <row r="293" spans="1:22" x14ac:dyDescent="0.25">
      <c r="A293" t="s">
        <v>389</v>
      </c>
      <c r="B293" t="s">
        <v>187</v>
      </c>
      <c r="C293" t="s">
        <v>188</v>
      </c>
      <c r="D293" t="s">
        <v>73</v>
      </c>
      <c r="E293" t="s">
        <v>40</v>
      </c>
      <c r="F293" t="s">
        <v>41</v>
      </c>
      <c r="G293" s="1">
        <v>45858</v>
      </c>
      <c r="H293" s="1">
        <v>45948</v>
      </c>
      <c r="I293">
        <v>90</v>
      </c>
      <c r="J293">
        <v>26171.29</v>
      </c>
      <c r="K293">
        <v>9821.65</v>
      </c>
      <c r="L293">
        <v>16349.64</v>
      </c>
      <c r="M293" s="1">
        <v>45956</v>
      </c>
      <c r="N293" t="s">
        <v>98</v>
      </c>
      <c r="O293" t="s">
        <v>29</v>
      </c>
      <c r="P293">
        <v>98</v>
      </c>
      <c r="Q293">
        <v>-8</v>
      </c>
      <c r="R293" t="s">
        <v>31</v>
      </c>
      <c r="S293" t="s">
        <v>30</v>
      </c>
      <c r="T293">
        <v>5.0000000000000001E-3</v>
      </c>
      <c r="U293" t="s">
        <v>31</v>
      </c>
      <c r="V293">
        <v>0</v>
      </c>
    </row>
    <row r="294" spans="1:22" x14ac:dyDescent="0.25">
      <c r="A294" t="s">
        <v>390</v>
      </c>
      <c r="B294" t="s">
        <v>95</v>
      </c>
      <c r="C294" t="s">
        <v>96</v>
      </c>
      <c r="D294" t="s">
        <v>49</v>
      </c>
      <c r="E294" t="s">
        <v>40</v>
      </c>
      <c r="F294" t="s">
        <v>50</v>
      </c>
      <c r="G294" s="1">
        <v>46001</v>
      </c>
      <c r="H294" s="1">
        <v>46016</v>
      </c>
      <c r="I294">
        <v>15</v>
      </c>
      <c r="J294">
        <v>2070.1799999999998</v>
      </c>
      <c r="K294">
        <v>1373.79</v>
      </c>
      <c r="L294">
        <v>696.39</v>
      </c>
      <c r="M294" s="1">
        <v>46014</v>
      </c>
      <c r="N294" t="s">
        <v>98</v>
      </c>
      <c r="O294" t="s">
        <v>29</v>
      </c>
      <c r="P294">
        <v>13</v>
      </c>
      <c r="Q294">
        <v>2</v>
      </c>
      <c r="R294" t="s">
        <v>30</v>
      </c>
      <c r="S294" t="s">
        <v>30</v>
      </c>
      <c r="T294">
        <v>0.02</v>
      </c>
      <c r="U294" t="s">
        <v>31</v>
      </c>
      <c r="V294">
        <v>0</v>
      </c>
    </row>
    <row r="295" spans="1:22" x14ac:dyDescent="0.25">
      <c r="A295" t="s">
        <v>391</v>
      </c>
      <c r="B295" t="s">
        <v>153</v>
      </c>
      <c r="C295" t="s">
        <v>154</v>
      </c>
      <c r="D295" t="s">
        <v>58</v>
      </c>
      <c r="E295" t="s">
        <v>63</v>
      </c>
      <c r="F295" t="s">
        <v>64</v>
      </c>
      <c r="G295" s="1">
        <v>45719</v>
      </c>
      <c r="H295" s="1">
        <v>45809</v>
      </c>
      <c r="I295">
        <v>90</v>
      </c>
      <c r="J295">
        <v>38984.69</v>
      </c>
      <c r="K295">
        <v>38984.69</v>
      </c>
      <c r="L295">
        <v>0</v>
      </c>
      <c r="M295" s="1">
        <v>45811</v>
      </c>
      <c r="N295" t="s">
        <v>28</v>
      </c>
      <c r="O295" t="s">
        <v>69</v>
      </c>
      <c r="P295">
        <v>92</v>
      </c>
      <c r="Q295">
        <v>-2</v>
      </c>
      <c r="R295" t="s">
        <v>31</v>
      </c>
      <c r="S295" t="s">
        <v>30</v>
      </c>
      <c r="T295">
        <v>5.0000000000000001E-3</v>
      </c>
      <c r="U295" t="s">
        <v>31</v>
      </c>
      <c r="V295">
        <v>0</v>
      </c>
    </row>
    <row r="296" spans="1:22" x14ac:dyDescent="0.25">
      <c r="A296" t="s">
        <v>392</v>
      </c>
      <c r="B296" t="s">
        <v>33</v>
      </c>
      <c r="C296" t="s">
        <v>34</v>
      </c>
      <c r="D296" t="s">
        <v>35</v>
      </c>
      <c r="E296" t="s">
        <v>40</v>
      </c>
      <c r="F296" t="s">
        <v>50</v>
      </c>
      <c r="G296" s="1">
        <v>46127</v>
      </c>
      <c r="H296" s="1">
        <v>46187</v>
      </c>
      <c r="I296">
        <v>60</v>
      </c>
      <c r="J296">
        <v>78091.61</v>
      </c>
      <c r="K296">
        <v>0</v>
      </c>
      <c r="L296">
        <v>78091.61</v>
      </c>
      <c r="N296" t="s">
        <v>93</v>
      </c>
      <c r="O296" t="s">
        <v>69</v>
      </c>
      <c r="S296" t="s">
        <v>30</v>
      </c>
      <c r="T296">
        <v>0.01</v>
      </c>
      <c r="U296" t="s">
        <v>31</v>
      </c>
      <c r="V296">
        <v>0</v>
      </c>
    </row>
    <row r="297" spans="1:22" x14ac:dyDescent="0.25">
      <c r="A297" t="s">
        <v>393</v>
      </c>
      <c r="B297" t="s">
        <v>47</v>
      </c>
      <c r="C297" t="s">
        <v>48</v>
      </c>
      <c r="D297" t="s">
        <v>49</v>
      </c>
      <c r="E297" t="s">
        <v>26</v>
      </c>
      <c r="F297" t="s">
        <v>50</v>
      </c>
      <c r="G297" s="1">
        <v>45791</v>
      </c>
      <c r="H297" s="1">
        <v>45851</v>
      </c>
      <c r="I297">
        <v>60</v>
      </c>
      <c r="J297">
        <v>13365.04</v>
      </c>
      <c r="K297">
        <v>13365.04</v>
      </c>
      <c r="L297">
        <v>0</v>
      </c>
      <c r="M297" s="1">
        <v>45854</v>
      </c>
      <c r="N297" t="s">
        <v>28</v>
      </c>
      <c r="O297" t="s">
        <v>77</v>
      </c>
      <c r="P297">
        <v>63</v>
      </c>
      <c r="Q297">
        <v>-3</v>
      </c>
      <c r="R297" t="s">
        <v>31</v>
      </c>
      <c r="S297" t="s">
        <v>30</v>
      </c>
      <c r="T297">
        <v>0.01</v>
      </c>
      <c r="U297" t="s">
        <v>31</v>
      </c>
      <c r="V297">
        <v>0</v>
      </c>
    </row>
    <row r="298" spans="1:22" x14ac:dyDescent="0.25">
      <c r="A298" t="s">
        <v>394</v>
      </c>
      <c r="B298" t="s">
        <v>71</v>
      </c>
      <c r="C298" t="s">
        <v>72</v>
      </c>
      <c r="D298" t="s">
        <v>73</v>
      </c>
      <c r="E298" t="s">
        <v>68</v>
      </c>
      <c r="F298" t="s">
        <v>92</v>
      </c>
      <c r="G298" s="1">
        <v>45897</v>
      </c>
      <c r="H298" s="1">
        <v>45942</v>
      </c>
      <c r="I298">
        <v>45</v>
      </c>
      <c r="J298">
        <v>4464.6899999999996</v>
      </c>
      <c r="K298">
        <v>4464.6899999999996</v>
      </c>
      <c r="L298">
        <v>0</v>
      </c>
      <c r="M298" s="1">
        <v>45931</v>
      </c>
      <c r="N298" t="s">
        <v>28</v>
      </c>
      <c r="O298" t="s">
        <v>69</v>
      </c>
      <c r="P298">
        <v>34</v>
      </c>
      <c r="Q298">
        <v>11</v>
      </c>
      <c r="R298" t="s">
        <v>30</v>
      </c>
      <c r="S298" t="s">
        <v>30</v>
      </c>
      <c r="T298">
        <v>1.4999999999999999E-2</v>
      </c>
      <c r="U298" t="s">
        <v>31</v>
      </c>
      <c r="V298">
        <v>0</v>
      </c>
    </row>
    <row r="299" spans="1:22" x14ac:dyDescent="0.25">
      <c r="A299" t="s">
        <v>395</v>
      </c>
      <c r="B299" t="s">
        <v>66</v>
      </c>
      <c r="C299" t="s">
        <v>67</v>
      </c>
      <c r="D299" t="s">
        <v>35</v>
      </c>
      <c r="E299" t="s">
        <v>26</v>
      </c>
      <c r="F299" t="s">
        <v>64</v>
      </c>
      <c r="G299" s="1">
        <v>46118</v>
      </c>
      <c r="H299" s="1">
        <v>46148</v>
      </c>
      <c r="I299">
        <v>30</v>
      </c>
      <c r="J299">
        <v>39954.129999999997</v>
      </c>
      <c r="K299">
        <v>39954.129999999997</v>
      </c>
      <c r="L299">
        <v>0</v>
      </c>
      <c r="M299" s="1">
        <v>46149</v>
      </c>
      <c r="N299" t="s">
        <v>28</v>
      </c>
      <c r="O299" t="s">
        <v>77</v>
      </c>
      <c r="P299">
        <v>31</v>
      </c>
      <c r="Q299">
        <v>-1</v>
      </c>
      <c r="R299" t="s">
        <v>31</v>
      </c>
      <c r="S299" t="s">
        <v>30</v>
      </c>
      <c r="T299">
        <v>0.01</v>
      </c>
      <c r="U299" t="s">
        <v>31</v>
      </c>
      <c r="V299">
        <v>0</v>
      </c>
    </row>
    <row r="300" spans="1:22" x14ac:dyDescent="0.25">
      <c r="A300" t="s">
        <v>396</v>
      </c>
      <c r="B300" t="s">
        <v>131</v>
      </c>
      <c r="C300" t="s">
        <v>132</v>
      </c>
      <c r="D300" t="s">
        <v>49</v>
      </c>
      <c r="E300" t="s">
        <v>26</v>
      </c>
      <c r="F300" t="s">
        <v>27</v>
      </c>
      <c r="G300" s="1">
        <v>45699</v>
      </c>
      <c r="H300" s="1">
        <v>45744</v>
      </c>
      <c r="I300">
        <v>45</v>
      </c>
      <c r="J300">
        <v>12321</v>
      </c>
      <c r="K300">
        <v>12321</v>
      </c>
      <c r="L300">
        <v>0</v>
      </c>
      <c r="M300" s="1">
        <v>45750</v>
      </c>
      <c r="N300" t="s">
        <v>28</v>
      </c>
      <c r="O300" t="s">
        <v>36</v>
      </c>
      <c r="P300">
        <v>51</v>
      </c>
      <c r="Q300">
        <v>-6</v>
      </c>
      <c r="R300" t="s">
        <v>31</v>
      </c>
      <c r="S300" t="s">
        <v>31</v>
      </c>
      <c r="T300">
        <v>0</v>
      </c>
      <c r="U300" t="s">
        <v>31</v>
      </c>
      <c r="V300">
        <v>0</v>
      </c>
    </row>
    <row r="301" spans="1:22" x14ac:dyDescent="0.25">
      <c r="A301" t="s">
        <v>397</v>
      </c>
      <c r="B301" t="s">
        <v>61</v>
      </c>
      <c r="C301" t="s">
        <v>62</v>
      </c>
      <c r="D301" t="s">
        <v>35</v>
      </c>
      <c r="E301" t="s">
        <v>40</v>
      </c>
      <c r="F301" t="s">
        <v>92</v>
      </c>
      <c r="G301" s="1">
        <v>45964</v>
      </c>
      <c r="H301" s="1">
        <v>45979</v>
      </c>
      <c r="I301">
        <v>15</v>
      </c>
      <c r="J301">
        <v>24512.51</v>
      </c>
      <c r="K301">
        <v>24512.51</v>
      </c>
      <c r="L301">
        <v>0</v>
      </c>
      <c r="M301" s="1">
        <v>45972</v>
      </c>
      <c r="N301" t="s">
        <v>28</v>
      </c>
      <c r="O301" t="s">
        <v>69</v>
      </c>
      <c r="P301">
        <v>8</v>
      </c>
      <c r="Q301">
        <v>7</v>
      </c>
      <c r="R301" t="s">
        <v>30</v>
      </c>
      <c r="S301" t="s">
        <v>31</v>
      </c>
      <c r="T301">
        <v>0</v>
      </c>
      <c r="U301" t="s">
        <v>31</v>
      </c>
      <c r="V301">
        <v>0</v>
      </c>
    </row>
    <row r="302" spans="1:22" x14ac:dyDescent="0.25">
      <c r="A302" t="s">
        <v>398</v>
      </c>
      <c r="B302" t="s">
        <v>71</v>
      </c>
      <c r="C302" t="s">
        <v>72</v>
      </c>
      <c r="D302" t="s">
        <v>73</v>
      </c>
      <c r="E302" t="s">
        <v>63</v>
      </c>
      <c r="F302" t="s">
        <v>64</v>
      </c>
      <c r="G302" s="1">
        <v>45762</v>
      </c>
      <c r="H302" s="1">
        <v>45852</v>
      </c>
      <c r="I302">
        <v>90</v>
      </c>
      <c r="J302">
        <v>28528.59</v>
      </c>
      <c r="K302">
        <v>28528.59</v>
      </c>
      <c r="L302">
        <v>0</v>
      </c>
      <c r="M302" s="1">
        <v>45856</v>
      </c>
      <c r="N302" t="s">
        <v>28</v>
      </c>
      <c r="O302" t="s">
        <v>77</v>
      </c>
      <c r="P302">
        <v>94</v>
      </c>
      <c r="Q302">
        <v>-4</v>
      </c>
      <c r="R302" t="s">
        <v>31</v>
      </c>
      <c r="S302" t="s">
        <v>30</v>
      </c>
      <c r="T302">
        <v>5.0000000000000001E-3</v>
      </c>
      <c r="U302" t="s">
        <v>31</v>
      </c>
      <c r="V302">
        <v>0</v>
      </c>
    </row>
    <row r="303" spans="1:22" x14ac:dyDescent="0.25">
      <c r="A303" t="s">
        <v>399</v>
      </c>
      <c r="B303" t="s">
        <v>85</v>
      </c>
      <c r="C303" t="s">
        <v>86</v>
      </c>
      <c r="D303" t="s">
        <v>25</v>
      </c>
      <c r="E303" t="s">
        <v>40</v>
      </c>
      <c r="F303" t="s">
        <v>64</v>
      </c>
      <c r="G303" s="1">
        <v>46039</v>
      </c>
      <c r="H303" s="1">
        <v>46099</v>
      </c>
      <c r="I303">
        <v>60</v>
      </c>
      <c r="J303">
        <v>14039.42</v>
      </c>
      <c r="K303">
        <v>14039.42</v>
      </c>
      <c r="L303">
        <v>0</v>
      </c>
      <c r="M303" s="1">
        <v>46084</v>
      </c>
      <c r="N303" t="s">
        <v>28</v>
      </c>
      <c r="O303" t="s">
        <v>36</v>
      </c>
      <c r="P303">
        <v>45</v>
      </c>
      <c r="Q303">
        <v>15</v>
      </c>
      <c r="R303" t="s">
        <v>30</v>
      </c>
      <c r="S303" t="s">
        <v>31</v>
      </c>
      <c r="T303">
        <v>0</v>
      </c>
      <c r="U303" t="s">
        <v>31</v>
      </c>
      <c r="V303">
        <v>0</v>
      </c>
    </row>
    <row r="304" spans="1:22" x14ac:dyDescent="0.25">
      <c r="A304" t="s">
        <v>400</v>
      </c>
      <c r="B304" t="s">
        <v>43</v>
      </c>
      <c r="C304" t="s">
        <v>44</v>
      </c>
      <c r="D304" t="s">
        <v>25</v>
      </c>
      <c r="E304" t="s">
        <v>26</v>
      </c>
      <c r="F304" t="s">
        <v>27</v>
      </c>
      <c r="G304" s="1">
        <v>45789</v>
      </c>
      <c r="H304" s="1">
        <v>45879</v>
      </c>
      <c r="I304">
        <v>90</v>
      </c>
      <c r="J304">
        <v>2747.59</v>
      </c>
      <c r="K304">
        <v>992.6</v>
      </c>
      <c r="L304">
        <v>1754.99</v>
      </c>
      <c r="M304" s="1">
        <v>45888</v>
      </c>
      <c r="N304" t="s">
        <v>98</v>
      </c>
      <c r="O304" t="s">
        <v>36</v>
      </c>
      <c r="P304">
        <v>99</v>
      </c>
      <c r="Q304">
        <v>-9</v>
      </c>
      <c r="R304" t="s">
        <v>31</v>
      </c>
      <c r="S304" t="s">
        <v>31</v>
      </c>
      <c r="T304">
        <v>0</v>
      </c>
      <c r="U304" t="s">
        <v>31</v>
      </c>
      <c r="V304">
        <v>0</v>
      </c>
    </row>
    <row r="305" spans="1:22" x14ac:dyDescent="0.25">
      <c r="A305" t="s">
        <v>401</v>
      </c>
      <c r="B305" t="s">
        <v>33</v>
      </c>
      <c r="C305" t="s">
        <v>34</v>
      </c>
      <c r="D305" t="s">
        <v>35</v>
      </c>
      <c r="E305" t="s">
        <v>40</v>
      </c>
      <c r="F305" t="s">
        <v>50</v>
      </c>
      <c r="G305" s="1">
        <v>46166</v>
      </c>
      <c r="H305" s="1">
        <v>46226</v>
      </c>
      <c r="I305">
        <v>60</v>
      </c>
      <c r="J305">
        <v>7211.17</v>
      </c>
      <c r="K305">
        <v>0</v>
      </c>
      <c r="L305">
        <v>7211.17</v>
      </c>
      <c r="N305" t="s">
        <v>93</v>
      </c>
      <c r="O305" t="s">
        <v>69</v>
      </c>
      <c r="S305" t="s">
        <v>30</v>
      </c>
      <c r="T305">
        <v>0.01</v>
      </c>
      <c r="U305" t="s">
        <v>31</v>
      </c>
      <c r="V305">
        <v>0</v>
      </c>
    </row>
    <row r="306" spans="1:22" x14ac:dyDescent="0.25">
      <c r="A306" t="s">
        <v>402</v>
      </c>
      <c r="B306" t="s">
        <v>120</v>
      </c>
      <c r="C306" t="s">
        <v>121</v>
      </c>
      <c r="D306" t="s">
        <v>54</v>
      </c>
      <c r="E306" t="s">
        <v>68</v>
      </c>
      <c r="F306" t="s">
        <v>92</v>
      </c>
      <c r="G306" s="1">
        <v>45693</v>
      </c>
      <c r="H306" s="1">
        <v>45723</v>
      </c>
      <c r="I306">
        <v>30</v>
      </c>
      <c r="J306">
        <v>9404.5499999999993</v>
      </c>
      <c r="K306">
        <v>9404.5499999999993</v>
      </c>
      <c r="L306">
        <v>0</v>
      </c>
      <c r="M306" s="1">
        <v>45714</v>
      </c>
      <c r="N306" t="s">
        <v>28</v>
      </c>
      <c r="O306" t="s">
        <v>69</v>
      </c>
      <c r="P306">
        <v>21</v>
      </c>
      <c r="Q306">
        <v>9</v>
      </c>
      <c r="R306" t="s">
        <v>30</v>
      </c>
      <c r="S306" t="s">
        <v>30</v>
      </c>
      <c r="T306">
        <v>0.01</v>
      </c>
      <c r="U306" t="s">
        <v>31</v>
      </c>
      <c r="V306">
        <v>0</v>
      </c>
    </row>
    <row r="307" spans="1:22" x14ac:dyDescent="0.25">
      <c r="A307" t="s">
        <v>403</v>
      </c>
      <c r="B307" t="s">
        <v>100</v>
      </c>
      <c r="C307" t="s">
        <v>101</v>
      </c>
      <c r="D307" t="s">
        <v>54</v>
      </c>
      <c r="E307" t="s">
        <v>45</v>
      </c>
      <c r="F307" t="s">
        <v>50</v>
      </c>
      <c r="G307" s="1">
        <v>45747</v>
      </c>
      <c r="H307" s="1">
        <v>45762</v>
      </c>
      <c r="I307">
        <v>15</v>
      </c>
      <c r="J307">
        <v>4556.75</v>
      </c>
      <c r="K307">
        <v>4556.75</v>
      </c>
      <c r="L307">
        <v>0</v>
      </c>
      <c r="M307" s="1">
        <v>45769</v>
      </c>
      <c r="N307" t="s">
        <v>28</v>
      </c>
      <c r="O307" t="s">
        <v>69</v>
      </c>
      <c r="P307">
        <v>22</v>
      </c>
      <c r="Q307">
        <v>-7</v>
      </c>
      <c r="R307" t="s">
        <v>31</v>
      </c>
      <c r="S307" t="s">
        <v>30</v>
      </c>
      <c r="T307">
        <v>0.02</v>
      </c>
      <c r="U307" t="s">
        <v>31</v>
      </c>
      <c r="V307">
        <v>0</v>
      </c>
    </row>
    <row r="308" spans="1:22" x14ac:dyDescent="0.25">
      <c r="A308" t="s">
        <v>404</v>
      </c>
      <c r="B308" t="s">
        <v>23</v>
      </c>
      <c r="C308" t="s">
        <v>24</v>
      </c>
      <c r="D308" t="s">
        <v>25</v>
      </c>
      <c r="E308" t="s">
        <v>63</v>
      </c>
      <c r="F308" t="s">
        <v>27</v>
      </c>
      <c r="G308" s="1">
        <v>46149</v>
      </c>
      <c r="H308" s="1">
        <v>46209</v>
      </c>
      <c r="I308">
        <v>60</v>
      </c>
      <c r="J308">
        <v>11345.84</v>
      </c>
      <c r="K308">
        <v>0</v>
      </c>
      <c r="L308">
        <v>11345.84</v>
      </c>
      <c r="N308" t="s">
        <v>59</v>
      </c>
      <c r="O308" t="s">
        <v>69</v>
      </c>
      <c r="Q308">
        <v>36</v>
      </c>
      <c r="R308" t="s">
        <v>31</v>
      </c>
      <c r="S308" t="s">
        <v>30</v>
      </c>
      <c r="T308">
        <v>0.01</v>
      </c>
      <c r="U308" t="s">
        <v>31</v>
      </c>
      <c r="V308">
        <v>0</v>
      </c>
    </row>
    <row r="309" spans="1:22" x14ac:dyDescent="0.25">
      <c r="A309" t="s">
        <v>405</v>
      </c>
      <c r="B309" t="s">
        <v>47</v>
      </c>
      <c r="C309" t="s">
        <v>48</v>
      </c>
      <c r="D309" t="s">
        <v>49</v>
      </c>
      <c r="E309" t="s">
        <v>68</v>
      </c>
      <c r="F309" t="s">
        <v>64</v>
      </c>
      <c r="G309" s="1">
        <v>45882</v>
      </c>
      <c r="H309" s="1">
        <v>45942</v>
      </c>
      <c r="I309">
        <v>60</v>
      </c>
      <c r="J309">
        <v>3406.57</v>
      </c>
      <c r="K309">
        <v>3406.57</v>
      </c>
      <c r="L309">
        <v>0</v>
      </c>
      <c r="M309" s="1">
        <v>45936</v>
      </c>
      <c r="N309" t="s">
        <v>28</v>
      </c>
      <c r="O309" t="s">
        <v>77</v>
      </c>
      <c r="P309">
        <v>54</v>
      </c>
      <c r="Q309">
        <v>6</v>
      </c>
      <c r="R309" t="s">
        <v>30</v>
      </c>
      <c r="S309" t="s">
        <v>31</v>
      </c>
      <c r="T309">
        <v>0</v>
      </c>
      <c r="U309" t="s">
        <v>31</v>
      </c>
      <c r="V309">
        <v>0</v>
      </c>
    </row>
    <row r="310" spans="1:22" x14ac:dyDescent="0.25">
      <c r="A310" t="s">
        <v>406</v>
      </c>
      <c r="B310" t="s">
        <v>100</v>
      </c>
      <c r="C310" t="s">
        <v>101</v>
      </c>
      <c r="D310" t="s">
        <v>54</v>
      </c>
      <c r="E310" t="s">
        <v>63</v>
      </c>
      <c r="F310" t="s">
        <v>92</v>
      </c>
      <c r="G310" s="1">
        <v>45760</v>
      </c>
      <c r="H310" s="1">
        <v>45790</v>
      </c>
      <c r="I310">
        <v>30</v>
      </c>
      <c r="J310">
        <v>4093.93</v>
      </c>
      <c r="K310">
        <v>4093.93</v>
      </c>
      <c r="L310">
        <v>0</v>
      </c>
      <c r="M310" s="1">
        <v>45793</v>
      </c>
      <c r="N310" t="s">
        <v>28</v>
      </c>
      <c r="O310" t="s">
        <v>36</v>
      </c>
      <c r="P310">
        <v>33</v>
      </c>
      <c r="Q310">
        <v>-3</v>
      </c>
      <c r="R310" t="s">
        <v>31</v>
      </c>
      <c r="S310" t="s">
        <v>30</v>
      </c>
      <c r="T310">
        <v>0.01</v>
      </c>
      <c r="U310" t="s">
        <v>31</v>
      </c>
      <c r="V310">
        <v>0</v>
      </c>
    </row>
    <row r="311" spans="1:22" x14ac:dyDescent="0.25">
      <c r="A311" t="s">
        <v>407</v>
      </c>
      <c r="B311" t="s">
        <v>85</v>
      </c>
      <c r="C311" t="s">
        <v>86</v>
      </c>
      <c r="D311" t="s">
        <v>25</v>
      </c>
      <c r="E311" t="s">
        <v>40</v>
      </c>
      <c r="F311" t="s">
        <v>50</v>
      </c>
      <c r="G311" s="1">
        <v>45835</v>
      </c>
      <c r="H311" s="1">
        <v>45895</v>
      </c>
      <c r="I311">
        <v>60</v>
      </c>
      <c r="J311">
        <v>4345.91</v>
      </c>
      <c r="K311">
        <v>2819.68</v>
      </c>
      <c r="L311">
        <v>1526.23</v>
      </c>
      <c r="M311" s="1">
        <v>45908</v>
      </c>
      <c r="N311" t="s">
        <v>98</v>
      </c>
      <c r="O311" t="s">
        <v>69</v>
      </c>
      <c r="P311">
        <v>73</v>
      </c>
      <c r="Q311">
        <v>-13</v>
      </c>
      <c r="R311" t="s">
        <v>31</v>
      </c>
      <c r="S311" t="s">
        <v>30</v>
      </c>
      <c r="T311">
        <v>0.01</v>
      </c>
      <c r="U311" t="s">
        <v>31</v>
      </c>
      <c r="V311">
        <v>0</v>
      </c>
    </row>
    <row r="312" spans="1:22" x14ac:dyDescent="0.25">
      <c r="A312" t="s">
        <v>408</v>
      </c>
      <c r="B312" t="s">
        <v>95</v>
      </c>
      <c r="C312" t="s">
        <v>96</v>
      </c>
      <c r="D312" t="s">
        <v>49</v>
      </c>
      <c r="E312" t="s">
        <v>68</v>
      </c>
      <c r="F312" t="s">
        <v>50</v>
      </c>
      <c r="G312" s="1">
        <v>46162</v>
      </c>
      <c r="H312" s="1">
        <v>46192</v>
      </c>
      <c r="I312">
        <v>30</v>
      </c>
      <c r="J312">
        <v>28021.98</v>
      </c>
      <c r="K312">
        <v>0</v>
      </c>
      <c r="L312">
        <v>28021.98</v>
      </c>
      <c r="N312" t="s">
        <v>93</v>
      </c>
      <c r="O312" t="s">
        <v>36</v>
      </c>
      <c r="S312" t="s">
        <v>30</v>
      </c>
      <c r="T312">
        <v>0.01</v>
      </c>
      <c r="U312" t="s">
        <v>31</v>
      </c>
      <c r="V312">
        <v>0</v>
      </c>
    </row>
    <row r="313" spans="1:22" x14ac:dyDescent="0.25">
      <c r="A313" t="s">
        <v>409</v>
      </c>
      <c r="B313" t="s">
        <v>187</v>
      </c>
      <c r="C313" t="s">
        <v>188</v>
      </c>
      <c r="D313" t="s">
        <v>73</v>
      </c>
      <c r="E313" t="s">
        <v>40</v>
      </c>
      <c r="F313" t="s">
        <v>27</v>
      </c>
      <c r="G313" s="1">
        <v>45997</v>
      </c>
      <c r="H313" s="1">
        <v>46012</v>
      </c>
      <c r="I313">
        <v>15</v>
      </c>
      <c r="J313">
        <v>32290.57</v>
      </c>
      <c r="K313">
        <v>32290.57</v>
      </c>
      <c r="L313">
        <v>0</v>
      </c>
      <c r="M313" s="1">
        <v>46000</v>
      </c>
      <c r="N313" t="s">
        <v>28</v>
      </c>
      <c r="O313" t="s">
        <v>69</v>
      </c>
      <c r="P313">
        <v>3</v>
      </c>
      <c r="Q313">
        <v>12</v>
      </c>
      <c r="R313" t="s">
        <v>30</v>
      </c>
      <c r="S313" t="s">
        <v>30</v>
      </c>
      <c r="T313">
        <v>0.02</v>
      </c>
      <c r="U313" t="s">
        <v>30</v>
      </c>
      <c r="V313">
        <v>645.80999999999995</v>
      </c>
    </row>
    <row r="314" spans="1:22" x14ac:dyDescent="0.25">
      <c r="A314" t="s">
        <v>410</v>
      </c>
      <c r="B314" t="s">
        <v>61</v>
      </c>
      <c r="C314" t="s">
        <v>62</v>
      </c>
      <c r="D314" t="s">
        <v>35</v>
      </c>
      <c r="E314" t="s">
        <v>40</v>
      </c>
      <c r="F314" t="s">
        <v>92</v>
      </c>
      <c r="G314" s="1">
        <v>45809</v>
      </c>
      <c r="H314" s="1">
        <v>45824</v>
      </c>
      <c r="I314">
        <v>15</v>
      </c>
      <c r="J314">
        <v>48995.69</v>
      </c>
      <c r="K314">
        <v>48995.69</v>
      </c>
      <c r="L314">
        <v>0</v>
      </c>
      <c r="M314" s="1">
        <v>45833</v>
      </c>
      <c r="N314" t="s">
        <v>28</v>
      </c>
      <c r="O314" t="s">
        <v>77</v>
      </c>
      <c r="P314">
        <v>24</v>
      </c>
      <c r="Q314">
        <v>-9</v>
      </c>
      <c r="R314" t="s">
        <v>31</v>
      </c>
      <c r="S314" t="s">
        <v>31</v>
      </c>
      <c r="T314">
        <v>0</v>
      </c>
      <c r="U314" t="s">
        <v>31</v>
      </c>
      <c r="V314">
        <v>0</v>
      </c>
    </row>
    <row r="315" spans="1:22" x14ac:dyDescent="0.25">
      <c r="A315" t="s">
        <v>411</v>
      </c>
      <c r="B315" t="s">
        <v>43</v>
      </c>
      <c r="C315" t="s">
        <v>44</v>
      </c>
      <c r="D315" t="s">
        <v>25</v>
      </c>
      <c r="E315" t="s">
        <v>68</v>
      </c>
      <c r="F315" t="s">
        <v>41</v>
      </c>
      <c r="G315" s="1">
        <v>45967</v>
      </c>
      <c r="H315" s="1">
        <v>46027</v>
      </c>
      <c r="I315">
        <v>60</v>
      </c>
      <c r="J315">
        <v>7129.46</v>
      </c>
      <c r="K315">
        <v>7129.46</v>
      </c>
      <c r="L315">
        <v>0</v>
      </c>
      <c r="M315" s="1">
        <v>46014</v>
      </c>
      <c r="N315" t="s">
        <v>28</v>
      </c>
      <c r="O315" t="s">
        <v>77</v>
      </c>
      <c r="P315">
        <v>47</v>
      </c>
      <c r="Q315">
        <v>13</v>
      </c>
      <c r="R315" t="s">
        <v>30</v>
      </c>
      <c r="S315" t="s">
        <v>31</v>
      </c>
      <c r="T315">
        <v>0</v>
      </c>
      <c r="U315" t="s">
        <v>31</v>
      </c>
      <c r="V315">
        <v>0</v>
      </c>
    </row>
    <row r="316" spans="1:22" x14ac:dyDescent="0.25">
      <c r="A316" t="s">
        <v>412</v>
      </c>
      <c r="B316" t="s">
        <v>38</v>
      </c>
      <c r="C316" t="s">
        <v>39</v>
      </c>
      <c r="D316" t="s">
        <v>35</v>
      </c>
      <c r="E316" t="s">
        <v>45</v>
      </c>
      <c r="F316" t="s">
        <v>92</v>
      </c>
      <c r="G316" s="1">
        <v>45886</v>
      </c>
      <c r="H316" s="1">
        <v>45946</v>
      </c>
      <c r="I316">
        <v>60</v>
      </c>
      <c r="J316">
        <v>54914.879999999997</v>
      </c>
      <c r="K316">
        <v>54914.879999999997</v>
      </c>
      <c r="L316">
        <v>0</v>
      </c>
      <c r="M316" s="1">
        <v>45946</v>
      </c>
      <c r="N316" t="s">
        <v>28</v>
      </c>
      <c r="O316" t="s">
        <v>36</v>
      </c>
      <c r="P316">
        <v>60</v>
      </c>
      <c r="Q316">
        <v>0</v>
      </c>
      <c r="R316" t="s">
        <v>30</v>
      </c>
      <c r="S316" t="s">
        <v>31</v>
      </c>
      <c r="T316">
        <v>0</v>
      </c>
      <c r="U316" t="s">
        <v>31</v>
      </c>
      <c r="V316">
        <v>0</v>
      </c>
    </row>
    <row r="317" spans="1:22" x14ac:dyDescent="0.25">
      <c r="A317" t="s">
        <v>413</v>
      </c>
      <c r="B317" t="s">
        <v>120</v>
      </c>
      <c r="C317" t="s">
        <v>121</v>
      </c>
      <c r="D317" t="s">
        <v>54</v>
      </c>
      <c r="E317" t="s">
        <v>26</v>
      </c>
      <c r="F317" t="s">
        <v>50</v>
      </c>
      <c r="G317" s="1">
        <v>45844</v>
      </c>
      <c r="H317" s="1">
        <v>45859</v>
      </c>
      <c r="I317">
        <v>15</v>
      </c>
      <c r="J317">
        <v>9234.64</v>
      </c>
      <c r="K317">
        <v>0</v>
      </c>
      <c r="L317">
        <v>9234.64</v>
      </c>
      <c r="N317" t="s">
        <v>59</v>
      </c>
      <c r="O317" t="s">
        <v>69</v>
      </c>
      <c r="Q317">
        <v>-314</v>
      </c>
      <c r="R317" t="s">
        <v>31</v>
      </c>
      <c r="S317" t="s">
        <v>31</v>
      </c>
      <c r="T317">
        <v>0</v>
      </c>
      <c r="U317" t="s">
        <v>31</v>
      </c>
      <c r="V317">
        <v>0</v>
      </c>
    </row>
    <row r="318" spans="1:22" x14ac:dyDescent="0.25">
      <c r="A318" t="s">
        <v>414</v>
      </c>
      <c r="B318" t="s">
        <v>52</v>
      </c>
      <c r="C318" t="s">
        <v>53</v>
      </c>
      <c r="D318" t="s">
        <v>54</v>
      </c>
      <c r="E318" t="s">
        <v>63</v>
      </c>
      <c r="F318" t="s">
        <v>27</v>
      </c>
      <c r="G318" s="1">
        <v>45997</v>
      </c>
      <c r="H318" s="1">
        <v>46027</v>
      </c>
      <c r="I318">
        <v>30</v>
      </c>
      <c r="J318">
        <v>11307.48</v>
      </c>
      <c r="K318">
        <v>0</v>
      </c>
      <c r="L318">
        <v>11307.48</v>
      </c>
      <c r="N318" t="s">
        <v>59</v>
      </c>
      <c r="O318" t="s">
        <v>69</v>
      </c>
      <c r="Q318">
        <v>-146</v>
      </c>
      <c r="R318" t="s">
        <v>31</v>
      </c>
      <c r="S318" t="s">
        <v>30</v>
      </c>
      <c r="T318">
        <v>0.01</v>
      </c>
      <c r="U318" t="s">
        <v>31</v>
      </c>
      <c r="V318">
        <v>0</v>
      </c>
    </row>
    <row r="319" spans="1:22" x14ac:dyDescent="0.25">
      <c r="A319" t="s">
        <v>415</v>
      </c>
      <c r="B319" t="s">
        <v>120</v>
      </c>
      <c r="C319" t="s">
        <v>121</v>
      </c>
      <c r="D319" t="s">
        <v>54</v>
      </c>
      <c r="E319" t="s">
        <v>26</v>
      </c>
      <c r="F319" t="s">
        <v>92</v>
      </c>
      <c r="G319" s="1">
        <v>45929</v>
      </c>
      <c r="H319" s="1">
        <v>45944</v>
      </c>
      <c r="I319">
        <v>15</v>
      </c>
      <c r="J319">
        <v>3540.42</v>
      </c>
      <c r="K319">
        <v>3540.42</v>
      </c>
      <c r="L319">
        <v>0</v>
      </c>
      <c r="M319" s="1">
        <v>45938</v>
      </c>
      <c r="N319" t="s">
        <v>28</v>
      </c>
      <c r="O319" t="s">
        <v>69</v>
      </c>
      <c r="P319">
        <v>9</v>
      </c>
      <c r="Q319">
        <v>6</v>
      </c>
      <c r="R319" t="s">
        <v>30</v>
      </c>
      <c r="S319" t="s">
        <v>30</v>
      </c>
      <c r="T319">
        <v>0.02</v>
      </c>
      <c r="U319" t="s">
        <v>31</v>
      </c>
      <c r="V319">
        <v>0</v>
      </c>
    </row>
    <row r="320" spans="1:22" x14ac:dyDescent="0.25">
      <c r="A320" t="s">
        <v>416</v>
      </c>
      <c r="B320" t="s">
        <v>109</v>
      </c>
      <c r="C320" t="s">
        <v>110</v>
      </c>
      <c r="D320" t="s">
        <v>49</v>
      </c>
      <c r="E320" t="s">
        <v>26</v>
      </c>
      <c r="F320" t="s">
        <v>27</v>
      </c>
      <c r="G320" s="1">
        <v>46087</v>
      </c>
      <c r="H320" s="1">
        <v>46177</v>
      </c>
      <c r="I320">
        <v>90</v>
      </c>
      <c r="J320">
        <v>48516.89</v>
      </c>
      <c r="K320">
        <v>0</v>
      </c>
      <c r="L320">
        <v>48516.89</v>
      </c>
      <c r="N320" t="s">
        <v>93</v>
      </c>
      <c r="O320" t="s">
        <v>69</v>
      </c>
      <c r="S320" t="s">
        <v>31</v>
      </c>
      <c r="T320">
        <v>0</v>
      </c>
      <c r="U320" t="s">
        <v>31</v>
      </c>
      <c r="V320">
        <v>0</v>
      </c>
    </row>
    <row r="321" spans="1:22" x14ac:dyDescent="0.25">
      <c r="A321" t="s">
        <v>417</v>
      </c>
      <c r="B321" t="s">
        <v>79</v>
      </c>
      <c r="C321" t="s">
        <v>80</v>
      </c>
      <c r="D321" t="s">
        <v>49</v>
      </c>
      <c r="E321" t="s">
        <v>45</v>
      </c>
      <c r="F321" t="s">
        <v>27</v>
      </c>
      <c r="G321" s="1">
        <v>45824</v>
      </c>
      <c r="H321" s="1">
        <v>45854</v>
      </c>
      <c r="I321">
        <v>30</v>
      </c>
      <c r="J321">
        <v>23661.8</v>
      </c>
      <c r="K321">
        <v>23661.8</v>
      </c>
      <c r="L321">
        <v>0</v>
      </c>
      <c r="M321" s="1">
        <v>45860</v>
      </c>
      <c r="N321" t="s">
        <v>28</v>
      </c>
      <c r="O321" t="s">
        <v>69</v>
      </c>
      <c r="P321">
        <v>36</v>
      </c>
      <c r="Q321">
        <v>-6</v>
      </c>
      <c r="R321" t="s">
        <v>31</v>
      </c>
      <c r="S321" t="s">
        <v>31</v>
      </c>
      <c r="T321">
        <v>0</v>
      </c>
      <c r="U321" t="s">
        <v>31</v>
      </c>
      <c r="V321">
        <v>0</v>
      </c>
    </row>
    <row r="322" spans="1:22" x14ac:dyDescent="0.25">
      <c r="A322" t="s">
        <v>418</v>
      </c>
      <c r="B322" t="s">
        <v>109</v>
      </c>
      <c r="C322" t="s">
        <v>110</v>
      </c>
      <c r="D322" t="s">
        <v>49</v>
      </c>
      <c r="E322" t="s">
        <v>26</v>
      </c>
      <c r="F322" t="s">
        <v>92</v>
      </c>
      <c r="G322" s="1">
        <v>45822</v>
      </c>
      <c r="H322" s="1">
        <v>45882</v>
      </c>
      <c r="I322">
        <v>60</v>
      </c>
      <c r="J322">
        <v>37135.279999999999</v>
      </c>
      <c r="K322">
        <v>12869.32</v>
      </c>
      <c r="L322">
        <v>24265.96</v>
      </c>
      <c r="M322" s="1">
        <v>45896</v>
      </c>
      <c r="N322" t="s">
        <v>98</v>
      </c>
      <c r="O322" t="s">
        <v>36</v>
      </c>
      <c r="P322">
        <v>74</v>
      </c>
      <c r="Q322">
        <v>-14</v>
      </c>
      <c r="R322" t="s">
        <v>31</v>
      </c>
      <c r="S322" t="s">
        <v>30</v>
      </c>
      <c r="T322">
        <v>0.01</v>
      </c>
      <c r="U322" t="s">
        <v>31</v>
      </c>
      <c r="V322">
        <v>0</v>
      </c>
    </row>
    <row r="323" spans="1:22" x14ac:dyDescent="0.25">
      <c r="A323" t="s">
        <v>419</v>
      </c>
      <c r="B323" t="s">
        <v>187</v>
      </c>
      <c r="C323" t="s">
        <v>188</v>
      </c>
      <c r="D323" t="s">
        <v>73</v>
      </c>
      <c r="E323" t="s">
        <v>45</v>
      </c>
      <c r="F323" t="s">
        <v>27</v>
      </c>
      <c r="G323" s="1">
        <v>46102</v>
      </c>
      <c r="H323" s="1">
        <v>46132</v>
      </c>
      <c r="I323">
        <v>30</v>
      </c>
      <c r="J323">
        <v>7184.42</v>
      </c>
      <c r="K323">
        <v>0</v>
      </c>
      <c r="L323">
        <v>7184.42</v>
      </c>
      <c r="N323" t="s">
        <v>93</v>
      </c>
      <c r="O323" t="s">
        <v>69</v>
      </c>
      <c r="S323" t="s">
        <v>30</v>
      </c>
      <c r="T323">
        <v>0.01</v>
      </c>
      <c r="U323" t="s">
        <v>31</v>
      </c>
      <c r="V323">
        <v>0</v>
      </c>
    </row>
    <row r="324" spans="1:22" x14ac:dyDescent="0.25">
      <c r="A324" t="s">
        <v>420</v>
      </c>
      <c r="B324" t="s">
        <v>61</v>
      </c>
      <c r="C324" t="s">
        <v>62</v>
      </c>
      <c r="D324" t="s">
        <v>35</v>
      </c>
      <c r="E324" t="s">
        <v>63</v>
      </c>
      <c r="F324" t="s">
        <v>50</v>
      </c>
      <c r="G324" s="1">
        <v>45962</v>
      </c>
      <c r="H324" s="1">
        <v>46007</v>
      </c>
      <c r="I324">
        <v>45</v>
      </c>
      <c r="J324">
        <v>22816.12</v>
      </c>
      <c r="K324">
        <v>22816.12</v>
      </c>
      <c r="L324">
        <v>0</v>
      </c>
      <c r="M324" s="1">
        <v>46007</v>
      </c>
      <c r="N324" t="s">
        <v>28</v>
      </c>
      <c r="O324" t="s">
        <v>29</v>
      </c>
      <c r="P324">
        <v>45</v>
      </c>
      <c r="Q324">
        <v>0</v>
      </c>
      <c r="R324" t="s">
        <v>30</v>
      </c>
      <c r="S324" t="s">
        <v>30</v>
      </c>
      <c r="T324">
        <v>1.4999999999999999E-2</v>
      </c>
      <c r="U324" t="s">
        <v>31</v>
      </c>
      <c r="V324">
        <v>0</v>
      </c>
    </row>
    <row r="325" spans="1:22" x14ac:dyDescent="0.25">
      <c r="A325" t="s">
        <v>421</v>
      </c>
      <c r="B325" t="s">
        <v>100</v>
      </c>
      <c r="C325" t="s">
        <v>101</v>
      </c>
      <c r="D325" t="s">
        <v>54</v>
      </c>
      <c r="E325" t="s">
        <v>40</v>
      </c>
      <c r="F325" t="s">
        <v>27</v>
      </c>
      <c r="G325" s="1">
        <v>46095</v>
      </c>
      <c r="H325" s="1">
        <v>46110</v>
      </c>
      <c r="I325">
        <v>15</v>
      </c>
      <c r="J325">
        <v>1770.61</v>
      </c>
      <c r="K325">
        <v>1770.61</v>
      </c>
      <c r="L325">
        <v>0</v>
      </c>
      <c r="M325" s="1">
        <v>46107</v>
      </c>
      <c r="N325" t="s">
        <v>28</v>
      </c>
      <c r="O325" t="s">
        <v>29</v>
      </c>
      <c r="P325">
        <v>12</v>
      </c>
      <c r="Q325">
        <v>3</v>
      </c>
      <c r="R325" t="s">
        <v>30</v>
      </c>
      <c r="S325" t="s">
        <v>31</v>
      </c>
      <c r="T325">
        <v>0</v>
      </c>
      <c r="U325" t="s">
        <v>31</v>
      </c>
      <c r="V325">
        <v>0</v>
      </c>
    </row>
    <row r="326" spans="1:22" x14ac:dyDescent="0.25">
      <c r="A326" t="s">
        <v>422</v>
      </c>
      <c r="B326" t="s">
        <v>153</v>
      </c>
      <c r="C326" t="s">
        <v>154</v>
      </c>
      <c r="D326" t="s">
        <v>58</v>
      </c>
      <c r="E326" t="s">
        <v>40</v>
      </c>
      <c r="F326" t="s">
        <v>92</v>
      </c>
      <c r="G326" s="1">
        <v>45776</v>
      </c>
      <c r="H326" s="1">
        <v>45866</v>
      </c>
      <c r="I326">
        <v>90</v>
      </c>
      <c r="J326">
        <v>14409.08</v>
      </c>
      <c r="K326">
        <v>14409.08</v>
      </c>
      <c r="L326">
        <v>0</v>
      </c>
      <c r="M326" s="1">
        <v>45866</v>
      </c>
      <c r="N326" t="s">
        <v>28</v>
      </c>
      <c r="O326" t="s">
        <v>77</v>
      </c>
      <c r="P326">
        <v>90</v>
      </c>
      <c r="Q326">
        <v>0</v>
      </c>
      <c r="R326" t="s">
        <v>30</v>
      </c>
      <c r="S326" t="s">
        <v>30</v>
      </c>
      <c r="T326">
        <v>5.0000000000000001E-3</v>
      </c>
      <c r="U326" t="s">
        <v>31</v>
      </c>
      <c r="V326">
        <v>0</v>
      </c>
    </row>
    <row r="327" spans="1:22" x14ac:dyDescent="0.25">
      <c r="A327" t="s">
        <v>423</v>
      </c>
      <c r="B327" t="s">
        <v>56</v>
      </c>
      <c r="C327" t="s">
        <v>57</v>
      </c>
      <c r="D327" t="s">
        <v>58</v>
      </c>
      <c r="E327" t="s">
        <v>68</v>
      </c>
      <c r="F327" t="s">
        <v>27</v>
      </c>
      <c r="G327" s="1">
        <v>46037</v>
      </c>
      <c r="H327" s="1">
        <v>46067</v>
      </c>
      <c r="I327">
        <v>30</v>
      </c>
      <c r="J327">
        <v>35763.230000000003</v>
      </c>
      <c r="K327">
        <v>35763.230000000003</v>
      </c>
      <c r="L327">
        <v>0</v>
      </c>
      <c r="M327" s="1">
        <v>46067</v>
      </c>
      <c r="N327" t="s">
        <v>28</v>
      </c>
      <c r="O327" t="s">
        <v>69</v>
      </c>
      <c r="P327">
        <v>30</v>
      </c>
      <c r="Q327">
        <v>0</v>
      </c>
      <c r="R327" t="s">
        <v>30</v>
      </c>
      <c r="S327" t="s">
        <v>30</v>
      </c>
      <c r="T327">
        <v>0.01</v>
      </c>
      <c r="U327" t="s">
        <v>31</v>
      </c>
      <c r="V327">
        <v>0</v>
      </c>
    </row>
    <row r="328" spans="1:22" x14ac:dyDescent="0.25">
      <c r="A328" t="s">
        <v>424</v>
      </c>
      <c r="B328" t="s">
        <v>52</v>
      </c>
      <c r="C328" t="s">
        <v>53</v>
      </c>
      <c r="D328" t="s">
        <v>54</v>
      </c>
      <c r="E328" t="s">
        <v>68</v>
      </c>
      <c r="F328" t="s">
        <v>50</v>
      </c>
      <c r="G328" s="1">
        <v>45757</v>
      </c>
      <c r="H328" s="1">
        <v>45787</v>
      </c>
      <c r="I328">
        <v>30</v>
      </c>
      <c r="J328">
        <v>1742.76</v>
      </c>
      <c r="K328">
        <v>1742.76</v>
      </c>
      <c r="L328">
        <v>0</v>
      </c>
      <c r="M328" s="1">
        <v>45795</v>
      </c>
      <c r="N328" t="s">
        <v>28</v>
      </c>
      <c r="O328" t="s">
        <v>77</v>
      </c>
      <c r="P328">
        <v>38</v>
      </c>
      <c r="Q328">
        <v>-8</v>
      </c>
      <c r="R328" t="s">
        <v>31</v>
      </c>
      <c r="S328" t="s">
        <v>30</v>
      </c>
      <c r="T328">
        <v>0.01</v>
      </c>
      <c r="U328" t="s">
        <v>31</v>
      </c>
      <c r="V328">
        <v>0</v>
      </c>
    </row>
    <row r="329" spans="1:22" x14ac:dyDescent="0.25">
      <c r="A329" t="s">
        <v>425</v>
      </c>
      <c r="B329" t="s">
        <v>85</v>
      </c>
      <c r="C329" t="s">
        <v>86</v>
      </c>
      <c r="D329" t="s">
        <v>25</v>
      </c>
      <c r="E329" t="s">
        <v>63</v>
      </c>
      <c r="F329" t="s">
        <v>64</v>
      </c>
      <c r="G329" s="1">
        <v>46086</v>
      </c>
      <c r="H329" s="1">
        <v>46146</v>
      </c>
      <c r="I329">
        <v>60</v>
      </c>
      <c r="J329">
        <v>19346.93</v>
      </c>
      <c r="K329">
        <v>0</v>
      </c>
      <c r="L329">
        <v>19346.93</v>
      </c>
      <c r="N329" t="s">
        <v>59</v>
      </c>
      <c r="O329" t="s">
        <v>77</v>
      </c>
      <c r="Q329">
        <v>-27</v>
      </c>
      <c r="R329" t="s">
        <v>31</v>
      </c>
      <c r="S329" t="s">
        <v>30</v>
      </c>
      <c r="T329">
        <v>0.01</v>
      </c>
      <c r="U329" t="s">
        <v>31</v>
      </c>
      <c r="V329">
        <v>0</v>
      </c>
    </row>
    <row r="330" spans="1:22" x14ac:dyDescent="0.25">
      <c r="A330" t="s">
        <v>426</v>
      </c>
      <c r="B330" t="s">
        <v>52</v>
      </c>
      <c r="C330" t="s">
        <v>53</v>
      </c>
      <c r="D330" t="s">
        <v>54</v>
      </c>
      <c r="E330" t="s">
        <v>45</v>
      </c>
      <c r="F330" t="s">
        <v>92</v>
      </c>
      <c r="G330" s="1">
        <v>45693</v>
      </c>
      <c r="H330" s="1">
        <v>45753</v>
      </c>
      <c r="I330">
        <v>60</v>
      </c>
      <c r="J330">
        <v>7780.47</v>
      </c>
      <c r="K330">
        <v>4969.91</v>
      </c>
      <c r="L330">
        <v>2810.56</v>
      </c>
      <c r="M330" s="1">
        <v>45767</v>
      </c>
      <c r="N330" t="s">
        <v>98</v>
      </c>
      <c r="O330" t="s">
        <v>77</v>
      </c>
      <c r="P330">
        <v>74</v>
      </c>
      <c r="Q330">
        <v>-14</v>
      </c>
      <c r="R330" t="s">
        <v>31</v>
      </c>
      <c r="S330" t="s">
        <v>31</v>
      </c>
      <c r="T330">
        <v>0</v>
      </c>
      <c r="U330" t="s">
        <v>31</v>
      </c>
      <c r="V330">
        <v>0</v>
      </c>
    </row>
    <row r="331" spans="1:22" x14ac:dyDescent="0.25">
      <c r="A331" t="s">
        <v>427</v>
      </c>
      <c r="B331" t="s">
        <v>75</v>
      </c>
      <c r="C331" t="s">
        <v>76</v>
      </c>
      <c r="D331" t="s">
        <v>35</v>
      </c>
      <c r="E331" t="s">
        <v>26</v>
      </c>
      <c r="F331" t="s">
        <v>41</v>
      </c>
      <c r="G331" s="1">
        <v>45874</v>
      </c>
      <c r="H331" s="1">
        <v>45904</v>
      </c>
      <c r="I331">
        <v>30</v>
      </c>
      <c r="J331">
        <v>65634.55</v>
      </c>
      <c r="K331">
        <v>65634.55</v>
      </c>
      <c r="L331">
        <v>0</v>
      </c>
      <c r="M331" s="1">
        <v>45912</v>
      </c>
      <c r="N331" t="s">
        <v>28</v>
      </c>
      <c r="O331" t="s">
        <v>36</v>
      </c>
      <c r="P331">
        <v>38</v>
      </c>
      <c r="Q331">
        <v>-8</v>
      </c>
      <c r="R331" t="s">
        <v>31</v>
      </c>
      <c r="S331" t="s">
        <v>30</v>
      </c>
      <c r="T331">
        <v>0.01</v>
      </c>
      <c r="U331" t="s">
        <v>31</v>
      </c>
      <c r="V331">
        <v>0</v>
      </c>
    </row>
    <row r="332" spans="1:22" x14ac:dyDescent="0.25">
      <c r="A332" t="s">
        <v>428</v>
      </c>
      <c r="B332" t="s">
        <v>23</v>
      </c>
      <c r="C332" t="s">
        <v>24</v>
      </c>
      <c r="D332" t="s">
        <v>25</v>
      </c>
      <c r="E332" t="s">
        <v>40</v>
      </c>
      <c r="F332" t="s">
        <v>50</v>
      </c>
      <c r="G332" s="1">
        <v>45726</v>
      </c>
      <c r="H332" s="1">
        <v>45786</v>
      </c>
      <c r="I332">
        <v>60</v>
      </c>
      <c r="J332">
        <v>2653.52</v>
      </c>
      <c r="K332">
        <v>2653.52</v>
      </c>
      <c r="L332">
        <v>0</v>
      </c>
      <c r="M332" s="1">
        <v>45786</v>
      </c>
      <c r="N332" t="s">
        <v>28</v>
      </c>
      <c r="O332" t="s">
        <v>29</v>
      </c>
      <c r="P332">
        <v>60</v>
      </c>
      <c r="Q332">
        <v>0</v>
      </c>
      <c r="R332" t="s">
        <v>30</v>
      </c>
      <c r="S332" t="s">
        <v>30</v>
      </c>
      <c r="T332">
        <v>0.01</v>
      </c>
      <c r="U332" t="s">
        <v>31</v>
      </c>
      <c r="V332">
        <v>0</v>
      </c>
    </row>
    <row r="333" spans="1:22" x14ac:dyDescent="0.25">
      <c r="A333" t="s">
        <v>429</v>
      </c>
      <c r="B333" t="s">
        <v>131</v>
      </c>
      <c r="C333" t="s">
        <v>132</v>
      </c>
      <c r="D333" t="s">
        <v>49</v>
      </c>
      <c r="E333" t="s">
        <v>63</v>
      </c>
      <c r="F333" t="s">
        <v>41</v>
      </c>
      <c r="G333" s="1">
        <v>45773</v>
      </c>
      <c r="H333" s="1">
        <v>45833</v>
      </c>
      <c r="I333">
        <v>60</v>
      </c>
      <c r="J333">
        <v>21893.24</v>
      </c>
      <c r="K333">
        <v>21893.24</v>
      </c>
      <c r="L333">
        <v>0</v>
      </c>
      <c r="M333" s="1">
        <v>45833</v>
      </c>
      <c r="N333" t="s">
        <v>28</v>
      </c>
      <c r="O333" t="s">
        <v>77</v>
      </c>
      <c r="P333">
        <v>60</v>
      </c>
      <c r="Q333">
        <v>0</v>
      </c>
      <c r="R333" t="s">
        <v>30</v>
      </c>
      <c r="S333" t="s">
        <v>30</v>
      </c>
      <c r="T333">
        <v>0.01</v>
      </c>
      <c r="U333" t="s">
        <v>31</v>
      </c>
      <c r="V333">
        <v>0</v>
      </c>
    </row>
    <row r="334" spans="1:22" x14ac:dyDescent="0.25">
      <c r="A334" t="s">
        <v>430</v>
      </c>
      <c r="B334" t="s">
        <v>109</v>
      </c>
      <c r="C334" t="s">
        <v>110</v>
      </c>
      <c r="D334" t="s">
        <v>49</v>
      </c>
      <c r="E334" t="s">
        <v>63</v>
      </c>
      <c r="F334" t="s">
        <v>27</v>
      </c>
      <c r="G334" s="1">
        <v>46078</v>
      </c>
      <c r="H334" s="1">
        <v>46138</v>
      </c>
      <c r="I334">
        <v>60</v>
      </c>
      <c r="J334">
        <v>14678.56</v>
      </c>
      <c r="K334">
        <v>14678.56</v>
      </c>
      <c r="L334">
        <v>0</v>
      </c>
      <c r="M334" s="1">
        <v>46120</v>
      </c>
      <c r="N334" t="s">
        <v>28</v>
      </c>
      <c r="O334" t="s">
        <v>29</v>
      </c>
      <c r="P334">
        <v>42</v>
      </c>
      <c r="Q334">
        <v>18</v>
      </c>
      <c r="R334" t="s">
        <v>30</v>
      </c>
      <c r="S334" t="s">
        <v>30</v>
      </c>
      <c r="T334">
        <v>0.01</v>
      </c>
      <c r="U334" t="s">
        <v>31</v>
      </c>
      <c r="V334">
        <v>0</v>
      </c>
    </row>
    <row r="335" spans="1:22" x14ac:dyDescent="0.25">
      <c r="A335" t="s">
        <v>431</v>
      </c>
      <c r="B335" t="s">
        <v>120</v>
      </c>
      <c r="C335" t="s">
        <v>121</v>
      </c>
      <c r="D335" t="s">
        <v>54</v>
      </c>
      <c r="E335" t="s">
        <v>68</v>
      </c>
      <c r="F335" t="s">
        <v>41</v>
      </c>
      <c r="G335" s="1">
        <v>45697</v>
      </c>
      <c r="H335" s="1">
        <v>45757</v>
      </c>
      <c r="I335">
        <v>60</v>
      </c>
      <c r="J335">
        <v>6238.99</v>
      </c>
      <c r="K335">
        <v>6238.99</v>
      </c>
      <c r="L335">
        <v>0</v>
      </c>
      <c r="M335" s="1">
        <v>45765</v>
      </c>
      <c r="N335" t="s">
        <v>28</v>
      </c>
      <c r="O335" t="s">
        <v>36</v>
      </c>
      <c r="P335">
        <v>68</v>
      </c>
      <c r="Q335">
        <v>-8</v>
      </c>
      <c r="R335" t="s">
        <v>31</v>
      </c>
      <c r="S335" t="s">
        <v>31</v>
      </c>
      <c r="T335">
        <v>0</v>
      </c>
      <c r="U335" t="s">
        <v>31</v>
      </c>
      <c r="V335">
        <v>0</v>
      </c>
    </row>
    <row r="336" spans="1:22" x14ac:dyDescent="0.25">
      <c r="A336" t="s">
        <v>432</v>
      </c>
      <c r="B336" t="s">
        <v>131</v>
      </c>
      <c r="C336" t="s">
        <v>132</v>
      </c>
      <c r="D336" t="s">
        <v>49</v>
      </c>
      <c r="E336" t="s">
        <v>68</v>
      </c>
      <c r="F336" t="s">
        <v>27</v>
      </c>
      <c r="G336" s="1">
        <v>45976</v>
      </c>
      <c r="H336" s="1">
        <v>46021</v>
      </c>
      <c r="I336">
        <v>45</v>
      </c>
      <c r="J336">
        <v>15456.64</v>
      </c>
      <c r="K336">
        <v>15456.64</v>
      </c>
      <c r="L336">
        <v>0</v>
      </c>
      <c r="M336" s="1">
        <v>46023</v>
      </c>
      <c r="N336" t="s">
        <v>28</v>
      </c>
      <c r="O336" t="s">
        <v>29</v>
      </c>
      <c r="P336">
        <v>47</v>
      </c>
      <c r="Q336">
        <v>-2</v>
      </c>
      <c r="R336" t="s">
        <v>31</v>
      </c>
      <c r="S336" t="s">
        <v>30</v>
      </c>
      <c r="T336">
        <v>1.4999999999999999E-2</v>
      </c>
      <c r="U336" t="s">
        <v>31</v>
      </c>
      <c r="V336">
        <v>0</v>
      </c>
    </row>
    <row r="337" spans="1:22" x14ac:dyDescent="0.25">
      <c r="A337" t="s">
        <v>433</v>
      </c>
      <c r="B337" t="s">
        <v>109</v>
      </c>
      <c r="C337" t="s">
        <v>110</v>
      </c>
      <c r="D337" t="s">
        <v>49</v>
      </c>
      <c r="E337" t="s">
        <v>40</v>
      </c>
      <c r="F337" t="s">
        <v>64</v>
      </c>
      <c r="G337" s="1">
        <v>45986</v>
      </c>
      <c r="H337" s="1">
        <v>46076</v>
      </c>
      <c r="I337">
        <v>90</v>
      </c>
      <c r="J337">
        <v>14932.16</v>
      </c>
      <c r="K337">
        <v>14932.16</v>
      </c>
      <c r="L337">
        <v>0</v>
      </c>
      <c r="M337" s="1">
        <v>46078</v>
      </c>
      <c r="N337" t="s">
        <v>28</v>
      </c>
      <c r="O337" t="s">
        <v>29</v>
      </c>
      <c r="P337">
        <v>92</v>
      </c>
      <c r="Q337">
        <v>-2</v>
      </c>
      <c r="R337" t="s">
        <v>31</v>
      </c>
      <c r="S337" t="s">
        <v>30</v>
      </c>
      <c r="T337">
        <v>5.0000000000000001E-3</v>
      </c>
      <c r="U337" t="s">
        <v>31</v>
      </c>
      <c r="V337">
        <v>0</v>
      </c>
    </row>
    <row r="338" spans="1:22" x14ac:dyDescent="0.25">
      <c r="A338" t="s">
        <v>434</v>
      </c>
      <c r="B338" t="s">
        <v>38</v>
      </c>
      <c r="C338" t="s">
        <v>39</v>
      </c>
      <c r="D338" t="s">
        <v>35</v>
      </c>
      <c r="E338" t="s">
        <v>45</v>
      </c>
      <c r="F338" t="s">
        <v>50</v>
      </c>
      <c r="G338" s="1">
        <v>45820</v>
      </c>
      <c r="H338" s="1">
        <v>45835</v>
      </c>
      <c r="I338">
        <v>15</v>
      </c>
      <c r="J338">
        <v>9921.27</v>
      </c>
      <c r="K338">
        <v>9921.27</v>
      </c>
      <c r="L338">
        <v>0</v>
      </c>
      <c r="M338" s="1">
        <v>45840</v>
      </c>
      <c r="N338" t="s">
        <v>28</v>
      </c>
      <c r="O338" t="s">
        <v>29</v>
      </c>
      <c r="P338">
        <v>20</v>
      </c>
      <c r="Q338">
        <v>-5</v>
      </c>
      <c r="R338" t="s">
        <v>31</v>
      </c>
      <c r="S338" t="s">
        <v>31</v>
      </c>
      <c r="T338">
        <v>0</v>
      </c>
      <c r="U338" t="s">
        <v>31</v>
      </c>
      <c r="V338">
        <v>0</v>
      </c>
    </row>
    <row r="339" spans="1:22" x14ac:dyDescent="0.25">
      <c r="A339" t="s">
        <v>435</v>
      </c>
      <c r="B339" t="s">
        <v>85</v>
      </c>
      <c r="C339" t="s">
        <v>86</v>
      </c>
      <c r="D339" t="s">
        <v>25</v>
      </c>
      <c r="E339" t="s">
        <v>63</v>
      </c>
      <c r="F339" t="s">
        <v>50</v>
      </c>
      <c r="G339" s="1">
        <v>45855</v>
      </c>
      <c r="H339" s="1">
        <v>45885</v>
      </c>
      <c r="I339">
        <v>30</v>
      </c>
      <c r="J339">
        <v>17628.43</v>
      </c>
      <c r="K339">
        <v>17628.43</v>
      </c>
      <c r="L339">
        <v>0</v>
      </c>
      <c r="M339" s="1">
        <v>45887</v>
      </c>
      <c r="N339" t="s">
        <v>28</v>
      </c>
      <c r="O339" t="s">
        <v>77</v>
      </c>
      <c r="P339">
        <v>32</v>
      </c>
      <c r="Q339">
        <v>-2</v>
      </c>
      <c r="R339" t="s">
        <v>31</v>
      </c>
      <c r="S339" t="s">
        <v>30</v>
      </c>
      <c r="T339">
        <v>0.01</v>
      </c>
      <c r="U339" t="s">
        <v>31</v>
      </c>
      <c r="V339">
        <v>0</v>
      </c>
    </row>
    <row r="340" spans="1:22" x14ac:dyDescent="0.25">
      <c r="A340" t="s">
        <v>436</v>
      </c>
      <c r="B340" t="s">
        <v>128</v>
      </c>
      <c r="C340" t="s">
        <v>129</v>
      </c>
      <c r="D340" t="s">
        <v>73</v>
      </c>
      <c r="E340" t="s">
        <v>40</v>
      </c>
      <c r="F340" t="s">
        <v>92</v>
      </c>
      <c r="G340" s="1">
        <v>46064</v>
      </c>
      <c r="H340" s="1">
        <v>46154</v>
      </c>
      <c r="I340">
        <v>90</v>
      </c>
      <c r="J340">
        <v>22968.52</v>
      </c>
      <c r="K340">
        <v>0</v>
      </c>
      <c r="L340">
        <v>22968.52</v>
      </c>
      <c r="N340" t="s">
        <v>93</v>
      </c>
      <c r="O340" t="s">
        <v>29</v>
      </c>
      <c r="S340" t="s">
        <v>30</v>
      </c>
      <c r="T340">
        <v>5.0000000000000001E-3</v>
      </c>
      <c r="U340" t="s">
        <v>31</v>
      </c>
      <c r="V340">
        <v>0</v>
      </c>
    </row>
    <row r="341" spans="1:22" x14ac:dyDescent="0.25">
      <c r="A341" t="s">
        <v>437</v>
      </c>
      <c r="B341" t="s">
        <v>187</v>
      </c>
      <c r="C341" t="s">
        <v>188</v>
      </c>
      <c r="D341" t="s">
        <v>73</v>
      </c>
      <c r="E341" t="s">
        <v>45</v>
      </c>
      <c r="F341" t="s">
        <v>64</v>
      </c>
      <c r="G341" s="1">
        <v>46010</v>
      </c>
      <c r="H341" s="1">
        <v>46070</v>
      </c>
      <c r="I341">
        <v>60</v>
      </c>
      <c r="J341">
        <v>7395.95</v>
      </c>
      <c r="K341">
        <v>7395.95</v>
      </c>
      <c r="L341">
        <v>0</v>
      </c>
      <c r="M341" s="1">
        <v>46070</v>
      </c>
      <c r="N341" t="s">
        <v>28</v>
      </c>
      <c r="O341" t="s">
        <v>69</v>
      </c>
      <c r="P341">
        <v>60</v>
      </c>
      <c r="Q341">
        <v>0</v>
      </c>
      <c r="R341" t="s">
        <v>30</v>
      </c>
      <c r="S341" t="s">
        <v>31</v>
      </c>
      <c r="T341">
        <v>0</v>
      </c>
      <c r="U341" t="s">
        <v>31</v>
      </c>
      <c r="V341">
        <v>0</v>
      </c>
    </row>
    <row r="342" spans="1:22" x14ac:dyDescent="0.25">
      <c r="A342" t="s">
        <v>438</v>
      </c>
      <c r="B342" t="s">
        <v>61</v>
      </c>
      <c r="C342" t="s">
        <v>62</v>
      </c>
      <c r="D342" t="s">
        <v>35</v>
      </c>
      <c r="E342" t="s">
        <v>26</v>
      </c>
      <c r="F342" t="s">
        <v>92</v>
      </c>
      <c r="G342" s="1">
        <v>45708</v>
      </c>
      <c r="H342" s="1">
        <v>45768</v>
      </c>
      <c r="I342">
        <v>60</v>
      </c>
      <c r="J342">
        <v>17218.060000000001</v>
      </c>
      <c r="K342">
        <v>0</v>
      </c>
      <c r="L342">
        <v>17218.060000000001</v>
      </c>
      <c r="N342" t="s">
        <v>59</v>
      </c>
      <c r="O342" t="s">
        <v>77</v>
      </c>
      <c r="Q342">
        <v>-405</v>
      </c>
      <c r="R342" t="s">
        <v>31</v>
      </c>
      <c r="S342" t="s">
        <v>30</v>
      </c>
      <c r="T342">
        <v>0.01</v>
      </c>
      <c r="U342" t="s">
        <v>31</v>
      </c>
      <c r="V342">
        <v>0</v>
      </c>
    </row>
    <row r="343" spans="1:22" x14ac:dyDescent="0.25">
      <c r="A343" t="s">
        <v>439</v>
      </c>
      <c r="B343" t="s">
        <v>52</v>
      </c>
      <c r="C343" t="s">
        <v>53</v>
      </c>
      <c r="D343" t="s">
        <v>54</v>
      </c>
      <c r="E343" t="s">
        <v>40</v>
      </c>
      <c r="F343" t="s">
        <v>64</v>
      </c>
      <c r="G343" s="1">
        <v>45678</v>
      </c>
      <c r="H343" s="1">
        <v>45738</v>
      </c>
      <c r="I343">
        <v>60</v>
      </c>
      <c r="J343">
        <v>13037.13</v>
      </c>
      <c r="K343">
        <v>13037.13</v>
      </c>
      <c r="L343">
        <v>0</v>
      </c>
      <c r="M343" s="1">
        <v>45734</v>
      </c>
      <c r="N343" t="s">
        <v>28</v>
      </c>
      <c r="O343" t="s">
        <v>29</v>
      </c>
      <c r="P343">
        <v>56</v>
      </c>
      <c r="Q343">
        <v>4</v>
      </c>
      <c r="R343" t="s">
        <v>30</v>
      </c>
      <c r="S343" t="s">
        <v>31</v>
      </c>
      <c r="T343">
        <v>0</v>
      </c>
      <c r="U343" t="s">
        <v>31</v>
      </c>
      <c r="V343">
        <v>0</v>
      </c>
    </row>
    <row r="344" spans="1:22" x14ac:dyDescent="0.25">
      <c r="A344" t="s">
        <v>440</v>
      </c>
      <c r="B344" t="s">
        <v>120</v>
      </c>
      <c r="C344" t="s">
        <v>121</v>
      </c>
      <c r="D344" t="s">
        <v>54</v>
      </c>
      <c r="E344" t="s">
        <v>63</v>
      </c>
      <c r="F344" t="s">
        <v>27</v>
      </c>
      <c r="G344" s="1">
        <v>45970</v>
      </c>
      <c r="H344" s="1">
        <v>46015</v>
      </c>
      <c r="I344">
        <v>45</v>
      </c>
      <c r="J344">
        <v>10834.74</v>
      </c>
      <c r="K344">
        <v>10834.74</v>
      </c>
      <c r="L344">
        <v>0</v>
      </c>
      <c r="M344" s="1">
        <v>46015</v>
      </c>
      <c r="N344" t="s">
        <v>28</v>
      </c>
      <c r="O344" t="s">
        <v>36</v>
      </c>
      <c r="P344">
        <v>45</v>
      </c>
      <c r="Q344">
        <v>0</v>
      </c>
      <c r="R344" t="s">
        <v>30</v>
      </c>
      <c r="S344" t="s">
        <v>31</v>
      </c>
      <c r="T344">
        <v>0</v>
      </c>
      <c r="U344" t="s">
        <v>31</v>
      </c>
      <c r="V344">
        <v>0</v>
      </c>
    </row>
    <row r="345" spans="1:22" x14ac:dyDescent="0.25">
      <c r="A345" t="s">
        <v>441</v>
      </c>
      <c r="B345" t="s">
        <v>47</v>
      </c>
      <c r="C345" t="s">
        <v>48</v>
      </c>
      <c r="D345" t="s">
        <v>49</v>
      </c>
      <c r="E345" t="s">
        <v>68</v>
      </c>
      <c r="F345" t="s">
        <v>41</v>
      </c>
      <c r="G345" s="1">
        <v>46135</v>
      </c>
      <c r="H345" s="1">
        <v>46165</v>
      </c>
      <c r="I345">
        <v>30</v>
      </c>
      <c r="J345">
        <v>16502.96</v>
      </c>
      <c r="K345">
        <v>16502.96</v>
      </c>
      <c r="L345">
        <v>0</v>
      </c>
      <c r="M345" s="1">
        <v>46173</v>
      </c>
      <c r="N345" t="s">
        <v>28</v>
      </c>
      <c r="O345" t="s">
        <v>29</v>
      </c>
      <c r="P345">
        <v>38</v>
      </c>
      <c r="Q345">
        <v>-8</v>
      </c>
      <c r="R345" t="s">
        <v>31</v>
      </c>
      <c r="S345" t="s">
        <v>30</v>
      </c>
      <c r="T345">
        <v>0.01</v>
      </c>
      <c r="U345" t="s">
        <v>31</v>
      </c>
      <c r="V345">
        <v>0</v>
      </c>
    </row>
    <row r="346" spans="1:22" x14ac:dyDescent="0.25">
      <c r="A346" t="s">
        <v>442</v>
      </c>
      <c r="B346" t="s">
        <v>128</v>
      </c>
      <c r="C346" t="s">
        <v>129</v>
      </c>
      <c r="D346" t="s">
        <v>73</v>
      </c>
      <c r="E346" t="s">
        <v>63</v>
      </c>
      <c r="F346" t="s">
        <v>50</v>
      </c>
      <c r="G346" s="1">
        <v>45768</v>
      </c>
      <c r="H346" s="1">
        <v>45813</v>
      </c>
      <c r="I346">
        <v>45</v>
      </c>
      <c r="J346">
        <v>17897.37</v>
      </c>
      <c r="K346">
        <v>17897.37</v>
      </c>
      <c r="L346">
        <v>0</v>
      </c>
      <c r="M346" s="1">
        <v>45814</v>
      </c>
      <c r="N346" t="s">
        <v>28</v>
      </c>
      <c r="O346" t="s">
        <v>29</v>
      </c>
      <c r="P346">
        <v>46</v>
      </c>
      <c r="Q346">
        <v>-1</v>
      </c>
      <c r="R346" t="s">
        <v>31</v>
      </c>
      <c r="S346" t="s">
        <v>30</v>
      </c>
      <c r="T346">
        <v>1.4999999999999999E-2</v>
      </c>
      <c r="U346" t="s">
        <v>31</v>
      </c>
      <c r="V346">
        <v>0</v>
      </c>
    </row>
    <row r="347" spans="1:22" x14ac:dyDescent="0.25">
      <c r="A347" t="s">
        <v>443</v>
      </c>
      <c r="B347" t="s">
        <v>143</v>
      </c>
      <c r="C347" t="s">
        <v>144</v>
      </c>
      <c r="D347" t="s">
        <v>25</v>
      </c>
      <c r="E347" t="s">
        <v>68</v>
      </c>
      <c r="F347" t="s">
        <v>92</v>
      </c>
      <c r="G347" s="1">
        <v>45811</v>
      </c>
      <c r="H347" s="1">
        <v>45841</v>
      </c>
      <c r="I347">
        <v>30</v>
      </c>
      <c r="J347">
        <v>10828.58</v>
      </c>
      <c r="K347">
        <v>10828.58</v>
      </c>
      <c r="L347">
        <v>0</v>
      </c>
      <c r="M347" s="1">
        <v>45850</v>
      </c>
      <c r="N347" t="s">
        <v>28</v>
      </c>
      <c r="O347" t="s">
        <v>29</v>
      </c>
      <c r="P347">
        <v>39</v>
      </c>
      <c r="Q347">
        <v>-9</v>
      </c>
      <c r="R347" t="s">
        <v>31</v>
      </c>
      <c r="S347" t="s">
        <v>30</v>
      </c>
      <c r="T347">
        <v>0.01</v>
      </c>
      <c r="U347" t="s">
        <v>31</v>
      </c>
      <c r="V347">
        <v>0</v>
      </c>
    </row>
    <row r="348" spans="1:22" x14ac:dyDescent="0.25">
      <c r="A348" t="s">
        <v>444</v>
      </c>
      <c r="B348" t="s">
        <v>47</v>
      </c>
      <c r="C348" t="s">
        <v>48</v>
      </c>
      <c r="D348" t="s">
        <v>49</v>
      </c>
      <c r="E348" t="s">
        <v>68</v>
      </c>
      <c r="F348" t="s">
        <v>64</v>
      </c>
      <c r="G348" s="1">
        <v>45960</v>
      </c>
      <c r="H348" s="1">
        <v>46050</v>
      </c>
      <c r="I348">
        <v>90</v>
      </c>
      <c r="J348">
        <v>14452.46</v>
      </c>
      <c r="K348">
        <v>14452.46</v>
      </c>
      <c r="L348">
        <v>0</v>
      </c>
      <c r="M348" s="1">
        <v>46039</v>
      </c>
      <c r="N348" t="s">
        <v>28</v>
      </c>
      <c r="O348" t="s">
        <v>77</v>
      </c>
      <c r="P348">
        <v>79</v>
      </c>
      <c r="Q348">
        <v>11</v>
      </c>
      <c r="R348" t="s">
        <v>30</v>
      </c>
      <c r="S348" t="s">
        <v>30</v>
      </c>
      <c r="T348">
        <v>5.0000000000000001E-3</v>
      </c>
      <c r="U348" t="s">
        <v>31</v>
      </c>
      <c r="V348">
        <v>0</v>
      </c>
    </row>
    <row r="349" spans="1:22" x14ac:dyDescent="0.25">
      <c r="A349" t="s">
        <v>445</v>
      </c>
      <c r="B349" t="s">
        <v>33</v>
      </c>
      <c r="C349" t="s">
        <v>34</v>
      </c>
      <c r="D349" t="s">
        <v>35</v>
      </c>
      <c r="E349" t="s">
        <v>63</v>
      </c>
      <c r="F349" t="s">
        <v>50</v>
      </c>
      <c r="G349" s="1">
        <v>45885</v>
      </c>
      <c r="H349" s="1">
        <v>45945</v>
      </c>
      <c r="I349">
        <v>60</v>
      </c>
      <c r="J349">
        <v>56473.86</v>
      </c>
      <c r="K349">
        <v>56473.86</v>
      </c>
      <c r="L349">
        <v>0</v>
      </c>
      <c r="M349" s="1">
        <v>45952</v>
      </c>
      <c r="N349" t="s">
        <v>28</v>
      </c>
      <c r="O349" t="s">
        <v>36</v>
      </c>
      <c r="P349">
        <v>67</v>
      </c>
      <c r="Q349">
        <v>-7</v>
      </c>
      <c r="R349" t="s">
        <v>31</v>
      </c>
      <c r="S349" t="s">
        <v>30</v>
      </c>
      <c r="T349">
        <v>0.01</v>
      </c>
      <c r="U349" t="s">
        <v>31</v>
      </c>
      <c r="V349">
        <v>0</v>
      </c>
    </row>
    <row r="350" spans="1:22" x14ac:dyDescent="0.25">
      <c r="A350" t="s">
        <v>446</v>
      </c>
      <c r="B350" t="s">
        <v>88</v>
      </c>
      <c r="C350" t="s">
        <v>89</v>
      </c>
      <c r="D350" t="s">
        <v>35</v>
      </c>
      <c r="E350" t="s">
        <v>40</v>
      </c>
      <c r="F350" t="s">
        <v>50</v>
      </c>
      <c r="G350" s="1">
        <v>45757</v>
      </c>
      <c r="H350" s="1">
        <v>45802</v>
      </c>
      <c r="I350">
        <v>45</v>
      </c>
      <c r="J350">
        <v>40308.57</v>
      </c>
      <c r="K350">
        <v>40308.57</v>
      </c>
      <c r="L350">
        <v>0</v>
      </c>
      <c r="M350" s="1">
        <v>45800</v>
      </c>
      <c r="N350" t="s">
        <v>28</v>
      </c>
      <c r="O350" t="s">
        <v>36</v>
      </c>
      <c r="P350">
        <v>43</v>
      </c>
      <c r="Q350">
        <v>2</v>
      </c>
      <c r="R350" t="s">
        <v>30</v>
      </c>
      <c r="S350" t="s">
        <v>31</v>
      </c>
      <c r="T350">
        <v>0</v>
      </c>
      <c r="U350" t="s">
        <v>31</v>
      </c>
      <c r="V350">
        <v>0</v>
      </c>
    </row>
    <row r="351" spans="1:22" x14ac:dyDescent="0.25">
      <c r="A351" t="s">
        <v>447</v>
      </c>
      <c r="B351" t="s">
        <v>79</v>
      </c>
      <c r="C351" t="s">
        <v>80</v>
      </c>
      <c r="D351" t="s">
        <v>49</v>
      </c>
      <c r="E351" t="s">
        <v>40</v>
      </c>
      <c r="F351" t="s">
        <v>92</v>
      </c>
      <c r="G351" s="1">
        <v>46021</v>
      </c>
      <c r="H351" s="1">
        <v>46051</v>
      </c>
      <c r="I351">
        <v>30</v>
      </c>
      <c r="J351">
        <v>12719.74</v>
      </c>
      <c r="K351">
        <v>12719.74</v>
      </c>
      <c r="L351">
        <v>0</v>
      </c>
      <c r="M351" s="1">
        <v>46056</v>
      </c>
      <c r="N351" t="s">
        <v>28</v>
      </c>
      <c r="O351" t="s">
        <v>77</v>
      </c>
      <c r="P351">
        <v>35</v>
      </c>
      <c r="Q351">
        <v>-5</v>
      </c>
      <c r="R351" t="s">
        <v>31</v>
      </c>
      <c r="S351" t="s">
        <v>31</v>
      </c>
      <c r="T351">
        <v>0</v>
      </c>
      <c r="U351" t="s">
        <v>31</v>
      </c>
      <c r="V351">
        <v>0</v>
      </c>
    </row>
    <row r="352" spans="1:22" x14ac:dyDescent="0.25">
      <c r="A352" t="s">
        <v>448</v>
      </c>
      <c r="B352" t="s">
        <v>66</v>
      </c>
      <c r="C352" t="s">
        <v>67</v>
      </c>
      <c r="D352" t="s">
        <v>35</v>
      </c>
      <c r="E352" t="s">
        <v>68</v>
      </c>
      <c r="F352" t="s">
        <v>41</v>
      </c>
      <c r="G352" s="1">
        <v>45712</v>
      </c>
      <c r="H352" s="1">
        <v>45802</v>
      </c>
      <c r="I352">
        <v>90</v>
      </c>
      <c r="J352">
        <v>69979.5</v>
      </c>
      <c r="K352">
        <v>0</v>
      </c>
      <c r="L352">
        <v>69979.5</v>
      </c>
      <c r="N352" t="s">
        <v>59</v>
      </c>
      <c r="O352" t="s">
        <v>77</v>
      </c>
      <c r="Q352">
        <v>-371</v>
      </c>
      <c r="R352" t="s">
        <v>31</v>
      </c>
      <c r="S352" t="s">
        <v>30</v>
      </c>
      <c r="T352">
        <v>5.0000000000000001E-3</v>
      </c>
      <c r="U352" t="s">
        <v>31</v>
      </c>
      <c r="V352">
        <v>0</v>
      </c>
    </row>
    <row r="353" spans="1:22" x14ac:dyDescent="0.25">
      <c r="A353" t="s">
        <v>449</v>
      </c>
      <c r="B353" t="s">
        <v>43</v>
      </c>
      <c r="C353" t="s">
        <v>44</v>
      </c>
      <c r="D353" t="s">
        <v>25</v>
      </c>
      <c r="E353" t="s">
        <v>45</v>
      </c>
      <c r="F353" t="s">
        <v>64</v>
      </c>
      <c r="G353" s="1">
        <v>45963</v>
      </c>
      <c r="H353" s="1">
        <v>46023</v>
      </c>
      <c r="I353">
        <v>60</v>
      </c>
      <c r="J353">
        <v>8849.0400000000009</v>
      </c>
      <c r="K353">
        <v>8849.0400000000009</v>
      </c>
      <c r="L353">
        <v>0</v>
      </c>
      <c r="M353" s="1">
        <v>46018</v>
      </c>
      <c r="N353" t="s">
        <v>28</v>
      </c>
      <c r="O353" t="s">
        <v>77</v>
      </c>
      <c r="P353">
        <v>55</v>
      </c>
      <c r="Q353">
        <v>5</v>
      </c>
      <c r="R353" t="s">
        <v>30</v>
      </c>
      <c r="S353" t="s">
        <v>31</v>
      </c>
      <c r="T353">
        <v>0</v>
      </c>
      <c r="U353" t="s">
        <v>31</v>
      </c>
      <c r="V353">
        <v>0</v>
      </c>
    </row>
    <row r="354" spans="1:22" x14ac:dyDescent="0.25">
      <c r="A354" t="s">
        <v>450</v>
      </c>
      <c r="B354" t="s">
        <v>153</v>
      </c>
      <c r="C354" t="s">
        <v>154</v>
      </c>
      <c r="D354" t="s">
        <v>58</v>
      </c>
      <c r="E354" t="s">
        <v>68</v>
      </c>
      <c r="F354" t="s">
        <v>41</v>
      </c>
      <c r="G354" s="1">
        <v>45981</v>
      </c>
      <c r="H354" s="1">
        <v>46011</v>
      </c>
      <c r="I354">
        <v>30</v>
      </c>
      <c r="J354">
        <v>34908.58</v>
      </c>
      <c r="K354">
        <v>34908.58</v>
      </c>
      <c r="L354">
        <v>0</v>
      </c>
      <c r="M354" s="1">
        <v>46000</v>
      </c>
      <c r="N354" t="s">
        <v>28</v>
      </c>
      <c r="O354" t="s">
        <v>69</v>
      </c>
      <c r="P354">
        <v>19</v>
      </c>
      <c r="Q354">
        <v>11</v>
      </c>
      <c r="R354" t="s">
        <v>30</v>
      </c>
      <c r="S354" t="s">
        <v>30</v>
      </c>
      <c r="T354">
        <v>0.01</v>
      </c>
      <c r="U354" t="s">
        <v>31</v>
      </c>
      <c r="V354">
        <v>0</v>
      </c>
    </row>
    <row r="355" spans="1:22" x14ac:dyDescent="0.25">
      <c r="A355" t="s">
        <v>451</v>
      </c>
      <c r="B355" t="s">
        <v>143</v>
      </c>
      <c r="C355" t="s">
        <v>144</v>
      </c>
      <c r="D355" t="s">
        <v>25</v>
      </c>
      <c r="E355" t="s">
        <v>26</v>
      </c>
      <c r="F355" t="s">
        <v>27</v>
      </c>
      <c r="G355" s="1">
        <v>45872</v>
      </c>
      <c r="H355" s="1">
        <v>45917</v>
      </c>
      <c r="I355">
        <v>45</v>
      </c>
      <c r="J355">
        <v>15462.67</v>
      </c>
      <c r="K355">
        <v>15462.67</v>
      </c>
      <c r="L355">
        <v>0</v>
      </c>
      <c r="M355" s="1">
        <v>45937</v>
      </c>
      <c r="N355" t="s">
        <v>28</v>
      </c>
      <c r="O355" t="s">
        <v>69</v>
      </c>
      <c r="P355">
        <v>65</v>
      </c>
      <c r="Q355">
        <v>-20</v>
      </c>
      <c r="R355" t="s">
        <v>31</v>
      </c>
      <c r="S355" t="s">
        <v>30</v>
      </c>
      <c r="T355">
        <v>1.4999999999999999E-2</v>
      </c>
      <c r="U355" t="s">
        <v>31</v>
      </c>
      <c r="V355">
        <v>0</v>
      </c>
    </row>
    <row r="356" spans="1:22" x14ac:dyDescent="0.25">
      <c r="A356" t="s">
        <v>452</v>
      </c>
      <c r="B356" t="s">
        <v>100</v>
      </c>
      <c r="C356" t="s">
        <v>101</v>
      </c>
      <c r="D356" t="s">
        <v>54</v>
      </c>
      <c r="E356" t="s">
        <v>26</v>
      </c>
      <c r="F356" t="s">
        <v>64</v>
      </c>
      <c r="G356" s="1">
        <v>46071</v>
      </c>
      <c r="H356" s="1">
        <v>46131</v>
      </c>
      <c r="I356">
        <v>60</v>
      </c>
      <c r="J356">
        <v>6720.87</v>
      </c>
      <c r="K356">
        <v>6720.87</v>
      </c>
      <c r="L356">
        <v>0</v>
      </c>
      <c r="M356" s="1">
        <v>46129</v>
      </c>
      <c r="N356" t="s">
        <v>28</v>
      </c>
      <c r="O356" t="s">
        <v>69</v>
      </c>
      <c r="P356">
        <v>58</v>
      </c>
      <c r="Q356">
        <v>2</v>
      </c>
      <c r="R356" t="s">
        <v>30</v>
      </c>
      <c r="S356" t="s">
        <v>30</v>
      </c>
      <c r="T356">
        <v>0.01</v>
      </c>
      <c r="U356" t="s">
        <v>31</v>
      </c>
      <c r="V356">
        <v>0</v>
      </c>
    </row>
    <row r="357" spans="1:22" x14ac:dyDescent="0.25">
      <c r="A357" t="s">
        <v>453</v>
      </c>
      <c r="B357" t="s">
        <v>143</v>
      </c>
      <c r="C357" t="s">
        <v>144</v>
      </c>
      <c r="D357" t="s">
        <v>25</v>
      </c>
      <c r="E357" t="s">
        <v>63</v>
      </c>
      <c r="F357" t="s">
        <v>64</v>
      </c>
      <c r="G357" s="1">
        <v>45912</v>
      </c>
      <c r="H357" s="1">
        <v>45927</v>
      </c>
      <c r="I357">
        <v>15</v>
      </c>
      <c r="J357">
        <v>5299.05</v>
      </c>
      <c r="K357">
        <v>5299.05</v>
      </c>
      <c r="L357">
        <v>0</v>
      </c>
      <c r="M357" s="1">
        <v>45913</v>
      </c>
      <c r="N357" t="s">
        <v>28</v>
      </c>
      <c r="O357" t="s">
        <v>77</v>
      </c>
      <c r="P357">
        <v>1</v>
      </c>
      <c r="Q357">
        <v>14</v>
      </c>
      <c r="R357" t="s">
        <v>30</v>
      </c>
      <c r="S357" t="s">
        <v>31</v>
      </c>
      <c r="T357">
        <v>0</v>
      </c>
      <c r="U357" t="s">
        <v>31</v>
      </c>
      <c r="V357">
        <v>0</v>
      </c>
    </row>
    <row r="358" spans="1:22" x14ac:dyDescent="0.25">
      <c r="A358" t="s">
        <v>454</v>
      </c>
      <c r="B358" t="s">
        <v>109</v>
      </c>
      <c r="C358" t="s">
        <v>110</v>
      </c>
      <c r="D358" t="s">
        <v>49</v>
      </c>
      <c r="E358" t="s">
        <v>45</v>
      </c>
      <c r="F358" t="s">
        <v>50</v>
      </c>
      <c r="G358" s="1">
        <v>45724</v>
      </c>
      <c r="H358" s="1">
        <v>45754</v>
      </c>
      <c r="I358">
        <v>30</v>
      </c>
      <c r="J358">
        <v>41544.5</v>
      </c>
      <c r="K358">
        <v>41544.5</v>
      </c>
      <c r="L358">
        <v>0</v>
      </c>
      <c r="M358" s="1">
        <v>45753</v>
      </c>
      <c r="N358" t="s">
        <v>28</v>
      </c>
      <c r="O358" t="s">
        <v>29</v>
      </c>
      <c r="P358">
        <v>29</v>
      </c>
      <c r="Q358">
        <v>1</v>
      </c>
      <c r="R358" t="s">
        <v>30</v>
      </c>
      <c r="S358" t="s">
        <v>30</v>
      </c>
      <c r="T358">
        <v>0.01</v>
      </c>
      <c r="U358" t="s">
        <v>31</v>
      </c>
      <c r="V358">
        <v>0</v>
      </c>
    </row>
    <row r="359" spans="1:22" x14ac:dyDescent="0.25">
      <c r="A359" t="s">
        <v>455</v>
      </c>
      <c r="B359" t="s">
        <v>143</v>
      </c>
      <c r="C359" t="s">
        <v>144</v>
      </c>
      <c r="D359" t="s">
        <v>25</v>
      </c>
      <c r="E359" t="s">
        <v>45</v>
      </c>
      <c r="F359" t="s">
        <v>64</v>
      </c>
      <c r="G359" s="1">
        <v>46025</v>
      </c>
      <c r="H359" s="1">
        <v>46115</v>
      </c>
      <c r="I359">
        <v>90</v>
      </c>
      <c r="J359">
        <v>15252.2</v>
      </c>
      <c r="K359">
        <v>0</v>
      </c>
      <c r="L359">
        <v>15252.2</v>
      </c>
      <c r="N359" t="s">
        <v>59</v>
      </c>
      <c r="O359" t="s">
        <v>29</v>
      </c>
      <c r="Q359">
        <v>-58</v>
      </c>
      <c r="R359" t="s">
        <v>31</v>
      </c>
      <c r="S359" t="s">
        <v>30</v>
      </c>
      <c r="T359">
        <v>5.0000000000000001E-3</v>
      </c>
      <c r="U359" t="s">
        <v>31</v>
      </c>
      <c r="V359">
        <v>0</v>
      </c>
    </row>
    <row r="360" spans="1:22" x14ac:dyDescent="0.25">
      <c r="A360" t="s">
        <v>456</v>
      </c>
      <c r="B360" t="s">
        <v>95</v>
      </c>
      <c r="C360" t="s">
        <v>96</v>
      </c>
      <c r="D360" t="s">
        <v>49</v>
      </c>
      <c r="E360" t="s">
        <v>40</v>
      </c>
      <c r="F360" t="s">
        <v>64</v>
      </c>
      <c r="G360" s="1">
        <v>45680</v>
      </c>
      <c r="H360" s="1">
        <v>45710</v>
      </c>
      <c r="I360">
        <v>30</v>
      </c>
      <c r="J360">
        <v>30305.26</v>
      </c>
      <c r="K360">
        <v>30305.26</v>
      </c>
      <c r="L360">
        <v>0</v>
      </c>
      <c r="M360" s="1">
        <v>45700</v>
      </c>
      <c r="N360" t="s">
        <v>28</v>
      </c>
      <c r="O360" t="s">
        <v>36</v>
      </c>
      <c r="P360">
        <v>20</v>
      </c>
      <c r="Q360">
        <v>10</v>
      </c>
      <c r="R360" t="s">
        <v>30</v>
      </c>
      <c r="S360" t="s">
        <v>30</v>
      </c>
      <c r="T360">
        <v>0.01</v>
      </c>
      <c r="U360" t="s">
        <v>31</v>
      </c>
      <c r="V360">
        <v>0</v>
      </c>
    </row>
    <row r="361" spans="1:22" x14ac:dyDescent="0.25">
      <c r="A361" t="s">
        <v>457</v>
      </c>
      <c r="B361" t="s">
        <v>23</v>
      </c>
      <c r="C361" t="s">
        <v>24</v>
      </c>
      <c r="D361" t="s">
        <v>25</v>
      </c>
      <c r="E361" t="s">
        <v>26</v>
      </c>
      <c r="F361" t="s">
        <v>41</v>
      </c>
      <c r="G361" s="1">
        <v>45707</v>
      </c>
      <c r="H361" s="1">
        <v>45722</v>
      </c>
      <c r="I361">
        <v>15</v>
      </c>
      <c r="J361">
        <v>13577.43</v>
      </c>
      <c r="K361">
        <v>13577.43</v>
      </c>
      <c r="L361">
        <v>0</v>
      </c>
      <c r="M361" s="1">
        <v>45719</v>
      </c>
      <c r="N361" t="s">
        <v>28</v>
      </c>
      <c r="O361" t="s">
        <v>29</v>
      </c>
      <c r="P361">
        <v>12</v>
      </c>
      <c r="Q361">
        <v>3</v>
      </c>
      <c r="R361" t="s">
        <v>30</v>
      </c>
      <c r="S361" t="s">
        <v>30</v>
      </c>
      <c r="T361">
        <v>0.02</v>
      </c>
      <c r="U361" t="s">
        <v>31</v>
      </c>
      <c r="V361">
        <v>0</v>
      </c>
    </row>
    <row r="362" spans="1:22" x14ac:dyDescent="0.25">
      <c r="A362" t="s">
        <v>458</v>
      </c>
      <c r="B362" t="s">
        <v>47</v>
      </c>
      <c r="C362" t="s">
        <v>48</v>
      </c>
      <c r="D362" t="s">
        <v>49</v>
      </c>
      <c r="E362" t="s">
        <v>26</v>
      </c>
      <c r="F362" t="s">
        <v>50</v>
      </c>
      <c r="G362" s="1">
        <v>45814</v>
      </c>
      <c r="H362" s="1">
        <v>45904</v>
      </c>
      <c r="I362">
        <v>90</v>
      </c>
      <c r="J362">
        <v>11863.76</v>
      </c>
      <c r="K362">
        <v>11863.76</v>
      </c>
      <c r="L362">
        <v>0</v>
      </c>
      <c r="M362" s="1">
        <v>45897</v>
      </c>
      <c r="N362" t="s">
        <v>28</v>
      </c>
      <c r="O362" t="s">
        <v>29</v>
      </c>
      <c r="P362">
        <v>83</v>
      </c>
      <c r="Q362">
        <v>7</v>
      </c>
      <c r="R362" t="s">
        <v>30</v>
      </c>
      <c r="S362" t="s">
        <v>30</v>
      </c>
      <c r="T362">
        <v>5.0000000000000001E-3</v>
      </c>
      <c r="U362" t="s">
        <v>31</v>
      </c>
      <c r="V362">
        <v>0</v>
      </c>
    </row>
    <row r="363" spans="1:22" x14ac:dyDescent="0.25">
      <c r="A363" t="s">
        <v>459</v>
      </c>
      <c r="B363" t="s">
        <v>38</v>
      </c>
      <c r="C363" t="s">
        <v>39</v>
      </c>
      <c r="D363" t="s">
        <v>35</v>
      </c>
      <c r="E363" t="s">
        <v>26</v>
      </c>
      <c r="F363" t="s">
        <v>50</v>
      </c>
      <c r="G363" s="1">
        <v>46086</v>
      </c>
      <c r="H363" s="1">
        <v>46116</v>
      </c>
      <c r="I363">
        <v>30</v>
      </c>
      <c r="J363">
        <v>67298.95</v>
      </c>
      <c r="K363">
        <v>0</v>
      </c>
      <c r="L363">
        <v>67298.95</v>
      </c>
      <c r="N363" t="s">
        <v>93</v>
      </c>
      <c r="O363" t="s">
        <v>29</v>
      </c>
      <c r="S363" t="s">
        <v>30</v>
      </c>
      <c r="T363">
        <v>0.01</v>
      </c>
      <c r="U363" t="s">
        <v>31</v>
      </c>
      <c r="V363">
        <v>0</v>
      </c>
    </row>
    <row r="364" spans="1:22" x14ac:dyDescent="0.25">
      <c r="A364" t="s">
        <v>460</v>
      </c>
      <c r="B364" t="s">
        <v>109</v>
      </c>
      <c r="C364" t="s">
        <v>110</v>
      </c>
      <c r="D364" t="s">
        <v>49</v>
      </c>
      <c r="E364" t="s">
        <v>26</v>
      </c>
      <c r="F364" t="s">
        <v>41</v>
      </c>
      <c r="G364" s="1">
        <v>45927</v>
      </c>
      <c r="H364" s="1">
        <v>45957</v>
      </c>
      <c r="I364">
        <v>30</v>
      </c>
      <c r="J364">
        <v>41911.94</v>
      </c>
      <c r="K364">
        <v>41911.94</v>
      </c>
      <c r="L364">
        <v>0</v>
      </c>
      <c r="M364" s="1">
        <v>45954</v>
      </c>
      <c r="N364" t="s">
        <v>28</v>
      </c>
      <c r="O364" t="s">
        <v>36</v>
      </c>
      <c r="P364">
        <v>27</v>
      </c>
      <c r="Q364">
        <v>3</v>
      </c>
      <c r="R364" t="s">
        <v>30</v>
      </c>
      <c r="S364" t="s">
        <v>31</v>
      </c>
      <c r="T364">
        <v>0</v>
      </c>
      <c r="U364" t="s">
        <v>31</v>
      </c>
      <c r="V364">
        <v>0</v>
      </c>
    </row>
    <row r="365" spans="1:22" x14ac:dyDescent="0.25">
      <c r="A365" t="s">
        <v>461</v>
      </c>
      <c r="B365" t="s">
        <v>79</v>
      </c>
      <c r="C365" t="s">
        <v>80</v>
      </c>
      <c r="D365" t="s">
        <v>49</v>
      </c>
      <c r="E365" t="s">
        <v>45</v>
      </c>
      <c r="F365" t="s">
        <v>64</v>
      </c>
      <c r="G365" s="1">
        <v>45898</v>
      </c>
      <c r="H365" s="1">
        <v>45958</v>
      </c>
      <c r="I365">
        <v>60</v>
      </c>
      <c r="J365">
        <v>2131.42</v>
      </c>
      <c r="K365">
        <v>0</v>
      </c>
      <c r="L365">
        <v>2131.42</v>
      </c>
      <c r="N365" t="s">
        <v>59</v>
      </c>
      <c r="O365" t="s">
        <v>69</v>
      </c>
      <c r="Q365">
        <v>-215</v>
      </c>
      <c r="R365" t="s">
        <v>31</v>
      </c>
      <c r="S365" t="s">
        <v>30</v>
      </c>
      <c r="T365">
        <v>0.01</v>
      </c>
      <c r="U365" t="s">
        <v>31</v>
      </c>
      <c r="V365">
        <v>0</v>
      </c>
    </row>
    <row r="366" spans="1:22" x14ac:dyDescent="0.25">
      <c r="A366" t="s">
        <v>462</v>
      </c>
      <c r="B366" t="s">
        <v>66</v>
      </c>
      <c r="C366" t="s">
        <v>67</v>
      </c>
      <c r="D366" t="s">
        <v>35</v>
      </c>
      <c r="E366" t="s">
        <v>45</v>
      </c>
      <c r="F366" t="s">
        <v>64</v>
      </c>
      <c r="G366" s="1">
        <v>45761</v>
      </c>
      <c r="H366" s="1">
        <v>45791</v>
      </c>
      <c r="I366">
        <v>30</v>
      </c>
      <c r="J366">
        <v>72858.45</v>
      </c>
      <c r="K366">
        <v>72858.45</v>
      </c>
      <c r="L366">
        <v>0</v>
      </c>
      <c r="M366" s="1">
        <v>45793</v>
      </c>
      <c r="N366" t="s">
        <v>28</v>
      </c>
      <c r="O366" t="s">
        <v>77</v>
      </c>
      <c r="P366">
        <v>32</v>
      </c>
      <c r="Q366">
        <v>-2</v>
      </c>
      <c r="R366" t="s">
        <v>31</v>
      </c>
      <c r="S366" t="s">
        <v>30</v>
      </c>
      <c r="T366">
        <v>0.01</v>
      </c>
      <c r="U366" t="s">
        <v>31</v>
      </c>
      <c r="V366">
        <v>0</v>
      </c>
    </row>
    <row r="367" spans="1:22" x14ac:dyDescent="0.25">
      <c r="A367" t="s">
        <v>463</v>
      </c>
      <c r="B367" t="s">
        <v>88</v>
      </c>
      <c r="C367" t="s">
        <v>89</v>
      </c>
      <c r="D367" t="s">
        <v>35</v>
      </c>
      <c r="E367" t="s">
        <v>68</v>
      </c>
      <c r="F367" t="s">
        <v>41</v>
      </c>
      <c r="G367" s="1">
        <v>45836</v>
      </c>
      <c r="H367" s="1">
        <v>45866</v>
      </c>
      <c r="I367">
        <v>30</v>
      </c>
      <c r="J367">
        <v>70560.53</v>
      </c>
      <c r="K367">
        <v>70560.53</v>
      </c>
      <c r="L367">
        <v>0</v>
      </c>
      <c r="M367" s="1">
        <v>45863</v>
      </c>
      <c r="N367" t="s">
        <v>28</v>
      </c>
      <c r="O367" t="s">
        <v>77</v>
      </c>
      <c r="P367">
        <v>27</v>
      </c>
      <c r="Q367">
        <v>3</v>
      </c>
      <c r="R367" t="s">
        <v>30</v>
      </c>
      <c r="S367" t="s">
        <v>31</v>
      </c>
      <c r="T367">
        <v>0</v>
      </c>
      <c r="U367" t="s">
        <v>31</v>
      </c>
      <c r="V367">
        <v>0</v>
      </c>
    </row>
    <row r="368" spans="1:22" x14ac:dyDescent="0.25">
      <c r="A368" t="s">
        <v>464</v>
      </c>
      <c r="B368" t="s">
        <v>109</v>
      </c>
      <c r="C368" t="s">
        <v>110</v>
      </c>
      <c r="D368" t="s">
        <v>49</v>
      </c>
      <c r="E368" t="s">
        <v>26</v>
      </c>
      <c r="F368" t="s">
        <v>27</v>
      </c>
      <c r="G368" s="1">
        <v>45832</v>
      </c>
      <c r="H368" s="1">
        <v>45862</v>
      </c>
      <c r="I368">
        <v>30</v>
      </c>
      <c r="J368">
        <v>17775.72</v>
      </c>
      <c r="K368">
        <v>0</v>
      </c>
      <c r="L368">
        <v>17775.72</v>
      </c>
      <c r="N368" t="s">
        <v>59</v>
      </c>
      <c r="O368" t="s">
        <v>77</v>
      </c>
      <c r="Q368">
        <v>-311</v>
      </c>
      <c r="R368" t="s">
        <v>31</v>
      </c>
      <c r="S368" t="s">
        <v>31</v>
      </c>
      <c r="T368">
        <v>0</v>
      </c>
      <c r="U368" t="s">
        <v>31</v>
      </c>
      <c r="V368">
        <v>0</v>
      </c>
    </row>
    <row r="369" spans="1:22" x14ac:dyDescent="0.25">
      <c r="A369" t="s">
        <v>465</v>
      </c>
      <c r="B369" t="s">
        <v>131</v>
      </c>
      <c r="C369" t="s">
        <v>132</v>
      </c>
      <c r="D369" t="s">
        <v>49</v>
      </c>
      <c r="E369" t="s">
        <v>26</v>
      </c>
      <c r="F369" t="s">
        <v>92</v>
      </c>
      <c r="G369" s="1">
        <v>45774</v>
      </c>
      <c r="H369" s="1">
        <v>45804</v>
      </c>
      <c r="I369">
        <v>30</v>
      </c>
      <c r="J369">
        <v>21237.32</v>
      </c>
      <c r="K369">
        <v>21237.32</v>
      </c>
      <c r="L369">
        <v>0</v>
      </c>
      <c r="M369" s="1">
        <v>45797</v>
      </c>
      <c r="N369" t="s">
        <v>28</v>
      </c>
      <c r="O369" t="s">
        <v>29</v>
      </c>
      <c r="P369">
        <v>23</v>
      </c>
      <c r="Q369">
        <v>7</v>
      </c>
      <c r="R369" t="s">
        <v>30</v>
      </c>
      <c r="S369" t="s">
        <v>31</v>
      </c>
      <c r="T369">
        <v>0</v>
      </c>
      <c r="U369" t="s">
        <v>31</v>
      </c>
      <c r="V369">
        <v>0</v>
      </c>
    </row>
    <row r="370" spans="1:22" x14ac:dyDescent="0.25">
      <c r="A370" t="s">
        <v>466</v>
      </c>
      <c r="B370" t="s">
        <v>47</v>
      </c>
      <c r="C370" t="s">
        <v>48</v>
      </c>
      <c r="D370" t="s">
        <v>49</v>
      </c>
      <c r="E370" t="s">
        <v>45</v>
      </c>
      <c r="F370" t="s">
        <v>41</v>
      </c>
      <c r="G370" s="1">
        <v>45793</v>
      </c>
      <c r="H370" s="1">
        <v>45823</v>
      </c>
      <c r="I370">
        <v>30</v>
      </c>
      <c r="J370">
        <v>35416.15</v>
      </c>
      <c r="K370">
        <v>0</v>
      </c>
      <c r="L370">
        <v>35416.15</v>
      </c>
      <c r="N370" t="s">
        <v>59</v>
      </c>
      <c r="O370" t="s">
        <v>36</v>
      </c>
      <c r="Q370">
        <v>-350</v>
      </c>
      <c r="R370" t="s">
        <v>31</v>
      </c>
      <c r="S370" t="s">
        <v>30</v>
      </c>
      <c r="T370">
        <v>0.01</v>
      </c>
      <c r="U370" t="s">
        <v>31</v>
      </c>
      <c r="V370">
        <v>0</v>
      </c>
    </row>
    <row r="371" spans="1:22" x14ac:dyDescent="0.25">
      <c r="A371" t="s">
        <v>467</v>
      </c>
      <c r="B371" t="s">
        <v>120</v>
      </c>
      <c r="C371" t="s">
        <v>121</v>
      </c>
      <c r="D371" t="s">
        <v>54</v>
      </c>
      <c r="E371" t="s">
        <v>26</v>
      </c>
      <c r="F371" t="s">
        <v>41</v>
      </c>
      <c r="G371" s="1">
        <v>45843</v>
      </c>
      <c r="H371" s="1">
        <v>45933</v>
      </c>
      <c r="I371">
        <v>90</v>
      </c>
      <c r="J371">
        <v>9364.19</v>
      </c>
      <c r="K371">
        <v>9364.19</v>
      </c>
      <c r="L371">
        <v>0</v>
      </c>
      <c r="M371" s="1">
        <v>45943</v>
      </c>
      <c r="N371" t="s">
        <v>28</v>
      </c>
      <c r="O371" t="s">
        <v>69</v>
      </c>
      <c r="P371">
        <v>100</v>
      </c>
      <c r="Q371">
        <v>-10</v>
      </c>
      <c r="R371" t="s">
        <v>31</v>
      </c>
      <c r="S371" t="s">
        <v>31</v>
      </c>
      <c r="T371">
        <v>0</v>
      </c>
      <c r="U371" t="s">
        <v>31</v>
      </c>
      <c r="V371">
        <v>0</v>
      </c>
    </row>
    <row r="372" spans="1:22" x14ac:dyDescent="0.25">
      <c r="A372" t="s">
        <v>468</v>
      </c>
      <c r="B372" t="s">
        <v>71</v>
      </c>
      <c r="C372" t="s">
        <v>72</v>
      </c>
      <c r="D372" t="s">
        <v>73</v>
      </c>
      <c r="E372" t="s">
        <v>40</v>
      </c>
      <c r="F372" t="s">
        <v>41</v>
      </c>
      <c r="G372" s="1">
        <v>46079</v>
      </c>
      <c r="H372" s="1">
        <v>46109</v>
      </c>
      <c r="I372">
        <v>30</v>
      </c>
      <c r="J372">
        <v>16542.7</v>
      </c>
      <c r="K372">
        <v>16542.7</v>
      </c>
      <c r="L372">
        <v>0</v>
      </c>
      <c r="M372" s="1">
        <v>46097</v>
      </c>
      <c r="N372" t="s">
        <v>28</v>
      </c>
      <c r="O372" t="s">
        <v>69</v>
      </c>
      <c r="P372">
        <v>18</v>
      </c>
      <c r="Q372">
        <v>12</v>
      </c>
      <c r="R372" t="s">
        <v>30</v>
      </c>
      <c r="S372" t="s">
        <v>30</v>
      </c>
      <c r="T372">
        <v>0.01</v>
      </c>
      <c r="U372" t="s">
        <v>31</v>
      </c>
      <c r="V372">
        <v>0</v>
      </c>
    </row>
    <row r="373" spans="1:22" x14ac:dyDescent="0.25">
      <c r="A373" t="s">
        <v>469</v>
      </c>
      <c r="B373" t="s">
        <v>95</v>
      </c>
      <c r="C373" t="s">
        <v>96</v>
      </c>
      <c r="D373" t="s">
        <v>49</v>
      </c>
      <c r="E373" t="s">
        <v>63</v>
      </c>
      <c r="F373" t="s">
        <v>50</v>
      </c>
      <c r="G373" s="1">
        <v>45755</v>
      </c>
      <c r="H373" s="1">
        <v>45815</v>
      </c>
      <c r="I373">
        <v>60</v>
      </c>
      <c r="J373">
        <v>22776.7</v>
      </c>
      <c r="K373">
        <v>22776.7</v>
      </c>
      <c r="L373">
        <v>0</v>
      </c>
      <c r="M373" s="1">
        <v>45810</v>
      </c>
      <c r="N373" t="s">
        <v>28</v>
      </c>
      <c r="O373" t="s">
        <v>36</v>
      </c>
      <c r="P373">
        <v>55</v>
      </c>
      <c r="Q373">
        <v>5</v>
      </c>
      <c r="R373" t="s">
        <v>30</v>
      </c>
      <c r="S373" t="s">
        <v>31</v>
      </c>
      <c r="T373">
        <v>0</v>
      </c>
      <c r="U373" t="s">
        <v>31</v>
      </c>
      <c r="V373">
        <v>0</v>
      </c>
    </row>
    <row r="374" spans="1:22" x14ac:dyDescent="0.25">
      <c r="A374" t="s">
        <v>470</v>
      </c>
      <c r="B374" t="s">
        <v>75</v>
      </c>
      <c r="C374" t="s">
        <v>76</v>
      </c>
      <c r="D374" t="s">
        <v>35</v>
      </c>
      <c r="E374" t="s">
        <v>63</v>
      </c>
      <c r="F374" t="s">
        <v>50</v>
      </c>
      <c r="G374" s="1">
        <v>45818</v>
      </c>
      <c r="H374" s="1">
        <v>45833</v>
      </c>
      <c r="I374">
        <v>15</v>
      </c>
      <c r="J374">
        <v>42917.57</v>
      </c>
      <c r="K374">
        <v>42917.57</v>
      </c>
      <c r="L374">
        <v>0</v>
      </c>
      <c r="M374" s="1">
        <v>45824</v>
      </c>
      <c r="N374" t="s">
        <v>28</v>
      </c>
      <c r="O374" t="s">
        <v>77</v>
      </c>
      <c r="P374">
        <v>6</v>
      </c>
      <c r="Q374">
        <v>9</v>
      </c>
      <c r="R374" t="s">
        <v>30</v>
      </c>
      <c r="S374" t="s">
        <v>30</v>
      </c>
      <c r="T374">
        <v>0.02</v>
      </c>
      <c r="U374" t="s">
        <v>31</v>
      </c>
      <c r="V374">
        <v>0</v>
      </c>
    </row>
    <row r="375" spans="1:22" x14ac:dyDescent="0.25">
      <c r="A375" t="s">
        <v>471</v>
      </c>
      <c r="B375" t="s">
        <v>120</v>
      </c>
      <c r="C375" t="s">
        <v>121</v>
      </c>
      <c r="D375" t="s">
        <v>54</v>
      </c>
      <c r="E375" t="s">
        <v>26</v>
      </c>
      <c r="F375" t="s">
        <v>41</v>
      </c>
      <c r="G375" s="1">
        <v>45996</v>
      </c>
      <c r="H375" s="1">
        <v>46026</v>
      </c>
      <c r="I375">
        <v>30</v>
      </c>
      <c r="J375">
        <v>14567.1</v>
      </c>
      <c r="K375">
        <v>14567.1</v>
      </c>
      <c r="L375">
        <v>0</v>
      </c>
      <c r="M375" s="1">
        <v>46021</v>
      </c>
      <c r="N375" t="s">
        <v>28</v>
      </c>
      <c r="O375" t="s">
        <v>29</v>
      </c>
      <c r="P375">
        <v>25</v>
      </c>
      <c r="Q375">
        <v>5</v>
      </c>
      <c r="R375" t="s">
        <v>30</v>
      </c>
      <c r="S375" t="s">
        <v>30</v>
      </c>
      <c r="T375">
        <v>0.01</v>
      </c>
      <c r="U375" t="s">
        <v>31</v>
      </c>
      <c r="V375">
        <v>0</v>
      </c>
    </row>
    <row r="376" spans="1:22" x14ac:dyDescent="0.25">
      <c r="A376" t="s">
        <v>472</v>
      </c>
      <c r="B376" t="s">
        <v>52</v>
      </c>
      <c r="C376" t="s">
        <v>53</v>
      </c>
      <c r="D376" t="s">
        <v>54</v>
      </c>
      <c r="E376" t="s">
        <v>26</v>
      </c>
      <c r="F376" t="s">
        <v>41</v>
      </c>
      <c r="G376" s="1">
        <v>45748</v>
      </c>
      <c r="H376" s="1">
        <v>45838</v>
      </c>
      <c r="I376">
        <v>90</v>
      </c>
      <c r="J376">
        <v>12920.54</v>
      </c>
      <c r="K376">
        <v>12920.54</v>
      </c>
      <c r="L376">
        <v>0</v>
      </c>
      <c r="M376" s="1">
        <v>45832</v>
      </c>
      <c r="N376" t="s">
        <v>28</v>
      </c>
      <c r="O376" t="s">
        <v>69</v>
      </c>
      <c r="P376">
        <v>84</v>
      </c>
      <c r="Q376">
        <v>6</v>
      </c>
      <c r="R376" t="s">
        <v>30</v>
      </c>
      <c r="S376" t="s">
        <v>30</v>
      </c>
      <c r="T376">
        <v>5.0000000000000001E-3</v>
      </c>
      <c r="U376" t="s">
        <v>31</v>
      </c>
      <c r="V376">
        <v>0</v>
      </c>
    </row>
    <row r="377" spans="1:22" x14ac:dyDescent="0.25">
      <c r="A377" t="s">
        <v>473</v>
      </c>
      <c r="B377" t="s">
        <v>100</v>
      </c>
      <c r="C377" t="s">
        <v>101</v>
      </c>
      <c r="D377" t="s">
        <v>54</v>
      </c>
      <c r="E377" t="s">
        <v>26</v>
      </c>
      <c r="F377" t="s">
        <v>27</v>
      </c>
      <c r="G377" s="1">
        <v>45694</v>
      </c>
      <c r="H377" s="1">
        <v>45754</v>
      </c>
      <c r="I377">
        <v>60</v>
      </c>
      <c r="J377">
        <v>8578.4</v>
      </c>
      <c r="K377">
        <v>8578.4</v>
      </c>
      <c r="L377">
        <v>0</v>
      </c>
      <c r="M377" s="1">
        <v>45746</v>
      </c>
      <c r="N377" t="s">
        <v>28</v>
      </c>
      <c r="O377" t="s">
        <v>69</v>
      </c>
      <c r="P377">
        <v>52</v>
      </c>
      <c r="Q377">
        <v>8</v>
      </c>
      <c r="R377" t="s">
        <v>30</v>
      </c>
      <c r="S377" t="s">
        <v>30</v>
      </c>
      <c r="T377">
        <v>0.01</v>
      </c>
      <c r="U377" t="s">
        <v>31</v>
      </c>
      <c r="V377">
        <v>0</v>
      </c>
    </row>
    <row r="378" spans="1:22" x14ac:dyDescent="0.25">
      <c r="A378" t="s">
        <v>474</v>
      </c>
      <c r="B378" t="s">
        <v>88</v>
      </c>
      <c r="C378" t="s">
        <v>89</v>
      </c>
      <c r="D378" t="s">
        <v>35</v>
      </c>
      <c r="E378" t="s">
        <v>63</v>
      </c>
      <c r="F378" t="s">
        <v>50</v>
      </c>
      <c r="G378" s="1">
        <v>46007</v>
      </c>
      <c r="H378" s="1">
        <v>46097</v>
      </c>
      <c r="I378">
        <v>90</v>
      </c>
      <c r="J378">
        <v>32250.69</v>
      </c>
      <c r="K378">
        <v>32250.69</v>
      </c>
      <c r="L378">
        <v>0</v>
      </c>
      <c r="M378" s="1">
        <v>46091</v>
      </c>
      <c r="N378" t="s">
        <v>28</v>
      </c>
      <c r="O378" t="s">
        <v>36</v>
      </c>
      <c r="P378">
        <v>84</v>
      </c>
      <c r="Q378">
        <v>6</v>
      </c>
      <c r="R378" t="s">
        <v>30</v>
      </c>
      <c r="S378" t="s">
        <v>30</v>
      </c>
      <c r="T378">
        <v>5.0000000000000001E-3</v>
      </c>
      <c r="U378" t="s">
        <v>31</v>
      </c>
      <c r="V378">
        <v>0</v>
      </c>
    </row>
    <row r="379" spans="1:22" x14ac:dyDescent="0.25">
      <c r="A379" t="s">
        <v>475</v>
      </c>
      <c r="B379" t="s">
        <v>113</v>
      </c>
      <c r="C379" t="s">
        <v>114</v>
      </c>
      <c r="D379" t="s">
        <v>25</v>
      </c>
      <c r="E379" t="s">
        <v>68</v>
      </c>
      <c r="F379" t="s">
        <v>50</v>
      </c>
      <c r="G379" s="1">
        <v>46121</v>
      </c>
      <c r="H379" s="1">
        <v>46181</v>
      </c>
      <c r="I379">
        <v>60</v>
      </c>
      <c r="J379">
        <v>3166.44</v>
      </c>
      <c r="K379">
        <v>0</v>
      </c>
      <c r="L379">
        <v>3166.44</v>
      </c>
      <c r="N379" t="s">
        <v>93</v>
      </c>
      <c r="O379" t="s">
        <v>69</v>
      </c>
      <c r="S379" t="s">
        <v>31</v>
      </c>
      <c r="T379">
        <v>0</v>
      </c>
      <c r="U379" t="s">
        <v>31</v>
      </c>
      <c r="V379">
        <v>0</v>
      </c>
    </row>
    <row r="380" spans="1:22" x14ac:dyDescent="0.25">
      <c r="A380" t="s">
        <v>476</v>
      </c>
      <c r="B380" t="s">
        <v>23</v>
      </c>
      <c r="C380" t="s">
        <v>24</v>
      </c>
      <c r="D380" t="s">
        <v>25</v>
      </c>
      <c r="E380" t="s">
        <v>68</v>
      </c>
      <c r="F380" t="s">
        <v>50</v>
      </c>
      <c r="G380" s="1">
        <v>45704</v>
      </c>
      <c r="H380" s="1">
        <v>45734</v>
      </c>
      <c r="I380">
        <v>30</v>
      </c>
      <c r="J380">
        <v>18040.669999999998</v>
      </c>
      <c r="K380">
        <v>12109.9</v>
      </c>
      <c r="L380">
        <v>5930.77</v>
      </c>
      <c r="M380" s="1">
        <v>45742</v>
      </c>
      <c r="N380" t="s">
        <v>98</v>
      </c>
      <c r="O380" t="s">
        <v>29</v>
      </c>
      <c r="P380">
        <v>38</v>
      </c>
      <c r="Q380">
        <v>-8</v>
      </c>
      <c r="R380" t="s">
        <v>31</v>
      </c>
      <c r="S380" t="s">
        <v>30</v>
      </c>
      <c r="T380">
        <v>0.01</v>
      </c>
      <c r="U380" t="s">
        <v>31</v>
      </c>
      <c r="V380">
        <v>0</v>
      </c>
    </row>
    <row r="381" spans="1:22" x14ac:dyDescent="0.25">
      <c r="A381" t="s">
        <v>477</v>
      </c>
      <c r="B381" t="s">
        <v>109</v>
      </c>
      <c r="C381" t="s">
        <v>110</v>
      </c>
      <c r="D381" t="s">
        <v>49</v>
      </c>
      <c r="E381" t="s">
        <v>68</v>
      </c>
      <c r="F381" t="s">
        <v>50</v>
      </c>
      <c r="G381" s="1">
        <v>45781</v>
      </c>
      <c r="H381" s="1">
        <v>45811</v>
      </c>
      <c r="I381">
        <v>30</v>
      </c>
      <c r="J381">
        <v>46650.38</v>
      </c>
      <c r="K381">
        <v>46650.38</v>
      </c>
      <c r="L381">
        <v>0</v>
      </c>
      <c r="M381" s="1">
        <v>45813</v>
      </c>
      <c r="N381" t="s">
        <v>28</v>
      </c>
      <c r="O381" t="s">
        <v>36</v>
      </c>
      <c r="P381">
        <v>32</v>
      </c>
      <c r="Q381">
        <v>-2</v>
      </c>
      <c r="R381" t="s">
        <v>31</v>
      </c>
      <c r="S381" t="s">
        <v>30</v>
      </c>
      <c r="T381">
        <v>0.01</v>
      </c>
      <c r="U381" t="s">
        <v>31</v>
      </c>
      <c r="V381">
        <v>0</v>
      </c>
    </row>
    <row r="382" spans="1:22" x14ac:dyDescent="0.25">
      <c r="A382" t="s">
        <v>478</v>
      </c>
      <c r="B382" t="s">
        <v>109</v>
      </c>
      <c r="C382" t="s">
        <v>110</v>
      </c>
      <c r="D382" t="s">
        <v>49</v>
      </c>
      <c r="E382" t="s">
        <v>45</v>
      </c>
      <c r="F382" t="s">
        <v>27</v>
      </c>
      <c r="G382" s="1">
        <v>46126</v>
      </c>
      <c r="H382" s="1">
        <v>46216</v>
      </c>
      <c r="I382">
        <v>90</v>
      </c>
      <c r="J382">
        <v>33605.919999999998</v>
      </c>
      <c r="K382">
        <v>33605.919999999998</v>
      </c>
      <c r="L382">
        <v>0</v>
      </c>
      <c r="M382" s="1">
        <v>46173</v>
      </c>
      <c r="N382" t="s">
        <v>28</v>
      </c>
      <c r="O382" t="s">
        <v>77</v>
      </c>
      <c r="P382">
        <v>47</v>
      </c>
      <c r="Q382">
        <v>43</v>
      </c>
      <c r="R382" t="s">
        <v>30</v>
      </c>
      <c r="S382" t="s">
        <v>31</v>
      </c>
      <c r="T382">
        <v>0</v>
      </c>
      <c r="U382" t="s">
        <v>31</v>
      </c>
      <c r="V382">
        <v>0</v>
      </c>
    </row>
    <row r="383" spans="1:22" x14ac:dyDescent="0.25">
      <c r="A383" t="s">
        <v>479</v>
      </c>
      <c r="B383" t="s">
        <v>82</v>
      </c>
      <c r="C383" t="s">
        <v>83</v>
      </c>
      <c r="D383" t="s">
        <v>58</v>
      </c>
      <c r="E383" t="s">
        <v>26</v>
      </c>
      <c r="F383" t="s">
        <v>50</v>
      </c>
      <c r="G383" s="1">
        <v>45839</v>
      </c>
      <c r="H383" s="1">
        <v>45929</v>
      </c>
      <c r="I383">
        <v>90</v>
      </c>
      <c r="J383">
        <v>28597.26</v>
      </c>
      <c r="K383">
        <v>10059.86</v>
      </c>
      <c r="L383">
        <v>18537.400000000001</v>
      </c>
      <c r="M383" s="1">
        <v>45945</v>
      </c>
      <c r="N383" t="s">
        <v>98</v>
      </c>
      <c r="O383" t="s">
        <v>69</v>
      </c>
      <c r="P383">
        <v>106</v>
      </c>
      <c r="Q383">
        <v>-16</v>
      </c>
      <c r="R383" t="s">
        <v>31</v>
      </c>
      <c r="S383" t="s">
        <v>30</v>
      </c>
      <c r="T383">
        <v>5.0000000000000001E-3</v>
      </c>
      <c r="U383" t="s">
        <v>31</v>
      </c>
      <c r="V383">
        <v>0</v>
      </c>
    </row>
    <row r="384" spans="1:22" x14ac:dyDescent="0.25">
      <c r="A384" t="s">
        <v>480</v>
      </c>
      <c r="B384" t="s">
        <v>187</v>
      </c>
      <c r="C384" t="s">
        <v>188</v>
      </c>
      <c r="D384" t="s">
        <v>73</v>
      </c>
      <c r="E384" t="s">
        <v>63</v>
      </c>
      <c r="F384" t="s">
        <v>92</v>
      </c>
      <c r="G384" s="1">
        <v>45912</v>
      </c>
      <c r="H384" s="1">
        <v>45972</v>
      </c>
      <c r="I384">
        <v>60</v>
      </c>
      <c r="J384">
        <v>11028.66</v>
      </c>
      <c r="K384">
        <v>0</v>
      </c>
      <c r="L384">
        <v>11028.66</v>
      </c>
      <c r="N384" t="s">
        <v>59</v>
      </c>
      <c r="O384" t="s">
        <v>69</v>
      </c>
      <c r="Q384">
        <v>-201</v>
      </c>
      <c r="R384" t="s">
        <v>31</v>
      </c>
      <c r="S384" t="s">
        <v>31</v>
      </c>
      <c r="T384">
        <v>0</v>
      </c>
      <c r="U384" t="s">
        <v>31</v>
      </c>
      <c r="V384">
        <v>0</v>
      </c>
    </row>
    <row r="385" spans="1:22" x14ac:dyDescent="0.25">
      <c r="A385" t="s">
        <v>481</v>
      </c>
      <c r="B385" t="s">
        <v>113</v>
      </c>
      <c r="C385" t="s">
        <v>114</v>
      </c>
      <c r="D385" t="s">
        <v>25</v>
      </c>
      <c r="E385" t="s">
        <v>40</v>
      </c>
      <c r="F385" t="s">
        <v>64</v>
      </c>
      <c r="G385" s="1">
        <v>45979</v>
      </c>
      <c r="H385" s="1">
        <v>46024</v>
      </c>
      <c r="I385">
        <v>45</v>
      </c>
      <c r="J385">
        <v>14525.61</v>
      </c>
      <c r="K385">
        <v>14525.61</v>
      </c>
      <c r="L385">
        <v>0</v>
      </c>
      <c r="M385" s="1">
        <v>46027</v>
      </c>
      <c r="N385" t="s">
        <v>28</v>
      </c>
      <c r="O385" t="s">
        <v>69</v>
      </c>
      <c r="P385">
        <v>48</v>
      </c>
      <c r="Q385">
        <v>-3</v>
      </c>
      <c r="R385" t="s">
        <v>31</v>
      </c>
      <c r="S385" t="s">
        <v>31</v>
      </c>
      <c r="T385">
        <v>0</v>
      </c>
      <c r="U385" t="s">
        <v>31</v>
      </c>
      <c r="V385">
        <v>0</v>
      </c>
    </row>
    <row r="386" spans="1:22" x14ac:dyDescent="0.25">
      <c r="A386" t="s">
        <v>482</v>
      </c>
      <c r="B386" t="s">
        <v>88</v>
      </c>
      <c r="C386" t="s">
        <v>89</v>
      </c>
      <c r="D386" t="s">
        <v>35</v>
      </c>
      <c r="E386" t="s">
        <v>68</v>
      </c>
      <c r="F386" t="s">
        <v>64</v>
      </c>
      <c r="G386" s="1">
        <v>45776</v>
      </c>
      <c r="H386" s="1">
        <v>45836</v>
      </c>
      <c r="I386">
        <v>60</v>
      </c>
      <c r="J386">
        <v>62058.13</v>
      </c>
      <c r="K386">
        <v>62058.13</v>
      </c>
      <c r="L386">
        <v>0</v>
      </c>
      <c r="M386" s="1">
        <v>45846</v>
      </c>
      <c r="N386" t="s">
        <v>28</v>
      </c>
      <c r="O386" t="s">
        <v>36</v>
      </c>
      <c r="P386">
        <v>70</v>
      </c>
      <c r="Q386">
        <v>-10</v>
      </c>
      <c r="R386" t="s">
        <v>31</v>
      </c>
      <c r="S386" t="s">
        <v>30</v>
      </c>
      <c r="T386">
        <v>0.01</v>
      </c>
      <c r="U386" t="s">
        <v>31</v>
      </c>
      <c r="V386">
        <v>0</v>
      </c>
    </row>
    <row r="387" spans="1:22" x14ac:dyDescent="0.25">
      <c r="A387" t="s">
        <v>483</v>
      </c>
      <c r="B387" t="s">
        <v>56</v>
      </c>
      <c r="C387" t="s">
        <v>57</v>
      </c>
      <c r="D387" t="s">
        <v>58</v>
      </c>
      <c r="E387" t="s">
        <v>45</v>
      </c>
      <c r="F387" t="s">
        <v>50</v>
      </c>
      <c r="G387" s="1">
        <v>45671</v>
      </c>
      <c r="H387" s="1">
        <v>45731</v>
      </c>
      <c r="I387">
        <v>60</v>
      </c>
      <c r="J387">
        <v>22341.01</v>
      </c>
      <c r="K387">
        <v>22341.01</v>
      </c>
      <c r="L387">
        <v>0</v>
      </c>
      <c r="M387" s="1">
        <v>45729</v>
      </c>
      <c r="N387" t="s">
        <v>28</v>
      </c>
      <c r="O387" t="s">
        <v>29</v>
      </c>
      <c r="P387">
        <v>58</v>
      </c>
      <c r="Q387">
        <v>2</v>
      </c>
      <c r="R387" t="s">
        <v>30</v>
      </c>
      <c r="S387" t="s">
        <v>30</v>
      </c>
      <c r="T387">
        <v>0.01</v>
      </c>
      <c r="U387" t="s">
        <v>31</v>
      </c>
      <c r="V387">
        <v>0</v>
      </c>
    </row>
    <row r="388" spans="1:22" x14ac:dyDescent="0.25">
      <c r="A388" t="s">
        <v>484</v>
      </c>
      <c r="B388" t="s">
        <v>85</v>
      </c>
      <c r="C388" t="s">
        <v>86</v>
      </c>
      <c r="D388" t="s">
        <v>25</v>
      </c>
      <c r="E388" t="s">
        <v>40</v>
      </c>
      <c r="F388" t="s">
        <v>92</v>
      </c>
      <c r="G388" s="1">
        <v>45721</v>
      </c>
      <c r="H388" s="1">
        <v>45751</v>
      </c>
      <c r="I388">
        <v>30</v>
      </c>
      <c r="J388">
        <v>14121.3</v>
      </c>
      <c r="K388">
        <v>14121.3</v>
      </c>
      <c r="L388">
        <v>0</v>
      </c>
      <c r="M388" s="1">
        <v>45747</v>
      </c>
      <c r="N388" t="s">
        <v>28</v>
      </c>
      <c r="O388" t="s">
        <v>29</v>
      </c>
      <c r="P388">
        <v>26</v>
      </c>
      <c r="Q388">
        <v>4</v>
      </c>
      <c r="R388" t="s">
        <v>30</v>
      </c>
      <c r="S388" t="s">
        <v>30</v>
      </c>
      <c r="T388">
        <v>0.01</v>
      </c>
      <c r="U388" t="s">
        <v>31</v>
      </c>
      <c r="V388">
        <v>0</v>
      </c>
    </row>
    <row r="389" spans="1:22" x14ac:dyDescent="0.25">
      <c r="A389" t="s">
        <v>485</v>
      </c>
      <c r="B389" t="s">
        <v>33</v>
      </c>
      <c r="C389" t="s">
        <v>34</v>
      </c>
      <c r="D389" t="s">
        <v>35</v>
      </c>
      <c r="E389" t="s">
        <v>68</v>
      </c>
      <c r="F389" t="s">
        <v>41</v>
      </c>
      <c r="G389" s="1">
        <v>46056</v>
      </c>
      <c r="H389" s="1">
        <v>46086</v>
      </c>
      <c r="I389">
        <v>30</v>
      </c>
      <c r="J389">
        <v>22819.66</v>
      </c>
      <c r="K389">
        <v>10127.81</v>
      </c>
      <c r="L389">
        <v>12691.85</v>
      </c>
      <c r="M389" s="1">
        <v>46102</v>
      </c>
      <c r="N389" t="s">
        <v>98</v>
      </c>
      <c r="O389" t="s">
        <v>77</v>
      </c>
      <c r="P389">
        <v>46</v>
      </c>
      <c r="Q389">
        <v>-16</v>
      </c>
      <c r="R389" t="s">
        <v>31</v>
      </c>
      <c r="S389" t="s">
        <v>31</v>
      </c>
      <c r="T389">
        <v>0</v>
      </c>
      <c r="U389" t="s">
        <v>31</v>
      </c>
      <c r="V389">
        <v>0</v>
      </c>
    </row>
    <row r="390" spans="1:22" x14ac:dyDescent="0.25">
      <c r="A390" t="s">
        <v>486</v>
      </c>
      <c r="B390" t="s">
        <v>33</v>
      </c>
      <c r="C390" t="s">
        <v>34</v>
      </c>
      <c r="D390" t="s">
        <v>35</v>
      </c>
      <c r="E390" t="s">
        <v>45</v>
      </c>
      <c r="F390" t="s">
        <v>41</v>
      </c>
      <c r="G390" s="1">
        <v>45713</v>
      </c>
      <c r="H390" s="1">
        <v>45773</v>
      </c>
      <c r="I390">
        <v>60</v>
      </c>
      <c r="J390">
        <v>5972.39</v>
      </c>
      <c r="K390">
        <v>5972.39</v>
      </c>
      <c r="L390">
        <v>0</v>
      </c>
      <c r="M390" s="1">
        <v>45776</v>
      </c>
      <c r="N390" t="s">
        <v>28</v>
      </c>
      <c r="O390" t="s">
        <v>69</v>
      </c>
      <c r="P390">
        <v>63</v>
      </c>
      <c r="Q390">
        <v>-3</v>
      </c>
      <c r="R390" t="s">
        <v>31</v>
      </c>
      <c r="S390" t="s">
        <v>30</v>
      </c>
      <c r="T390">
        <v>0.01</v>
      </c>
      <c r="U390" t="s">
        <v>31</v>
      </c>
      <c r="V390">
        <v>0</v>
      </c>
    </row>
    <row r="391" spans="1:22" x14ac:dyDescent="0.25">
      <c r="A391" t="s">
        <v>487</v>
      </c>
      <c r="B391" t="s">
        <v>52</v>
      </c>
      <c r="C391" t="s">
        <v>53</v>
      </c>
      <c r="D391" t="s">
        <v>54</v>
      </c>
      <c r="E391" t="s">
        <v>68</v>
      </c>
      <c r="F391" t="s">
        <v>50</v>
      </c>
      <c r="G391" s="1">
        <v>45959</v>
      </c>
      <c r="H391" s="1">
        <v>45989</v>
      </c>
      <c r="I391">
        <v>30</v>
      </c>
      <c r="J391">
        <v>7007.82</v>
      </c>
      <c r="K391">
        <v>7007.82</v>
      </c>
      <c r="L391">
        <v>0</v>
      </c>
      <c r="M391" s="1">
        <v>45974</v>
      </c>
      <c r="N391" t="s">
        <v>28</v>
      </c>
      <c r="O391" t="s">
        <v>36</v>
      </c>
      <c r="P391">
        <v>15</v>
      </c>
      <c r="Q391">
        <v>15</v>
      </c>
      <c r="R391" t="s">
        <v>30</v>
      </c>
      <c r="S391" t="s">
        <v>31</v>
      </c>
      <c r="T391">
        <v>0</v>
      </c>
      <c r="U391" t="s">
        <v>31</v>
      </c>
      <c r="V391">
        <v>0</v>
      </c>
    </row>
    <row r="392" spans="1:22" x14ac:dyDescent="0.25">
      <c r="A392" t="s">
        <v>488</v>
      </c>
      <c r="B392" t="s">
        <v>120</v>
      </c>
      <c r="C392" t="s">
        <v>121</v>
      </c>
      <c r="D392" t="s">
        <v>54</v>
      </c>
      <c r="E392" t="s">
        <v>63</v>
      </c>
      <c r="F392" t="s">
        <v>27</v>
      </c>
      <c r="G392" s="1">
        <v>46096</v>
      </c>
      <c r="H392" s="1">
        <v>46111</v>
      </c>
      <c r="I392">
        <v>15</v>
      </c>
      <c r="J392">
        <v>4547.13</v>
      </c>
      <c r="K392">
        <v>4547.13</v>
      </c>
      <c r="L392">
        <v>0</v>
      </c>
      <c r="M392" s="1">
        <v>46111</v>
      </c>
      <c r="N392" t="s">
        <v>28</v>
      </c>
      <c r="O392" t="s">
        <v>69</v>
      </c>
      <c r="P392">
        <v>15</v>
      </c>
      <c r="Q392">
        <v>0</v>
      </c>
      <c r="R392" t="s">
        <v>30</v>
      </c>
      <c r="S392" t="s">
        <v>30</v>
      </c>
      <c r="T392">
        <v>0.02</v>
      </c>
      <c r="U392" t="s">
        <v>31</v>
      </c>
      <c r="V392">
        <v>0</v>
      </c>
    </row>
    <row r="393" spans="1:22" x14ac:dyDescent="0.25">
      <c r="A393" t="s">
        <v>489</v>
      </c>
      <c r="B393" t="s">
        <v>113</v>
      </c>
      <c r="C393" t="s">
        <v>114</v>
      </c>
      <c r="D393" t="s">
        <v>25</v>
      </c>
      <c r="E393" t="s">
        <v>40</v>
      </c>
      <c r="F393" t="s">
        <v>27</v>
      </c>
      <c r="G393" s="1">
        <v>45710</v>
      </c>
      <c r="H393" s="1">
        <v>45770</v>
      </c>
      <c r="I393">
        <v>60</v>
      </c>
      <c r="J393">
        <v>15699.56</v>
      </c>
      <c r="K393">
        <v>7073.87</v>
      </c>
      <c r="L393">
        <v>8625.69</v>
      </c>
      <c r="M393" s="1">
        <v>45790</v>
      </c>
      <c r="N393" t="s">
        <v>98</v>
      </c>
      <c r="O393" t="s">
        <v>36</v>
      </c>
      <c r="P393">
        <v>80</v>
      </c>
      <c r="Q393">
        <v>-20</v>
      </c>
      <c r="R393" t="s">
        <v>31</v>
      </c>
      <c r="S393" t="s">
        <v>30</v>
      </c>
      <c r="T393">
        <v>0.01</v>
      </c>
      <c r="U393" t="s">
        <v>31</v>
      </c>
      <c r="V393">
        <v>0</v>
      </c>
    </row>
    <row r="394" spans="1:22" x14ac:dyDescent="0.25">
      <c r="A394" t="s">
        <v>490</v>
      </c>
      <c r="B394" t="s">
        <v>66</v>
      </c>
      <c r="C394" t="s">
        <v>67</v>
      </c>
      <c r="D394" t="s">
        <v>35</v>
      </c>
      <c r="E394" t="s">
        <v>63</v>
      </c>
      <c r="F394" t="s">
        <v>92</v>
      </c>
      <c r="G394" s="1">
        <v>45883</v>
      </c>
      <c r="H394" s="1">
        <v>45943</v>
      </c>
      <c r="I394">
        <v>60</v>
      </c>
      <c r="J394">
        <v>76774.080000000002</v>
      </c>
      <c r="K394">
        <v>29149.99</v>
      </c>
      <c r="L394">
        <v>47624.09</v>
      </c>
      <c r="M394" s="1">
        <v>45955</v>
      </c>
      <c r="N394" t="s">
        <v>98</v>
      </c>
      <c r="O394" t="s">
        <v>77</v>
      </c>
      <c r="P394">
        <v>72</v>
      </c>
      <c r="Q394">
        <v>-12</v>
      </c>
      <c r="R394" t="s">
        <v>31</v>
      </c>
      <c r="S394" t="s">
        <v>30</v>
      </c>
      <c r="T394">
        <v>0.01</v>
      </c>
      <c r="U394" t="s">
        <v>31</v>
      </c>
      <c r="V394">
        <v>0</v>
      </c>
    </row>
    <row r="395" spans="1:22" x14ac:dyDescent="0.25">
      <c r="A395" t="s">
        <v>491</v>
      </c>
      <c r="B395" t="s">
        <v>79</v>
      </c>
      <c r="C395" t="s">
        <v>80</v>
      </c>
      <c r="D395" t="s">
        <v>49</v>
      </c>
      <c r="E395" t="s">
        <v>45</v>
      </c>
      <c r="F395" t="s">
        <v>27</v>
      </c>
      <c r="G395" s="1">
        <v>45876</v>
      </c>
      <c r="H395" s="1">
        <v>45906</v>
      </c>
      <c r="I395">
        <v>30</v>
      </c>
      <c r="J395">
        <v>33840.050000000003</v>
      </c>
      <c r="K395">
        <v>33840.050000000003</v>
      </c>
      <c r="L395">
        <v>0</v>
      </c>
      <c r="M395" s="1">
        <v>45906</v>
      </c>
      <c r="N395" t="s">
        <v>28</v>
      </c>
      <c r="O395" t="s">
        <v>29</v>
      </c>
      <c r="P395">
        <v>30</v>
      </c>
      <c r="Q395">
        <v>0</v>
      </c>
      <c r="R395" t="s">
        <v>30</v>
      </c>
      <c r="S395" t="s">
        <v>30</v>
      </c>
      <c r="T395">
        <v>0.01</v>
      </c>
      <c r="U395" t="s">
        <v>31</v>
      </c>
      <c r="V395">
        <v>0</v>
      </c>
    </row>
    <row r="396" spans="1:22" x14ac:dyDescent="0.25">
      <c r="A396" t="s">
        <v>492</v>
      </c>
      <c r="B396" t="s">
        <v>85</v>
      </c>
      <c r="C396" t="s">
        <v>86</v>
      </c>
      <c r="D396" t="s">
        <v>25</v>
      </c>
      <c r="E396" t="s">
        <v>63</v>
      </c>
      <c r="F396" t="s">
        <v>50</v>
      </c>
      <c r="G396" s="1">
        <v>45775</v>
      </c>
      <c r="H396" s="1">
        <v>45790</v>
      </c>
      <c r="I396">
        <v>15</v>
      </c>
      <c r="J396">
        <v>13709.83</v>
      </c>
      <c r="K396">
        <v>0</v>
      </c>
      <c r="L396">
        <v>13709.83</v>
      </c>
      <c r="N396" t="s">
        <v>59</v>
      </c>
      <c r="O396" t="s">
        <v>69</v>
      </c>
      <c r="Q396">
        <v>-383</v>
      </c>
      <c r="R396" t="s">
        <v>31</v>
      </c>
      <c r="S396" t="s">
        <v>30</v>
      </c>
      <c r="T396">
        <v>0.02</v>
      </c>
      <c r="U396" t="s">
        <v>31</v>
      </c>
      <c r="V396">
        <v>0</v>
      </c>
    </row>
    <row r="397" spans="1:22" x14ac:dyDescent="0.25">
      <c r="A397" t="s">
        <v>493</v>
      </c>
      <c r="B397" t="s">
        <v>187</v>
      </c>
      <c r="C397" t="s">
        <v>188</v>
      </c>
      <c r="D397" t="s">
        <v>73</v>
      </c>
      <c r="E397" t="s">
        <v>63</v>
      </c>
      <c r="F397" t="s">
        <v>64</v>
      </c>
      <c r="G397" s="1">
        <v>46048</v>
      </c>
      <c r="H397" s="1">
        <v>46108</v>
      </c>
      <c r="I397">
        <v>60</v>
      </c>
      <c r="J397">
        <v>32225.77</v>
      </c>
      <c r="K397">
        <v>32225.77</v>
      </c>
      <c r="L397">
        <v>0</v>
      </c>
      <c r="M397" s="1">
        <v>46102</v>
      </c>
      <c r="N397" t="s">
        <v>28</v>
      </c>
      <c r="O397" t="s">
        <v>77</v>
      </c>
      <c r="P397">
        <v>54</v>
      </c>
      <c r="Q397">
        <v>6</v>
      </c>
      <c r="R397" t="s">
        <v>30</v>
      </c>
      <c r="S397" t="s">
        <v>31</v>
      </c>
      <c r="T397">
        <v>0</v>
      </c>
      <c r="U397" t="s">
        <v>31</v>
      </c>
      <c r="V397">
        <v>0</v>
      </c>
    </row>
    <row r="398" spans="1:22" x14ac:dyDescent="0.25">
      <c r="A398" t="s">
        <v>494</v>
      </c>
      <c r="B398" t="s">
        <v>82</v>
      </c>
      <c r="C398" t="s">
        <v>83</v>
      </c>
      <c r="D398" t="s">
        <v>58</v>
      </c>
      <c r="E398" t="s">
        <v>68</v>
      </c>
      <c r="F398" t="s">
        <v>50</v>
      </c>
      <c r="G398" s="1">
        <v>45702</v>
      </c>
      <c r="H398" s="1">
        <v>45792</v>
      </c>
      <c r="I398">
        <v>90</v>
      </c>
      <c r="J398">
        <v>13968.06</v>
      </c>
      <c r="K398">
        <v>13968.06</v>
      </c>
      <c r="L398">
        <v>0</v>
      </c>
      <c r="M398" s="1">
        <v>45791</v>
      </c>
      <c r="N398" t="s">
        <v>28</v>
      </c>
      <c r="O398" t="s">
        <v>69</v>
      </c>
      <c r="P398">
        <v>89</v>
      </c>
      <c r="Q398">
        <v>1</v>
      </c>
      <c r="R398" t="s">
        <v>30</v>
      </c>
      <c r="S398" t="s">
        <v>30</v>
      </c>
      <c r="T398">
        <v>5.0000000000000001E-3</v>
      </c>
      <c r="U398" t="s">
        <v>31</v>
      </c>
      <c r="V398">
        <v>0</v>
      </c>
    </row>
    <row r="399" spans="1:22" x14ac:dyDescent="0.25">
      <c r="A399" t="s">
        <v>495</v>
      </c>
      <c r="B399" t="s">
        <v>43</v>
      </c>
      <c r="C399" t="s">
        <v>44</v>
      </c>
      <c r="D399" t="s">
        <v>25</v>
      </c>
      <c r="E399" t="s">
        <v>26</v>
      </c>
      <c r="F399" t="s">
        <v>64</v>
      </c>
      <c r="G399" s="1">
        <v>45873</v>
      </c>
      <c r="H399" s="1">
        <v>45903</v>
      </c>
      <c r="I399">
        <v>30</v>
      </c>
      <c r="J399">
        <v>13736.37</v>
      </c>
      <c r="K399">
        <v>7034.46</v>
      </c>
      <c r="L399">
        <v>6701.91</v>
      </c>
      <c r="M399" s="1">
        <v>45901</v>
      </c>
      <c r="N399" t="s">
        <v>98</v>
      </c>
      <c r="O399" t="s">
        <v>77</v>
      </c>
      <c r="P399">
        <v>28</v>
      </c>
      <c r="Q399">
        <v>2</v>
      </c>
      <c r="R399" t="s">
        <v>30</v>
      </c>
      <c r="S399" t="s">
        <v>31</v>
      </c>
      <c r="T399">
        <v>0</v>
      </c>
      <c r="U399" t="s">
        <v>31</v>
      </c>
      <c r="V399">
        <v>0</v>
      </c>
    </row>
    <row r="400" spans="1:22" x14ac:dyDescent="0.25">
      <c r="A400" t="s">
        <v>496</v>
      </c>
      <c r="B400" t="s">
        <v>153</v>
      </c>
      <c r="C400" t="s">
        <v>154</v>
      </c>
      <c r="D400" t="s">
        <v>58</v>
      </c>
      <c r="E400" t="s">
        <v>63</v>
      </c>
      <c r="F400" t="s">
        <v>41</v>
      </c>
      <c r="G400" s="1">
        <v>45682</v>
      </c>
      <c r="H400" s="1">
        <v>45712</v>
      </c>
      <c r="I400">
        <v>30</v>
      </c>
      <c r="J400">
        <v>19991.330000000002</v>
      </c>
      <c r="K400">
        <v>19991.330000000002</v>
      </c>
      <c r="L400">
        <v>0</v>
      </c>
      <c r="M400" s="1">
        <v>45725</v>
      </c>
      <c r="N400" t="s">
        <v>28</v>
      </c>
      <c r="O400" t="s">
        <v>77</v>
      </c>
      <c r="P400">
        <v>43</v>
      </c>
      <c r="Q400">
        <v>-13</v>
      </c>
      <c r="R400" t="s">
        <v>31</v>
      </c>
      <c r="S400" t="s">
        <v>30</v>
      </c>
      <c r="T400">
        <v>0.01</v>
      </c>
      <c r="U400" t="s">
        <v>31</v>
      </c>
      <c r="V400">
        <v>0</v>
      </c>
    </row>
    <row r="401" spans="1:22" x14ac:dyDescent="0.25">
      <c r="A401" t="s">
        <v>497</v>
      </c>
      <c r="B401" t="s">
        <v>79</v>
      </c>
      <c r="C401" t="s">
        <v>80</v>
      </c>
      <c r="D401" t="s">
        <v>49</v>
      </c>
      <c r="E401" t="s">
        <v>26</v>
      </c>
      <c r="F401" t="s">
        <v>50</v>
      </c>
      <c r="G401" s="1">
        <v>46075</v>
      </c>
      <c r="H401" s="1">
        <v>46120</v>
      </c>
      <c r="I401">
        <v>45</v>
      </c>
      <c r="J401">
        <v>20625.560000000001</v>
      </c>
      <c r="K401">
        <v>0</v>
      </c>
      <c r="L401">
        <v>20625.560000000001</v>
      </c>
      <c r="N401" t="s">
        <v>93</v>
      </c>
      <c r="O401" t="s">
        <v>36</v>
      </c>
      <c r="S401" t="s">
        <v>30</v>
      </c>
      <c r="T401">
        <v>1.4999999999999999E-2</v>
      </c>
      <c r="U401" t="s">
        <v>31</v>
      </c>
      <c r="V401">
        <v>0</v>
      </c>
    </row>
    <row r="402" spans="1:22" x14ac:dyDescent="0.25">
      <c r="A402" t="s">
        <v>498</v>
      </c>
      <c r="B402" t="s">
        <v>56</v>
      </c>
      <c r="C402" t="s">
        <v>57</v>
      </c>
      <c r="D402" t="s">
        <v>58</v>
      </c>
      <c r="E402" t="s">
        <v>26</v>
      </c>
      <c r="F402" t="s">
        <v>50</v>
      </c>
      <c r="G402" s="1">
        <v>45704</v>
      </c>
      <c r="H402" s="1">
        <v>45734</v>
      </c>
      <c r="I402">
        <v>30</v>
      </c>
      <c r="J402">
        <v>28932.639999999999</v>
      </c>
      <c r="K402">
        <v>0</v>
      </c>
      <c r="L402">
        <v>28932.639999999999</v>
      </c>
      <c r="N402" t="s">
        <v>59</v>
      </c>
      <c r="O402" t="s">
        <v>77</v>
      </c>
      <c r="Q402">
        <v>-439</v>
      </c>
      <c r="R402" t="s">
        <v>31</v>
      </c>
      <c r="S402" t="s">
        <v>30</v>
      </c>
      <c r="T402">
        <v>0.01</v>
      </c>
      <c r="U402" t="s">
        <v>31</v>
      </c>
      <c r="V402">
        <v>0</v>
      </c>
    </row>
    <row r="403" spans="1:22" x14ac:dyDescent="0.25">
      <c r="A403" t="s">
        <v>499</v>
      </c>
      <c r="B403" t="s">
        <v>109</v>
      </c>
      <c r="C403" t="s">
        <v>110</v>
      </c>
      <c r="D403" t="s">
        <v>49</v>
      </c>
      <c r="E403" t="s">
        <v>68</v>
      </c>
      <c r="F403" t="s">
        <v>92</v>
      </c>
      <c r="G403" s="1">
        <v>46106</v>
      </c>
      <c r="H403" s="1">
        <v>46151</v>
      </c>
      <c r="I403">
        <v>45</v>
      </c>
      <c r="J403">
        <v>20307.849999999999</v>
      </c>
      <c r="K403">
        <v>0</v>
      </c>
      <c r="L403">
        <v>20307.849999999999</v>
      </c>
      <c r="N403" t="s">
        <v>93</v>
      </c>
      <c r="O403" t="s">
        <v>77</v>
      </c>
      <c r="S403" t="s">
        <v>31</v>
      </c>
      <c r="T403">
        <v>0</v>
      </c>
      <c r="U403" t="s">
        <v>31</v>
      </c>
      <c r="V403">
        <v>0</v>
      </c>
    </row>
    <row r="404" spans="1:22" x14ac:dyDescent="0.25">
      <c r="A404" t="s">
        <v>500</v>
      </c>
      <c r="B404" t="s">
        <v>52</v>
      </c>
      <c r="C404" t="s">
        <v>53</v>
      </c>
      <c r="D404" t="s">
        <v>54</v>
      </c>
      <c r="E404" t="s">
        <v>40</v>
      </c>
      <c r="F404" t="s">
        <v>41</v>
      </c>
      <c r="G404" s="1">
        <v>45963</v>
      </c>
      <c r="H404" s="1">
        <v>45993</v>
      </c>
      <c r="I404">
        <v>30</v>
      </c>
      <c r="J404">
        <v>10320.69</v>
      </c>
      <c r="K404">
        <v>6859.77</v>
      </c>
      <c r="L404">
        <v>3460.92</v>
      </c>
      <c r="M404" s="1">
        <v>45999</v>
      </c>
      <c r="N404" t="s">
        <v>98</v>
      </c>
      <c r="O404" t="s">
        <v>29</v>
      </c>
      <c r="P404">
        <v>36</v>
      </c>
      <c r="Q404">
        <v>-6</v>
      </c>
      <c r="R404" t="s">
        <v>31</v>
      </c>
      <c r="S404" t="s">
        <v>31</v>
      </c>
      <c r="T404">
        <v>0</v>
      </c>
      <c r="U404" t="s">
        <v>31</v>
      </c>
      <c r="V404">
        <v>0</v>
      </c>
    </row>
    <row r="405" spans="1:22" x14ac:dyDescent="0.25">
      <c r="A405" t="s">
        <v>501</v>
      </c>
      <c r="B405" t="s">
        <v>95</v>
      </c>
      <c r="C405" t="s">
        <v>96</v>
      </c>
      <c r="D405" t="s">
        <v>49</v>
      </c>
      <c r="E405" t="s">
        <v>63</v>
      </c>
      <c r="F405" t="s">
        <v>50</v>
      </c>
      <c r="G405" s="1">
        <v>45700</v>
      </c>
      <c r="H405" s="1">
        <v>45730</v>
      </c>
      <c r="I405">
        <v>30</v>
      </c>
      <c r="J405">
        <v>2241.4299999999998</v>
      </c>
      <c r="K405">
        <v>2241.4299999999998</v>
      </c>
      <c r="L405">
        <v>0</v>
      </c>
      <c r="M405" s="1">
        <v>45734</v>
      </c>
      <c r="N405" t="s">
        <v>28</v>
      </c>
      <c r="O405" t="s">
        <v>36</v>
      </c>
      <c r="P405">
        <v>34</v>
      </c>
      <c r="Q405">
        <v>-4</v>
      </c>
      <c r="R405" t="s">
        <v>31</v>
      </c>
      <c r="S405" t="s">
        <v>30</v>
      </c>
      <c r="T405">
        <v>0.01</v>
      </c>
      <c r="U405" t="s">
        <v>31</v>
      </c>
      <c r="V405">
        <v>0</v>
      </c>
    </row>
    <row r="406" spans="1:22" x14ac:dyDescent="0.25">
      <c r="A406" t="s">
        <v>502</v>
      </c>
      <c r="B406" t="s">
        <v>43</v>
      </c>
      <c r="C406" t="s">
        <v>44</v>
      </c>
      <c r="D406" t="s">
        <v>25</v>
      </c>
      <c r="E406" t="s">
        <v>68</v>
      </c>
      <c r="F406" t="s">
        <v>64</v>
      </c>
      <c r="G406" s="1">
        <v>46080</v>
      </c>
      <c r="H406" s="1">
        <v>46110</v>
      </c>
      <c r="I406">
        <v>30</v>
      </c>
      <c r="J406">
        <v>18206.93</v>
      </c>
      <c r="K406">
        <v>18206.93</v>
      </c>
      <c r="L406">
        <v>0</v>
      </c>
      <c r="M406" s="1">
        <v>46114</v>
      </c>
      <c r="N406" t="s">
        <v>28</v>
      </c>
      <c r="O406" t="s">
        <v>29</v>
      </c>
      <c r="P406">
        <v>34</v>
      </c>
      <c r="Q406">
        <v>-4</v>
      </c>
      <c r="R406" t="s">
        <v>31</v>
      </c>
      <c r="S406" t="s">
        <v>31</v>
      </c>
      <c r="T406">
        <v>0</v>
      </c>
      <c r="U406" t="s">
        <v>31</v>
      </c>
      <c r="V406">
        <v>0</v>
      </c>
    </row>
    <row r="407" spans="1:22" x14ac:dyDescent="0.25">
      <c r="A407" t="s">
        <v>503</v>
      </c>
      <c r="B407" t="s">
        <v>131</v>
      </c>
      <c r="C407" t="s">
        <v>132</v>
      </c>
      <c r="D407" t="s">
        <v>49</v>
      </c>
      <c r="E407" t="s">
        <v>40</v>
      </c>
      <c r="F407" t="s">
        <v>27</v>
      </c>
      <c r="G407" s="1">
        <v>46130</v>
      </c>
      <c r="H407" s="1">
        <v>46145</v>
      </c>
      <c r="I407">
        <v>15</v>
      </c>
      <c r="J407">
        <v>32944.379999999997</v>
      </c>
      <c r="K407">
        <v>0</v>
      </c>
      <c r="L407">
        <v>32944.379999999997</v>
      </c>
      <c r="N407" t="s">
        <v>93</v>
      </c>
      <c r="O407" t="s">
        <v>36</v>
      </c>
      <c r="S407" t="s">
        <v>30</v>
      </c>
      <c r="T407">
        <v>0.02</v>
      </c>
      <c r="U407" t="s">
        <v>31</v>
      </c>
      <c r="V407">
        <v>0</v>
      </c>
    </row>
    <row r="408" spans="1:22" x14ac:dyDescent="0.25">
      <c r="A408" t="s">
        <v>504</v>
      </c>
      <c r="B408" t="s">
        <v>153</v>
      </c>
      <c r="C408" t="s">
        <v>154</v>
      </c>
      <c r="D408" t="s">
        <v>58</v>
      </c>
      <c r="E408" t="s">
        <v>63</v>
      </c>
      <c r="F408" t="s">
        <v>41</v>
      </c>
      <c r="G408" s="1">
        <v>45789</v>
      </c>
      <c r="H408" s="1">
        <v>45849</v>
      </c>
      <c r="I408">
        <v>60</v>
      </c>
      <c r="J408">
        <v>27837.94</v>
      </c>
      <c r="K408">
        <v>27837.94</v>
      </c>
      <c r="L408">
        <v>0</v>
      </c>
      <c r="M408" s="1">
        <v>45859</v>
      </c>
      <c r="N408" t="s">
        <v>28</v>
      </c>
      <c r="O408" t="s">
        <v>29</v>
      </c>
      <c r="P408">
        <v>70</v>
      </c>
      <c r="Q408">
        <v>-10</v>
      </c>
      <c r="R408" t="s">
        <v>31</v>
      </c>
      <c r="S408" t="s">
        <v>30</v>
      </c>
      <c r="T408">
        <v>0.01</v>
      </c>
      <c r="U408" t="s">
        <v>31</v>
      </c>
      <c r="V408">
        <v>0</v>
      </c>
    </row>
    <row r="409" spans="1:22" x14ac:dyDescent="0.25">
      <c r="A409" t="s">
        <v>505</v>
      </c>
      <c r="B409" t="s">
        <v>43</v>
      </c>
      <c r="C409" t="s">
        <v>44</v>
      </c>
      <c r="D409" t="s">
        <v>25</v>
      </c>
      <c r="E409" t="s">
        <v>40</v>
      </c>
      <c r="F409" t="s">
        <v>92</v>
      </c>
      <c r="G409" s="1">
        <v>45994</v>
      </c>
      <c r="H409" s="1">
        <v>46084</v>
      </c>
      <c r="I409">
        <v>90</v>
      </c>
      <c r="J409">
        <v>12710.51</v>
      </c>
      <c r="K409">
        <v>12710.51</v>
      </c>
      <c r="L409">
        <v>0</v>
      </c>
      <c r="M409" s="1">
        <v>46078</v>
      </c>
      <c r="N409" t="s">
        <v>28</v>
      </c>
      <c r="O409" t="s">
        <v>69</v>
      </c>
      <c r="P409">
        <v>84</v>
      </c>
      <c r="Q409">
        <v>6</v>
      </c>
      <c r="R409" t="s">
        <v>30</v>
      </c>
      <c r="S409" t="s">
        <v>30</v>
      </c>
      <c r="T409">
        <v>5.0000000000000001E-3</v>
      </c>
      <c r="U409" t="s">
        <v>31</v>
      </c>
      <c r="V409">
        <v>0</v>
      </c>
    </row>
    <row r="410" spans="1:22" x14ac:dyDescent="0.25">
      <c r="A410" t="s">
        <v>506</v>
      </c>
      <c r="B410" t="s">
        <v>143</v>
      </c>
      <c r="C410" t="s">
        <v>144</v>
      </c>
      <c r="D410" t="s">
        <v>25</v>
      </c>
      <c r="E410" t="s">
        <v>45</v>
      </c>
      <c r="F410" t="s">
        <v>64</v>
      </c>
      <c r="G410" s="1">
        <v>45910</v>
      </c>
      <c r="H410" s="1">
        <v>45970</v>
      </c>
      <c r="I410">
        <v>60</v>
      </c>
      <c r="J410">
        <v>15927.54</v>
      </c>
      <c r="K410">
        <v>15927.54</v>
      </c>
      <c r="L410">
        <v>0</v>
      </c>
      <c r="M410" s="1">
        <v>45967</v>
      </c>
      <c r="N410" t="s">
        <v>28</v>
      </c>
      <c r="O410" t="s">
        <v>77</v>
      </c>
      <c r="P410">
        <v>57</v>
      </c>
      <c r="Q410">
        <v>3</v>
      </c>
      <c r="R410" t="s">
        <v>30</v>
      </c>
      <c r="S410" t="s">
        <v>31</v>
      </c>
      <c r="T410">
        <v>0</v>
      </c>
      <c r="U410" t="s">
        <v>31</v>
      </c>
      <c r="V410">
        <v>0</v>
      </c>
    </row>
    <row r="411" spans="1:22" x14ac:dyDescent="0.25">
      <c r="A411" t="s">
        <v>507</v>
      </c>
      <c r="B411" t="s">
        <v>131</v>
      </c>
      <c r="C411" t="s">
        <v>132</v>
      </c>
      <c r="D411" t="s">
        <v>49</v>
      </c>
      <c r="E411" t="s">
        <v>68</v>
      </c>
      <c r="F411" t="s">
        <v>64</v>
      </c>
      <c r="G411" s="1">
        <v>46131</v>
      </c>
      <c r="H411" s="1">
        <v>46221</v>
      </c>
      <c r="I411">
        <v>90</v>
      </c>
      <c r="J411">
        <v>23377.18</v>
      </c>
      <c r="K411">
        <v>0</v>
      </c>
      <c r="L411">
        <v>23377.18</v>
      </c>
      <c r="N411" t="s">
        <v>93</v>
      </c>
      <c r="O411" t="s">
        <v>29</v>
      </c>
      <c r="S411" t="s">
        <v>31</v>
      </c>
      <c r="T411">
        <v>0</v>
      </c>
      <c r="U411" t="s">
        <v>31</v>
      </c>
      <c r="V411">
        <v>0</v>
      </c>
    </row>
    <row r="412" spans="1:22" x14ac:dyDescent="0.25">
      <c r="A412" t="s">
        <v>508</v>
      </c>
      <c r="B412" t="s">
        <v>23</v>
      </c>
      <c r="C412" t="s">
        <v>24</v>
      </c>
      <c r="D412" t="s">
        <v>25</v>
      </c>
      <c r="E412" t="s">
        <v>63</v>
      </c>
      <c r="F412" t="s">
        <v>27</v>
      </c>
      <c r="G412" s="1">
        <v>45859</v>
      </c>
      <c r="H412" s="1">
        <v>45889</v>
      </c>
      <c r="I412">
        <v>30</v>
      </c>
      <c r="J412">
        <v>6001.46</v>
      </c>
      <c r="K412">
        <v>6001.46</v>
      </c>
      <c r="L412">
        <v>0</v>
      </c>
      <c r="M412" s="1">
        <v>45890</v>
      </c>
      <c r="N412" t="s">
        <v>28</v>
      </c>
      <c r="O412" t="s">
        <v>29</v>
      </c>
      <c r="P412">
        <v>31</v>
      </c>
      <c r="Q412">
        <v>-1</v>
      </c>
      <c r="R412" t="s">
        <v>31</v>
      </c>
      <c r="S412" t="s">
        <v>31</v>
      </c>
      <c r="T412">
        <v>0</v>
      </c>
      <c r="U412" t="s">
        <v>31</v>
      </c>
      <c r="V412">
        <v>0</v>
      </c>
    </row>
    <row r="413" spans="1:22" x14ac:dyDescent="0.25">
      <c r="A413" t="s">
        <v>509</v>
      </c>
      <c r="B413" t="s">
        <v>82</v>
      </c>
      <c r="C413" t="s">
        <v>83</v>
      </c>
      <c r="D413" t="s">
        <v>58</v>
      </c>
      <c r="E413" t="s">
        <v>26</v>
      </c>
      <c r="F413" t="s">
        <v>50</v>
      </c>
      <c r="G413" s="1">
        <v>45695</v>
      </c>
      <c r="H413" s="1">
        <v>45725</v>
      </c>
      <c r="I413">
        <v>30</v>
      </c>
      <c r="J413">
        <v>23408.98</v>
      </c>
      <c r="K413">
        <v>0</v>
      </c>
      <c r="L413">
        <v>23408.98</v>
      </c>
      <c r="N413" t="s">
        <v>59</v>
      </c>
      <c r="O413" t="s">
        <v>69</v>
      </c>
      <c r="Q413">
        <v>-448</v>
      </c>
      <c r="R413" t="s">
        <v>31</v>
      </c>
      <c r="S413" t="s">
        <v>30</v>
      </c>
      <c r="T413">
        <v>0.01</v>
      </c>
      <c r="U413" t="s">
        <v>31</v>
      </c>
      <c r="V413">
        <v>0</v>
      </c>
    </row>
    <row r="414" spans="1:22" x14ac:dyDescent="0.25">
      <c r="A414" t="s">
        <v>510</v>
      </c>
      <c r="B414" t="s">
        <v>100</v>
      </c>
      <c r="C414" t="s">
        <v>101</v>
      </c>
      <c r="D414" t="s">
        <v>54</v>
      </c>
      <c r="E414" t="s">
        <v>40</v>
      </c>
      <c r="F414" t="s">
        <v>92</v>
      </c>
      <c r="G414" s="1">
        <v>45955</v>
      </c>
      <c r="H414" s="1">
        <v>45985</v>
      </c>
      <c r="I414">
        <v>30</v>
      </c>
      <c r="J414">
        <v>2441.2800000000002</v>
      </c>
      <c r="K414">
        <v>2441.2800000000002</v>
      </c>
      <c r="L414">
        <v>0</v>
      </c>
      <c r="M414" s="1">
        <v>45985</v>
      </c>
      <c r="N414" t="s">
        <v>28</v>
      </c>
      <c r="O414" t="s">
        <v>69</v>
      </c>
      <c r="P414">
        <v>30</v>
      </c>
      <c r="Q414">
        <v>0</v>
      </c>
      <c r="R414" t="s">
        <v>30</v>
      </c>
      <c r="S414" t="s">
        <v>30</v>
      </c>
      <c r="T414">
        <v>0.01</v>
      </c>
      <c r="U414" t="s">
        <v>31</v>
      </c>
      <c r="V414">
        <v>0</v>
      </c>
    </row>
    <row r="415" spans="1:22" x14ac:dyDescent="0.25">
      <c r="A415" t="s">
        <v>511</v>
      </c>
      <c r="B415" t="s">
        <v>128</v>
      </c>
      <c r="C415" t="s">
        <v>129</v>
      </c>
      <c r="D415" t="s">
        <v>73</v>
      </c>
      <c r="E415" t="s">
        <v>63</v>
      </c>
      <c r="F415" t="s">
        <v>27</v>
      </c>
      <c r="G415" s="1">
        <v>45801</v>
      </c>
      <c r="H415" s="1">
        <v>45831</v>
      </c>
      <c r="I415">
        <v>30</v>
      </c>
      <c r="J415">
        <v>16725.27</v>
      </c>
      <c r="K415">
        <v>0</v>
      </c>
      <c r="L415">
        <v>16725.27</v>
      </c>
      <c r="N415" t="s">
        <v>59</v>
      </c>
      <c r="O415" t="s">
        <v>36</v>
      </c>
      <c r="Q415">
        <v>-342</v>
      </c>
      <c r="R415" t="s">
        <v>31</v>
      </c>
      <c r="S415" t="s">
        <v>30</v>
      </c>
      <c r="T415">
        <v>0.01</v>
      </c>
      <c r="U415" t="s">
        <v>31</v>
      </c>
      <c r="V415">
        <v>0</v>
      </c>
    </row>
    <row r="416" spans="1:22" x14ac:dyDescent="0.25">
      <c r="A416" t="s">
        <v>512</v>
      </c>
      <c r="B416" t="s">
        <v>56</v>
      </c>
      <c r="C416" t="s">
        <v>57</v>
      </c>
      <c r="D416" t="s">
        <v>58</v>
      </c>
      <c r="E416" t="s">
        <v>40</v>
      </c>
      <c r="F416" t="s">
        <v>41</v>
      </c>
      <c r="G416" s="1">
        <v>45882</v>
      </c>
      <c r="H416" s="1">
        <v>45897</v>
      </c>
      <c r="I416">
        <v>15</v>
      </c>
      <c r="J416">
        <v>31174.48</v>
      </c>
      <c r="K416">
        <v>31174.48</v>
      </c>
      <c r="L416">
        <v>0</v>
      </c>
      <c r="M416" s="1">
        <v>45898</v>
      </c>
      <c r="N416" t="s">
        <v>28</v>
      </c>
      <c r="O416" t="s">
        <v>29</v>
      </c>
      <c r="P416">
        <v>16</v>
      </c>
      <c r="Q416">
        <v>-1</v>
      </c>
      <c r="R416" t="s">
        <v>31</v>
      </c>
      <c r="S416" t="s">
        <v>30</v>
      </c>
      <c r="T416">
        <v>0.02</v>
      </c>
      <c r="U416" t="s">
        <v>31</v>
      </c>
      <c r="V416">
        <v>0</v>
      </c>
    </row>
    <row r="417" spans="1:22" x14ac:dyDescent="0.25">
      <c r="A417" t="s">
        <v>513</v>
      </c>
      <c r="B417" t="s">
        <v>82</v>
      </c>
      <c r="C417" t="s">
        <v>83</v>
      </c>
      <c r="D417" t="s">
        <v>58</v>
      </c>
      <c r="E417" t="s">
        <v>68</v>
      </c>
      <c r="F417" t="s">
        <v>41</v>
      </c>
      <c r="G417" s="1">
        <v>45705</v>
      </c>
      <c r="H417" s="1">
        <v>45795</v>
      </c>
      <c r="I417">
        <v>90</v>
      </c>
      <c r="J417">
        <v>4476.47</v>
      </c>
      <c r="K417">
        <v>4476.47</v>
      </c>
      <c r="L417">
        <v>0</v>
      </c>
      <c r="M417" s="1">
        <v>45806</v>
      </c>
      <c r="N417" t="s">
        <v>28</v>
      </c>
      <c r="O417" t="s">
        <v>69</v>
      </c>
      <c r="P417">
        <v>101</v>
      </c>
      <c r="Q417">
        <v>-11</v>
      </c>
      <c r="R417" t="s">
        <v>31</v>
      </c>
      <c r="S417" t="s">
        <v>30</v>
      </c>
      <c r="T417">
        <v>5.0000000000000001E-3</v>
      </c>
      <c r="U417" t="s">
        <v>31</v>
      </c>
      <c r="V417">
        <v>0</v>
      </c>
    </row>
    <row r="418" spans="1:22" x14ac:dyDescent="0.25">
      <c r="A418" t="s">
        <v>514</v>
      </c>
      <c r="B418" t="s">
        <v>82</v>
      </c>
      <c r="C418" t="s">
        <v>83</v>
      </c>
      <c r="D418" t="s">
        <v>58</v>
      </c>
      <c r="E418" t="s">
        <v>68</v>
      </c>
      <c r="F418" t="s">
        <v>92</v>
      </c>
      <c r="G418" s="1">
        <v>46045</v>
      </c>
      <c r="H418" s="1">
        <v>46105</v>
      </c>
      <c r="I418">
        <v>60</v>
      </c>
      <c r="J418">
        <v>16515.98</v>
      </c>
      <c r="K418">
        <v>9221.39</v>
      </c>
      <c r="L418">
        <v>7294.59</v>
      </c>
      <c r="M418" s="1">
        <v>46112</v>
      </c>
      <c r="N418" t="s">
        <v>98</v>
      </c>
      <c r="O418" t="s">
        <v>36</v>
      </c>
      <c r="P418">
        <v>67</v>
      </c>
      <c r="Q418">
        <v>-7</v>
      </c>
      <c r="R418" t="s">
        <v>31</v>
      </c>
      <c r="S418" t="s">
        <v>30</v>
      </c>
      <c r="T418">
        <v>0.01</v>
      </c>
      <c r="U418" t="s">
        <v>31</v>
      </c>
      <c r="V418">
        <v>0</v>
      </c>
    </row>
    <row r="419" spans="1:22" x14ac:dyDescent="0.25">
      <c r="A419" t="s">
        <v>515</v>
      </c>
      <c r="B419" t="s">
        <v>52</v>
      </c>
      <c r="C419" t="s">
        <v>53</v>
      </c>
      <c r="D419" t="s">
        <v>54</v>
      </c>
      <c r="E419" t="s">
        <v>63</v>
      </c>
      <c r="F419" t="s">
        <v>41</v>
      </c>
      <c r="G419" s="1">
        <v>46156</v>
      </c>
      <c r="H419" s="1">
        <v>46216</v>
      </c>
      <c r="I419">
        <v>60</v>
      </c>
      <c r="J419">
        <v>11993.53</v>
      </c>
      <c r="K419">
        <v>11993.53</v>
      </c>
      <c r="L419">
        <v>0</v>
      </c>
      <c r="M419" s="1">
        <v>46173</v>
      </c>
      <c r="N419" t="s">
        <v>28</v>
      </c>
      <c r="O419" t="s">
        <v>29</v>
      </c>
      <c r="P419">
        <v>17</v>
      </c>
      <c r="Q419">
        <v>43</v>
      </c>
      <c r="R419" t="s">
        <v>30</v>
      </c>
      <c r="S419" t="s">
        <v>31</v>
      </c>
      <c r="T419">
        <v>0</v>
      </c>
      <c r="U419" t="s">
        <v>31</v>
      </c>
      <c r="V419">
        <v>0</v>
      </c>
    </row>
    <row r="420" spans="1:22" x14ac:dyDescent="0.25">
      <c r="A420" t="s">
        <v>516</v>
      </c>
      <c r="B420" t="s">
        <v>82</v>
      </c>
      <c r="C420" t="s">
        <v>83</v>
      </c>
      <c r="D420" t="s">
        <v>58</v>
      </c>
      <c r="E420" t="s">
        <v>68</v>
      </c>
      <c r="F420" t="s">
        <v>64</v>
      </c>
      <c r="G420" s="1">
        <v>45819</v>
      </c>
      <c r="H420" s="1">
        <v>45849</v>
      </c>
      <c r="I420">
        <v>30</v>
      </c>
      <c r="J420">
        <v>16402.25</v>
      </c>
      <c r="K420">
        <v>16402.25</v>
      </c>
      <c r="L420">
        <v>0</v>
      </c>
      <c r="M420" s="1">
        <v>45851</v>
      </c>
      <c r="N420" t="s">
        <v>28</v>
      </c>
      <c r="O420" t="s">
        <v>36</v>
      </c>
      <c r="P420">
        <v>32</v>
      </c>
      <c r="Q420">
        <v>-2</v>
      </c>
      <c r="R420" t="s">
        <v>31</v>
      </c>
      <c r="S420" t="s">
        <v>31</v>
      </c>
      <c r="T420">
        <v>0</v>
      </c>
      <c r="U420" t="s">
        <v>31</v>
      </c>
      <c r="V420">
        <v>0</v>
      </c>
    </row>
    <row r="421" spans="1:22" x14ac:dyDescent="0.25">
      <c r="A421" t="s">
        <v>517</v>
      </c>
      <c r="B421" t="s">
        <v>52</v>
      </c>
      <c r="C421" t="s">
        <v>53</v>
      </c>
      <c r="D421" t="s">
        <v>54</v>
      </c>
      <c r="E421" t="s">
        <v>45</v>
      </c>
      <c r="F421" t="s">
        <v>92</v>
      </c>
      <c r="G421" s="1">
        <v>46148</v>
      </c>
      <c r="H421" s="1">
        <v>46238</v>
      </c>
      <c r="I421">
        <v>90</v>
      </c>
      <c r="J421">
        <v>7445.81</v>
      </c>
      <c r="K421">
        <v>7445.81</v>
      </c>
      <c r="L421">
        <v>0</v>
      </c>
      <c r="M421" s="1">
        <v>46173</v>
      </c>
      <c r="N421" t="s">
        <v>28</v>
      </c>
      <c r="O421" t="s">
        <v>77</v>
      </c>
      <c r="P421">
        <v>25</v>
      </c>
      <c r="Q421">
        <v>65</v>
      </c>
      <c r="R421" t="s">
        <v>30</v>
      </c>
      <c r="S421" t="s">
        <v>30</v>
      </c>
      <c r="T421">
        <v>5.0000000000000001E-3</v>
      </c>
      <c r="U421" t="s">
        <v>30</v>
      </c>
      <c r="V421">
        <v>37.229999999999997</v>
      </c>
    </row>
    <row r="422" spans="1:22" x14ac:dyDescent="0.25">
      <c r="A422" t="s">
        <v>518</v>
      </c>
      <c r="B422" t="s">
        <v>66</v>
      </c>
      <c r="C422" t="s">
        <v>67</v>
      </c>
      <c r="D422" t="s">
        <v>35</v>
      </c>
      <c r="E422" t="s">
        <v>40</v>
      </c>
      <c r="F422" t="s">
        <v>64</v>
      </c>
      <c r="G422" s="1">
        <v>45715</v>
      </c>
      <c r="H422" s="1">
        <v>45745</v>
      </c>
      <c r="I422">
        <v>30</v>
      </c>
      <c r="J422">
        <v>17475.599999999999</v>
      </c>
      <c r="K422">
        <v>17475.599999999999</v>
      </c>
      <c r="L422">
        <v>0</v>
      </c>
      <c r="M422" s="1">
        <v>45749</v>
      </c>
      <c r="N422" t="s">
        <v>28</v>
      </c>
      <c r="O422" t="s">
        <v>77</v>
      </c>
      <c r="P422">
        <v>34</v>
      </c>
      <c r="Q422">
        <v>-4</v>
      </c>
      <c r="R422" t="s">
        <v>31</v>
      </c>
      <c r="S422" t="s">
        <v>31</v>
      </c>
      <c r="T422">
        <v>0</v>
      </c>
      <c r="U422" t="s">
        <v>31</v>
      </c>
      <c r="V422">
        <v>0</v>
      </c>
    </row>
    <row r="423" spans="1:22" x14ac:dyDescent="0.25">
      <c r="A423" t="s">
        <v>519</v>
      </c>
      <c r="B423" t="s">
        <v>47</v>
      </c>
      <c r="C423" t="s">
        <v>48</v>
      </c>
      <c r="D423" t="s">
        <v>49</v>
      </c>
      <c r="E423" t="s">
        <v>63</v>
      </c>
      <c r="F423" t="s">
        <v>50</v>
      </c>
      <c r="G423" s="1">
        <v>45745</v>
      </c>
      <c r="H423" s="1">
        <v>45790</v>
      </c>
      <c r="I423">
        <v>45</v>
      </c>
      <c r="J423">
        <v>12396.48</v>
      </c>
      <c r="K423">
        <v>12396.48</v>
      </c>
      <c r="L423">
        <v>0</v>
      </c>
      <c r="M423" s="1">
        <v>45785</v>
      </c>
      <c r="N423" t="s">
        <v>28</v>
      </c>
      <c r="O423" t="s">
        <v>77</v>
      </c>
      <c r="P423">
        <v>40</v>
      </c>
      <c r="Q423">
        <v>5</v>
      </c>
      <c r="R423" t="s">
        <v>30</v>
      </c>
      <c r="S423" t="s">
        <v>30</v>
      </c>
      <c r="T423">
        <v>1.4999999999999999E-2</v>
      </c>
      <c r="U423" t="s">
        <v>31</v>
      </c>
      <c r="V423">
        <v>0</v>
      </c>
    </row>
    <row r="424" spans="1:22" x14ac:dyDescent="0.25">
      <c r="A424" t="s">
        <v>520</v>
      </c>
      <c r="B424" t="s">
        <v>38</v>
      </c>
      <c r="C424" t="s">
        <v>39</v>
      </c>
      <c r="D424" t="s">
        <v>35</v>
      </c>
      <c r="E424" t="s">
        <v>63</v>
      </c>
      <c r="F424" t="s">
        <v>64</v>
      </c>
      <c r="G424" s="1">
        <v>45829</v>
      </c>
      <c r="H424" s="1">
        <v>45874</v>
      </c>
      <c r="I424">
        <v>45</v>
      </c>
      <c r="J424">
        <v>59314.01</v>
      </c>
      <c r="K424">
        <v>59314.01</v>
      </c>
      <c r="L424">
        <v>0</v>
      </c>
      <c r="M424" s="1">
        <v>45874</v>
      </c>
      <c r="N424" t="s">
        <v>28</v>
      </c>
      <c r="O424" t="s">
        <v>36</v>
      </c>
      <c r="P424">
        <v>45</v>
      </c>
      <c r="Q424">
        <v>0</v>
      </c>
      <c r="R424" t="s">
        <v>30</v>
      </c>
      <c r="S424" t="s">
        <v>30</v>
      </c>
      <c r="T424">
        <v>1.4999999999999999E-2</v>
      </c>
      <c r="U424" t="s">
        <v>31</v>
      </c>
      <c r="V424">
        <v>0</v>
      </c>
    </row>
    <row r="425" spans="1:22" x14ac:dyDescent="0.25">
      <c r="A425" t="s">
        <v>521</v>
      </c>
      <c r="B425" t="s">
        <v>66</v>
      </c>
      <c r="C425" t="s">
        <v>67</v>
      </c>
      <c r="D425" t="s">
        <v>35</v>
      </c>
      <c r="E425" t="s">
        <v>26</v>
      </c>
      <c r="F425" t="s">
        <v>64</v>
      </c>
      <c r="G425" s="1">
        <v>45793</v>
      </c>
      <c r="H425" s="1">
        <v>45853</v>
      </c>
      <c r="I425">
        <v>60</v>
      </c>
      <c r="J425">
        <v>13142.76</v>
      </c>
      <c r="K425">
        <v>7257.17</v>
      </c>
      <c r="L425">
        <v>5885.59</v>
      </c>
      <c r="M425" s="1">
        <v>45861</v>
      </c>
      <c r="N425" t="s">
        <v>98</v>
      </c>
      <c r="O425" t="s">
        <v>69</v>
      </c>
      <c r="P425">
        <v>68</v>
      </c>
      <c r="Q425">
        <v>-8</v>
      </c>
      <c r="R425" t="s">
        <v>31</v>
      </c>
      <c r="S425" t="s">
        <v>30</v>
      </c>
      <c r="T425">
        <v>0.01</v>
      </c>
      <c r="U425" t="s">
        <v>31</v>
      </c>
      <c r="V425">
        <v>0</v>
      </c>
    </row>
    <row r="426" spans="1:22" x14ac:dyDescent="0.25">
      <c r="A426" t="s">
        <v>522</v>
      </c>
      <c r="B426" t="s">
        <v>75</v>
      </c>
      <c r="C426" t="s">
        <v>76</v>
      </c>
      <c r="D426" t="s">
        <v>35</v>
      </c>
      <c r="E426" t="s">
        <v>63</v>
      </c>
      <c r="F426" t="s">
        <v>27</v>
      </c>
      <c r="G426" s="1">
        <v>45697</v>
      </c>
      <c r="H426" s="1">
        <v>45787</v>
      </c>
      <c r="I426">
        <v>90</v>
      </c>
      <c r="J426">
        <v>70831.45</v>
      </c>
      <c r="K426">
        <v>70831.45</v>
      </c>
      <c r="L426">
        <v>0</v>
      </c>
      <c r="M426" s="1">
        <v>45796</v>
      </c>
      <c r="N426" t="s">
        <v>28</v>
      </c>
      <c r="O426" t="s">
        <v>36</v>
      </c>
      <c r="P426">
        <v>99</v>
      </c>
      <c r="Q426">
        <v>-9</v>
      </c>
      <c r="R426" t="s">
        <v>31</v>
      </c>
      <c r="S426" t="s">
        <v>30</v>
      </c>
      <c r="T426">
        <v>5.0000000000000001E-3</v>
      </c>
      <c r="U426" t="s">
        <v>31</v>
      </c>
      <c r="V426">
        <v>0</v>
      </c>
    </row>
    <row r="427" spans="1:22" x14ac:dyDescent="0.25">
      <c r="A427" t="s">
        <v>523</v>
      </c>
      <c r="B427" t="s">
        <v>187</v>
      </c>
      <c r="C427" t="s">
        <v>188</v>
      </c>
      <c r="D427" t="s">
        <v>73</v>
      </c>
      <c r="E427" t="s">
        <v>63</v>
      </c>
      <c r="F427" t="s">
        <v>27</v>
      </c>
      <c r="G427" s="1">
        <v>46037</v>
      </c>
      <c r="H427" s="1">
        <v>46097</v>
      </c>
      <c r="I427">
        <v>60</v>
      </c>
      <c r="J427">
        <v>30869.200000000001</v>
      </c>
      <c r="K427">
        <v>30869.200000000001</v>
      </c>
      <c r="L427">
        <v>0</v>
      </c>
      <c r="M427" s="1">
        <v>46103</v>
      </c>
      <c r="N427" t="s">
        <v>28</v>
      </c>
      <c r="O427" t="s">
        <v>69</v>
      </c>
      <c r="P427">
        <v>66</v>
      </c>
      <c r="Q427">
        <v>-6</v>
      </c>
      <c r="R427" t="s">
        <v>31</v>
      </c>
      <c r="S427" t="s">
        <v>30</v>
      </c>
      <c r="T427">
        <v>0.01</v>
      </c>
      <c r="U427" t="s">
        <v>31</v>
      </c>
      <c r="V427">
        <v>0</v>
      </c>
    </row>
    <row r="428" spans="1:22" x14ac:dyDescent="0.25">
      <c r="A428" t="s">
        <v>524</v>
      </c>
      <c r="B428" t="s">
        <v>100</v>
      </c>
      <c r="C428" t="s">
        <v>101</v>
      </c>
      <c r="D428" t="s">
        <v>54</v>
      </c>
      <c r="E428" t="s">
        <v>45</v>
      </c>
      <c r="F428" t="s">
        <v>92</v>
      </c>
      <c r="G428" s="1">
        <v>45795</v>
      </c>
      <c r="H428" s="1">
        <v>45855</v>
      </c>
      <c r="I428">
        <v>60</v>
      </c>
      <c r="J428">
        <v>4190.51</v>
      </c>
      <c r="K428">
        <v>0</v>
      </c>
      <c r="L428">
        <v>4190.51</v>
      </c>
      <c r="N428" t="s">
        <v>59</v>
      </c>
      <c r="O428" t="s">
        <v>77</v>
      </c>
      <c r="Q428">
        <v>-318</v>
      </c>
      <c r="R428" t="s">
        <v>31</v>
      </c>
      <c r="S428" t="s">
        <v>31</v>
      </c>
      <c r="T428">
        <v>0</v>
      </c>
      <c r="U428" t="s">
        <v>31</v>
      </c>
      <c r="V428">
        <v>0</v>
      </c>
    </row>
    <row r="429" spans="1:22" x14ac:dyDescent="0.25">
      <c r="A429" t="s">
        <v>525</v>
      </c>
      <c r="B429" t="s">
        <v>43</v>
      </c>
      <c r="C429" t="s">
        <v>44</v>
      </c>
      <c r="D429" t="s">
        <v>25</v>
      </c>
      <c r="E429" t="s">
        <v>68</v>
      </c>
      <c r="F429" t="s">
        <v>50</v>
      </c>
      <c r="G429" s="1">
        <v>45851</v>
      </c>
      <c r="H429" s="1">
        <v>45896</v>
      </c>
      <c r="I429">
        <v>45</v>
      </c>
      <c r="J429">
        <v>1103.92</v>
      </c>
      <c r="K429">
        <v>1103.92</v>
      </c>
      <c r="L429">
        <v>0</v>
      </c>
      <c r="M429" s="1">
        <v>45887</v>
      </c>
      <c r="N429" t="s">
        <v>28</v>
      </c>
      <c r="O429" t="s">
        <v>69</v>
      </c>
      <c r="P429">
        <v>36</v>
      </c>
      <c r="Q429">
        <v>9</v>
      </c>
      <c r="R429" t="s">
        <v>30</v>
      </c>
      <c r="S429" t="s">
        <v>31</v>
      </c>
      <c r="T429">
        <v>0</v>
      </c>
      <c r="U429" t="s">
        <v>31</v>
      </c>
      <c r="V429">
        <v>0</v>
      </c>
    </row>
    <row r="430" spans="1:22" x14ac:dyDescent="0.25">
      <c r="A430" t="s">
        <v>526</v>
      </c>
      <c r="B430" t="s">
        <v>47</v>
      </c>
      <c r="C430" t="s">
        <v>48</v>
      </c>
      <c r="D430" t="s">
        <v>49</v>
      </c>
      <c r="E430" t="s">
        <v>40</v>
      </c>
      <c r="F430" t="s">
        <v>92</v>
      </c>
      <c r="G430" s="1">
        <v>45767</v>
      </c>
      <c r="H430" s="1">
        <v>45827</v>
      </c>
      <c r="I430">
        <v>60</v>
      </c>
      <c r="J430">
        <v>9429.3700000000008</v>
      </c>
      <c r="K430">
        <v>9429.3700000000008</v>
      </c>
      <c r="L430">
        <v>0</v>
      </c>
      <c r="M430" s="1">
        <v>45826</v>
      </c>
      <c r="N430" t="s">
        <v>28</v>
      </c>
      <c r="O430" t="s">
        <v>69</v>
      </c>
      <c r="P430">
        <v>59</v>
      </c>
      <c r="Q430">
        <v>1</v>
      </c>
      <c r="R430" t="s">
        <v>30</v>
      </c>
      <c r="S430" t="s">
        <v>30</v>
      </c>
      <c r="T430">
        <v>0.01</v>
      </c>
      <c r="U430" t="s">
        <v>31</v>
      </c>
      <c r="V430">
        <v>0</v>
      </c>
    </row>
    <row r="431" spans="1:22" x14ac:dyDescent="0.25">
      <c r="A431" t="s">
        <v>527</v>
      </c>
      <c r="B431" t="s">
        <v>79</v>
      </c>
      <c r="C431" t="s">
        <v>80</v>
      </c>
      <c r="D431" t="s">
        <v>49</v>
      </c>
      <c r="E431" t="s">
        <v>45</v>
      </c>
      <c r="F431" t="s">
        <v>50</v>
      </c>
      <c r="G431" s="1">
        <v>46064</v>
      </c>
      <c r="H431" s="1">
        <v>46109</v>
      </c>
      <c r="I431">
        <v>45</v>
      </c>
      <c r="J431">
        <v>38238.65</v>
      </c>
      <c r="K431">
        <v>20696.05</v>
      </c>
      <c r="L431">
        <v>17542.599999999999</v>
      </c>
      <c r="M431" s="1">
        <v>46115</v>
      </c>
      <c r="N431" t="s">
        <v>98</v>
      </c>
      <c r="O431" t="s">
        <v>29</v>
      </c>
      <c r="P431">
        <v>51</v>
      </c>
      <c r="Q431">
        <v>-6</v>
      </c>
      <c r="R431" t="s">
        <v>31</v>
      </c>
      <c r="S431" t="s">
        <v>30</v>
      </c>
      <c r="T431">
        <v>1.4999999999999999E-2</v>
      </c>
      <c r="U431" t="s">
        <v>31</v>
      </c>
      <c r="V431">
        <v>0</v>
      </c>
    </row>
    <row r="432" spans="1:22" x14ac:dyDescent="0.25">
      <c r="A432" t="s">
        <v>528</v>
      </c>
      <c r="B432" t="s">
        <v>79</v>
      </c>
      <c r="C432" t="s">
        <v>80</v>
      </c>
      <c r="D432" t="s">
        <v>49</v>
      </c>
      <c r="E432" t="s">
        <v>63</v>
      </c>
      <c r="F432" t="s">
        <v>41</v>
      </c>
      <c r="G432" s="1">
        <v>46010</v>
      </c>
      <c r="H432" s="1">
        <v>46055</v>
      </c>
      <c r="I432">
        <v>45</v>
      </c>
      <c r="J432">
        <v>39161.339999999997</v>
      </c>
      <c r="K432">
        <v>39161.339999999997</v>
      </c>
      <c r="L432">
        <v>0</v>
      </c>
      <c r="M432" s="1">
        <v>46057</v>
      </c>
      <c r="N432" t="s">
        <v>28</v>
      </c>
      <c r="O432" t="s">
        <v>29</v>
      </c>
      <c r="P432">
        <v>47</v>
      </c>
      <c r="Q432">
        <v>-2</v>
      </c>
      <c r="R432" t="s">
        <v>31</v>
      </c>
      <c r="S432" t="s">
        <v>30</v>
      </c>
      <c r="T432">
        <v>1.4999999999999999E-2</v>
      </c>
      <c r="U432" t="s">
        <v>31</v>
      </c>
      <c r="V432">
        <v>0</v>
      </c>
    </row>
    <row r="433" spans="1:22" x14ac:dyDescent="0.25">
      <c r="A433" t="s">
        <v>529</v>
      </c>
      <c r="B433" t="s">
        <v>52</v>
      </c>
      <c r="C433" t="s">
        <v>53</v>
      </c>
      <c r="D433" t="s">
        <v>54</v>
      </c>
      <c r="E433" t="s">
        <v>45</v>
      </c>
      <c r="F433" t="s">
        <v>64</v>
      </c>
      <c r="G433" s="1">
        <v>46068</v>
      </c>
      <c r="H433" s="1">
        <v>46098</v>
      </c>
      <c r="I433">
        <v>30</v>
      </c>
      <c r="J433">
        <v>11898.18</v>
      </c>
      <c r="K433">
        <v>11898.18</v>
      </c>
      <c r="L433">
        <v>0</v>
      </c>
      <c r="M433" s="1">
        <v>46095</v>
      </c>
      <c r="N433" t="s">
        <v>28</v>
      </c>
      <c r="O433" t="s">
        <v>77</v>
      </c>
      <c r="P433">
        <v>27</v>
      </c>
      <c r="Q433">
        <v>3</v>
      </c>
      <c r="R433" t="s">
        <v>30</v>
      </c>
      <c r="S433" t="s">
        <v>31</v>
      </c>
      <c r="T433">
        <v>0</v>
      </c>
      <c r="U433" t="s">
        <v>31</v>
      </c>
      <c r="V433">
        <v>0</v>
      </c>
    </row>
    <row r="434" spans="1:22" x14ac:dyDescent="0.25">
      <c r="A434" t="s">
        <v>530</v>
      </c>
      <c r="B434" t="s">
        <v>56</v>
      </c>
      <c r="C434" t="s">
        <v>57</v>
      </c>
      <c r="D434" t="s">
        <v>58</v>
      </c>
      <c r="E434" t="s">
        <v>26</v>
      </c>
      <c r="F434" t="s">
        <v>64</v>
      </c>
      <c r="G434" s="1">
        <v>45751</v>
      </c>
      <c r="H434" s="1">
        <v>45766</v>
      </c>
      <c r="I434">
        <v>15</v>
      </c>
      <c r="J434">
        <v>33460.449999999997</v>
      </c>
      <c r="K434">
        <v>33460.449999999997</v>
      </c>
      <c r="L434">
        <v>0</v>
      </c>
      <c r="M434" s="1">
        <v>45771</v>
      </c>
      <c r="N434" t="s">
        <v>28</v>
      </c>
      <c r="O434" t="s">
        <v>69</v>
      </c>
      <c r="P434">
        <v>20</v>
      </c>
      <c r="Q434">
        <v>-5</v>
      </c>
      <c r="R434" t="s">
        <v>31</v>
      </c>
      <c r="S434" t="s">
        <v>30</v>
      </c>
      <c r="T434">
        <v>0.02</v>
      </c>
      <c r="U434" t="s">
        <v>31</v>
      </c>
      <c r="V434">
        <v>0</v>
      </c>
    </row>
    <row r="435" spans="1:22" x14ac:dyDescent="0.25">
      <c r="A435" t="s">
        <v>531</v>
      </c>
      <c r="B435" t="s">
        <v>128</v>
      </c>
      <c r="C435" t="s">
        <v>129</v>
      </c>
      <c r="D435" t="s">
        <v>73</v>
      </c>
      <c r="E435" t="s">
        <v>26</v>
      </c>
      <c r="F435" t="s">
        <v>50</v>
      </c>
      <c r="G435" s="1">
        <v>46068</v>
      </c>
      <c r="H435" s="1">
        <v>46128</v>
      </c>
      <c r="I435">
        <v>60</v>
      </c>
      <c r="J435">
        <v>22260.86</v>
      </c>
      <c r="K435">
        <v>22260.86</v>
      </c>
      <c r="L435">
        <v>0</v>
      </c>
      <c r="M435" s="1">
        <v>46131</v>
      </c>
      <c r="N435" t="s">
        <v>28</v>
      </c>
      <c r="O435" t="s">
        <v>77</v>
      </c>
      <c r="P435">
        <v>63</v>
      </c>
      <c r="Q435">
        <v>-3</v>
      </c>
      <c r="R435" t="s">
        <v>31</v>
      </c>
      <c r="S435" t="s">
        <v>30</v>
      </c>
      <c r="T435">
        <v>0.01</v>
      </c>
      <c r="U435" t="s">
        <v>31</v>
      </c>
      <c r="V435">
        <v>0</v>
      </c>
    </row>
    <row r="436" spans="1:22" x14ac:dyDescent="0.25">
      <c r="A436" t="s">
        <v>532</v>
      </c>
      <c r="B436" t="s">
        <v>85</v>
      </c>
      <c r="C436" t="s">
        <v>86</v>
      </c>
      <c r="D436" t="s">
        <v>25</v>
      </c>
      <c r="E436" t="s">
        <v>40</v>
      </c>
      <c r="F436" t="s">
        <v>41</v>
      </c>
      <c r="G436" s="1">
        <v>45864</v>
      </c>
      <c r="H436" s="1">
        <v>45879</v>
      </c>
      <c r="I436">
        <v>15</v>
      </c>
      <c r="J436">
        <v>17160.79</v>
      </c>
      <c r="K436">
        <v>17160.79</v>
      </c>
      <c r="L436">
        <v>0</v>
      </c>
      <c r="M436" s="1">
        <v>45883</v>
      </c>
      <c r="N436" t="s">
        <v>28</v>
      </c>
      <c r="O436" t="s">
        <v>69</v>
      </c>
      <c r="P436">
        <v>19</v>
      </c>
      <c r="Q436">
        <v>-4</v>
      </c>
      <c r="R436" t="s">
        <v>31</v>
      </c>
      <c r="S436" t="s">
        <v>31</v>
      </c>
      <c r="T436">
        <v>0</v>
      </c>
      <c r="U436" t="s">
        <v>31</v>
      </c>
      <c r="V436">
        <v>0</v>
      </c>
    </row>
    <row r="437" spans="1:22" x14ac:dyDescent="0.25">
      <c r="A437" t="s">
        <v>533</v>
      </c>
      <c r="B437" t="s">
        <v>82</v>
      </c>
      <c r="C437" t="s">
        <v>83</v>
      </c>
      <c r="D437" t="s">
        <v>58</v>
      </c>
      <c r="E437" t="s">
        <v>63</v>
      </c>
      <c r="F437" t="s">
        <v>64</v>
      </c>
      <c r="G437" s="1">
        <v>46026</v>
      </c>
      <c r="H437" s="1">
        <v>46041</v>
      </c>
      <c r="I437">
        <v>15</v>
      </c>
      <c r="J437">
        <v>11852.5</v>
      </c>
      <c r="K437">
        <v>11852.5</v>
      </c>
      <c r="L437">
        <v>0</v>
      </c>
      <c r="M437" s="1">
        <v>46054</v>
      </c>
      <c r="N437" t="s">
        <v>28</v>
      </c>
      <c r="O437" t="s">
        <v>36</v>
      </c>
      <c r="P437">
        <v>28</v>
      </c>
      <c r="Q437">
        <v>-13</v>
      </c>
      <c r="R437" t="s">
        <v>31</v>
      </c>
      <c r="S437" t="s">
        <v>30</v>
      </c>
      <c r="T437">
        <v>0.02</v>
      </c>
      <c r="U437" t="s">
        <v>31</v>
      </c>
      <c r="V437">
        <v>0</v>
      </c>
    </row>
    <row r="438" spans="1:22" x14ac:dyDescent="0.25">
      <c r="A438" t="s">
        <v>534</v>
      </c>
      <c r="B438" t="s">
        <v>131</v>
      </c>
      <c r="C438" t="s">
        <v>132</v>
      </c>
      <c r="D438" t="s">
        <v>49</v>
      </c>
      <c r="E438" t="s">
        <v>45</v>
      </c>
      <c r="F438" t="s">
        <v>92</v>
      </c>
      <c r="G438" s="1">
        <v>45863</v>
      </c>
      <c r="H438" s="1">
        <v>45923</v>
      </c>
      <c r="I438">
        <v>60</v>
      </c>
      <c r="J438">
        <v>26851.65</v>
      </c>
      <c r="K438">
        <v>26851.65</v>
      </c>
      <c r="L438">
        <v>0</v>
      </c>
      <c r="M438" s="1">
        <v>45928</v>
      </c>
      <c r="N438" t="s">
        <v>28</v>
      </c>
      <c r="O438" t="s">
        <v>69</v>
      </c>
      <c r="P438">
        <v>65</v>
      </c>
      <c r="Q438">
        <v>-5</v>
      </c>
      <c r="R438" t="s">
        <v>31</v>
      </c>
      <c r="S438" t="s">
        <v>31</v>
      </c>
      <c r="T438">
        <v>0</v>
      </c>
      <c r="U438" t="s">
        <v>31</v>
      </c>
      <c r="V438">
        <v>0</v>
      </c>
    </row>
    <row r="439" spans="1:22" x14ac:dyDescent="0.25">
      <c r="A439" t="s">
        <v>535</v>
      </c>
      <c r="B439" t="s">
        <v>79</v>
      </c>
      <c r="C439" t="s">
        <v>80</v>
      </c>
      <c r="D439" t="s">
        <v>49</v>
      </c>
      <c r="E439" t="s">
        <v>63</v>
      </c>
      <c r="F439" t="s">
        <v>92</v>
      </c>
      <c r="G439" s="1">
        <v>45889</v>
      </c>
      <c r="H439" s="1">
        <v>45934</v>
      </c>
      <c r="I439">
        <v>45</v>
      </c>
      <c r="J439">
        <v>31105.439999999999</v>
      </c>
      <c r="K439">
        <v>0</v>
      </c>
      <c r="L439">
        <v>31105.439999999999</v>
      </c>
      <c r="N439" t="s">
        <v>59</v>
      </c>
      <c r="O439" t="s">
        <v>29</v>
      </c>
      <c r="Q439">
        <v>-239</v>
      </c>
      <c r="R439" t="s">
        <v>31</v>
      </c>
      <c r="S439" t="s">
        <v>30</v>
      </c>
      <c r="T439">
        <v>1.4999999999999999E-2</v>
      </c>
      <c r="U439" t="s">
        <v>31</v>
      </c>
      <c r="V439">
        <v>0</v>
      </c>
    </row>
    <row r="440" spans="1:22" x14ac:dyDescent="0.25">
      <c r="A440" t="s">
        <v>536</v>
      </c>
      <c r="B440" t="s">
        <v>66</v>
      </c>
      <c r="C440" t="s">
        <v>67</v>
      </c>
      <c r="D440" t="s">
        <v>35</v>
      </c>
      <c r="E440" t="s">
        <v>26</v>
      </c>
      <c r="F440" t="s">
        <v>92</v>
      </c>
      <c r="G440" s="1">
        <v>45767</v>
      </c>
      <c r="H440" s="1">
        <v>45827</v>
      </c>
      <c r="I440">
        <v>60</v>
      </c>
      <c r="J440">
        <v>46897.3</v>
      </c>
      <c r="K440">
        <v>46897.3</v>
      </c>
      <c r="L440">
        <v>0</v>
      </c>
      <c r="M440" s="1">
        <v>45830</v>
      </c>
      <c r="N440" t="s">
        <v>28</v>
      </c>
      <c r="O440" t="s">
        <v>36</v>
      </c>
      <c r="P440">
        <v>63</v>
      </c>
      <c r="Q440">
        <v>-3</v>
      </c>
      <c r="R440" t="s">
        <v>31</v>
      </c>
      <c r="S440" t="s">
        <v>30</v>
      </c>
      <c r="T440">
        <v>0.01</v>
      </c>
      <c r="U440" t="s">
        <v>31</v>
      </c>
      <c r="V440">
        <v>0</v>
      </c>
    </row>
    <row r="441" spans="1:22" x14ac:dyDescent="0.25">
      <c r="A441" t="s">
        <v>537</v>
      </c>
      <c r="B441" t="s">
        <v>109</v>
      </c>
      <c r="C441" t="s">
        <v>110</v>
      </c>
      <c r="D441" t="s">
        <v>49</v>
      </c>
      <c r="E441" t="s">
        <v>63</v>
      </c>
      <c r="F441" t="s">
        <v>92</v>
      </c>
      <c r="G441" s="1">
        <v>46044</v>
      </c>
      <c r="H441" s="1">
        <v>46134</v>
      </c>
      <c r="I441">
        <v>90</v>
      </c>
      <c r="J441">
        <v>29032.09</v>
      </c>
      <c r="K441">
        <v>29032.09</v>
      </c>
      <c r="L441">
        <v>0</v>
      </c>
      <c r="M441" s="1">
        <v>46126</v>
      </c>
      <c r="N441" t="s">
        <v>28</v>
      </c>
      <c r="O441" t="s">
        <v>29</v>
      </c>
      <c r="P441">
        <v>82</v>
      </c>
      <c r="Q441">
        <v>8</v>
      </c>
      <c r="R441" t="s">
        <v>30</v>
      </c>
      <c r="S441" t="s">
        <v>31</v>
      </c>
      <c r="T441">
        <v>0</v>
      </c>
      <c r="U441" t="s">
        <v>31</v>
      </c>
      <c r="V441">
        <v>0</v>
      </c>
    </row>
    <row r="442" spans="1:22" x14ac:dyDescent="0.25">
      <c r="A442" t="s">
        <v>538</v>
      </c>
      <c r="B442" t="s">
        <v>66</v>
      </c>
      <c r="C442" t="s">
        <v>67</v>
      </c>
      <c r="D442" t="s">
        <v>35</v>
      </c>
      <c r="E442" t="s">
        <v>26</v>
      </c>
      <c r="F442" t="s">
        <v>41</v>
      </c>
      <c r="G442" s="1">
        <v>45727</v>
      </c>
      <c r="H442" s="1">
        <v>45772</v>
      </c>
      <c r="I442">
        <v>45</v>
      </c>
      <c r="J442">
        <v>33700.49</v>
      </c>
      <c r="K442">
        <v>33700.49</v>
      </c>
      <c r="L442">
        <v>0</v>
      </c>
      <c r="M442" s="1">
        <v>45774</v>
      </c>
      <c r="N442" t="s">
        <v>28</v>
      </c>
      <c r="O442" t="s">
        <v>77</v>
      </c>
      <c r="P442">
        <v>47</v>
      </c>
      <c r="Q442">
        <v>-2</v>
      </c>
      <c r="R442" t="s">
        <v>31</v>
      </c>
      <c r="S442" t="s">
        <v>31</v>
      </c>
      <c r="T442">
        <v>0</v>
      </c>
      <c r="U442" t="s">
        <v>31</v>
      </c>
      <c r="V442">
        <v>0</v>
      </c>
    </row>
    <row r="443" spans="1:22" x14ac:dyDescent="0.25">
      <c r="A443" t="s">
        <v>539</v>
      </c>
      <c r="B443" t="s">
        <v>61</v>
      </c>
      <c r="C443" t="s">
        <v>62</v>
      </c>
      <c r="D443" t="s">
        <v>35</v>
      </c>
      <c r="E443" t="s">
        <v>40</v>
      </c>
      <c r="F443" t="s">
        <v>92</v>
      </c>
      <c r="G443" s="1">
        <v>45667</v>
      </c>
      <c r="H443" s="1">
        <v>45727</v>
      </c>
      <c r="I443">
        <v>60</v>
      </c>
      <c r="J443">
        <v>57561.39</v>
      </c>
      <c r="K443">
        <v>57561.39</v>
      </c>
      <c r="L443">
        <v>0</v>
      </c>
      <c r="M443" s="1">
        <v>45717</v>
      </c>
      <c r="N443" t="s">
        <v>28</v>
      </c>
      <c r="O443" t="s">
        <v>69</v>
      </c>
      <c r="P443">
        <v>50</v>
      </c>
      <c r="Q443">
        <v>10</v>
      </c>
      <c r="R443" t="s">
        <v>30</v>
      </c>
      <c r="S443" t="s">
        <v>30</v>
      </c>
      <c r="T443">
        <v>0.01</v>
      </c>
      <c r="U443" t="s">
        <v>31</v>
      </c>
      <c r="V443">
        <v>0</v>
      </c>
    </row>
    <row r="444" spans="1:22" x14ac:dyDescent="0.25">
      <c r="A444" t="s">
        <v>540</v>
      </c>
      <c r="B444" t="s">
        <v>143</v>
      </c>
      <c r="C444" t="s">
        <v>144</v>
      </c>
      <c r="D444" t="s">
        <v>25</v>
      </c>
      <c r="E444" t="s">
        <v>26</v>
      </c>
      <c r="F444" t="s">
        <v>50</v>
      </c>
      <c r="G444" s="1">
        <v>45979</v>
      </c>
      <c r="H444" s="1">
        <v>46069</v>
      </c>
      <c r="I444">
        <v>90</v>
      </c>
      <c r="J444">
        <v>7717.22</v>
      </c>
      <c r="K444">
        <v>7717.22</v>
      </c>
      <c r="L444">
        <v>0</v>
      </c>
      <c r="M444" s="1">
        <v>46076</v>
      </c>
      <c r="N444" t="s">
        <v>28</v>
      </c>
      <c r="O444" t="s">
        <v>36</v>
      </c>
      <c r="P444">
        <v>97</v>
      </c>
      <c r="Q444">
        <v>-7</v>
      </c>
      <c r="R444" t="s">
        <v>31</v>
      </c>
      <c r="S444" t="s">
        <v>31</v>
      </c>
      <c r="T444">
        <v>0</v>
      </c>
      <c r="U444" t="s">
        <v>31</v>
      </c>
      <c r="V444">
        <v>0</v>
      </c>
    </row>
    <row r="445" spans="1:22" x14ac:dyDescent="0.25">
      <c r="A445" t="s">
        <v>541</v>
      </c>
      <c r="B445" t="s">
        <v>71</v>
      </c>
      <c r="C445" t="s">
        <v>72</v>
      </c>
      <c r="D445" t="s">
        <v>73</v>
      </c>
      <c r="E445" t="s">
        <v>40</v>
      </c>
      <c r="F445" t="s">
        <v>41</v>
      </c>
      <c r="G445" s="1">
        <v>45905</v>
      </c>
      <c r="H445" s="1">
        <v>45935</v>
      </c>
      <c r="I445">
        <v>30</v>
      </c>
      <c r="J445">
        <v>30800.5</v>
      </c>
      <c r="K445">
        <v>30800.5</v>
      </c>
      <c r="L445">
        <v>0</v>
      </c>
      <c r="M445" s="1">
        <v>45935</v>
      </c>
      <c r="N445" t="s">
        <v>28</v>
      </c>
      <c r="O445" t="s">
        <v>36</v>
      </c>
      <c r="P445">
        <v>30</v>
      </c>
      <c r="Q445">
        <v>0</v>
      </c>
      <c r="R445" t="s">
        <v>30</v>
      </c>
      <c r="S445" t="s">
        <v>30</v>
      </c>
      <c r="T445">
        <v>0.01</v>
      </c>
      <c r="U445" t="s">
        <v>31</v>
      </c>
      <c r="V445">
        <v>0</v>
      </c>
    </row>
    <row r="446" spans="1:22" x14ac:dyDescent="0.25">
      <c r="A446" t="s">
        <v>542</v>
      </c>
      <c r="B446" t="s">
        <v>75</v>
      </c>
      <c r="C446" t="s">
        <v>76</v>
      </c>
      <c r="D446" t="s">
        <v>35</v>
      </c>
      <c r="E446" t="s">
        <v>26</v>
      </c>
      <c r="F446" t="s">
        <v>27</v>
      </c>
      <c r="G446" s="1">
        <v>45664</v>
      </c>
      <c r="H446" s="1">
        <v>45754</v>
      </c>
      <c r="I446">
        <v>90</v>
      </c>
      <c r="J446">
        <v>62318.32</v>
      </c>
      <c r="K446">
        <v>62318.32</v>
      </c>
      <c r="L446">
        <v>0</v>
      </c>
      <c r="M446" s="1">
        <v>45765</v>
      </c>
      <c r="N446" t="s">
        <v>28</v>
      </c>
      <c r="O446" t="s">
        <v>77</v>
      </c>
      <c r="P446">
        <v>101</v>
      </c>
      <c r="Q446">
        <v>-11</v>
      </c>
      <c r="R446" t="s">
        <v>31</v>
      </c>
      <c r="S446" t="s">
        <v>30</v>
      </c>
      <c r="T446">
        <v>5.0000000000000001E-3</v>
      </c>
      <c r="U446" t="s">
        <v>31</v>
      </c>
      <c r="V446">
        <v>0</v>
      </c>
    </row>
    <row r="447" spans="1:22" x14ac:dyDescent="0.25">
      <c r="A447" t="s">
        <v>543</v>
      </c>
      <c r="B447" t="s">
        <v>100</v>
      </c>
      <c r="C447" t="s">
        <v>101</v>
      </c>
      <c r="D447" t="s">
        <v>54</v>
      </c>
      <c r="E447" t="s">
        <v>68</v>
      </c>
      <c r="F447" t="s">
        <v>50</v>
      </c>
      <c r="G447" s="1">
        <v>45939</v>
      </c>
      <c r="H447" s="1">
        <v>46029</v>
      </c>
      <c r="I447">
        <v>90</v>
      </c>
      <c r="J447">
        <v>7616.68</v>
      </c>
      <c r="K447">
        <v>0</v>
      </c>
      <c r="L447">
        <v>7616.68</v>
      </c>
      <c r="N447" t="s">
        <v>59</v>
      </c>
      <c r="O447" t="s">
        <v>29</v>
      </c>
      <c r="Q447">
        <v>-144</v>
      </c>
      <c r="R447" t="s">
        <v>31</v>
      </c>
      <c r="S447" t="s">
        <v>31</v>
      </c>
      <c r="T447">
        <v>0</v>
      </c>
      <c r="U447" t="s">
        <v>31</v>
      </c>
      <c r="V447">
        <v>0</v>
      </c>
    </row>
    <row r="448" spans="1:22" x14ac:dyDescent="0.25">
      <c r="A448" t="s">
        <v>544</v>
      </c>
      <c r="B448" t="s">
        <v>131</v>
      </c>
      <c r="C448" t="s">
        <v>132</v>
      </c>
      <c r="D448" t="s">
        <v>49</v>
      </c>
      <c r="E448" t="s">
        <v>45</v>
      </c>
      <c r="F448" t="s">
        <v>64</v>
      </c>
      <c r="G448" s="1">
        <v>46091</v>
      </c>
      <c r="H448" s="1">
        <v>46106</v>
      </c>
      <c r="I448">
        <v>15</v>
      </c>
      <c r="J448">
        <v>24959.360000000001</v>
      </c>
      <c r="K448">
        <v>24959.360000000001</v>
      </c>
      <c r="L448">
        <v>0</v>
      </c>
      <c r="M448" s="1">
        <v>46097</v>
      </c>
      <c r="N448" t="s">
        <v>28</v>
      </c>
      <c r="O448" t="s">
        <v>36</v>
      </c>
      <c r="P448">
        <v>6</v>
      </c>
      <c r="Q448">
        <v>9</v>
      </c>
      <c r="R448" t="s">
        <v>30</v>
      </c>
      <c r="S448" t="s">
        <v>30</v>
      </c>
      <c r="T448">
        <v>0.02</v>
      </c>
      <c r="U448" t="s">
        <v>31</v>
      </c>
      <c r="V448">
        <v>0</v>
      </c>
    </row>
    <row r="449" spans="1:22" x14ac:dyDescent="0.25">
      <c r="A449" t="s">
        <v>545</v>
      </c>
      <c r="B449" t="s">
        <v>120</v>
      </c>
      <c r="C449" t="s">
        <v>121</v>
      </c>
      <c r="D449" t="s">
        <v>54</v>
      </c>
      <c r="E449" t="s">
        <v>45</v>
      </c>
      <c r="F449" t="s">
        <v>27</v>
      </c>
      <c r="G449" s="1">
        <v>45666</v>
      </c>
      <c r="H449" s="1">
        <v>45726</v>
      </c>
      <c r="I449">
        <v>60</v>
      </c>
      <c r="J449">
        <v>671.39</v>
      </c>
      <c r="K449">
        <v>671.39</v>
      </c>
      <c r="L449">
        <v>0</v>
      </c>
      <c r="M449" s="1">
        <v>45733</v>
      </c>
      <c r="N449" t="s">
        <v>28</v>
      </c>
      <c r="O449" t="s">
        <v>69</v>
      </c>
      <c r="P449">
        <v>67</v>
      </c>
      <c r="Q449">
        <v>-7</v>
      </c>
      <c r="R449" t="s">
        <v>31</v>
      </c>
      <c r="S449" t="s">
        <v>30</v>
      </c>
      <c r="T449">
        <v>0.01</v>
      </c>
      <c r="U449" t="s">
        <v>31</v>
      </c>
      <c r="V449">
        <v>0</v>
      </c>
    </row>
    <row r="450" spans="1:22" x14ac:dyDescent="0.25">
      <c r="A450" t="s">
        <v>546</v>
      </c>
      <c r="B450" t="s">
        <v>143</v>
      </c>
      <c r="C450" t="s">
        <v>144</v>
      </c>
      <c r="D450" t="s">
        <v>25</v>
      </c>
      <c r="E450" t="s">
        <v>68</v>
      </c>
      <c r="F450" t="s">
        <v>50</v>
      </c>
      <c r="G450" s="1">
        <v>45927</v>
      </c>
      <c r="H450" s="1">
        <v>45957</v>
      </c>
      <c r="I450">
        <v>30</v>
      </c>
      <c r="J450">
        <v>5505.64</v>
      </c>
      <c r="K450">
        <v>5505.64</v>
      </c>
      <c r="L450">
        <v>0</v>
      </c>
      <c r="M450" s="1">
        <v>45951</v>
      </c>
      <c r="N450" t="s">
        <v>28</v>
      </c>
      <c r="O450" t="s">
        <v>29</v>
      </c>
      <c r="P450">
        <v>24</v>
      </c>
      <c r="Q450">
        <v>6</v>
      </c>
      <c r="R450" t="s">
        <v>30</v>
      </c>
      <c r="S450" t="s">
        <v>30</v>
      </c>
      <c r="T450">
        <v>0.01</v>
      </c>
      <c r="U450" t="s">
        <v>31</v>
      </c>
      <c r="V450">
        <v>0</v>
      </c>
    </row>
    <row r="451" spans="1:22" x14ac:dyDescent="0.25">
      <c r="A451" t="s">
        <v>547</v>
      </c>
      <c r="B451" t="s">
        <v>153</v>
      </c>
      <c r="C451" t="s">
        <v>154</v>
      </c>
      <c r="D451" t="s">
        <v>58</v>
      </c>
      <c r="E451" t="s">
        <v>45</v>
      </c>
      <c r="F451" t="s">
        <v>92</v>
      </c>
      <c r="G451" s="1">
        <v>45944</v>
      </c>
      <c r="H451" s="1">
        <v>46004</v>
      </c>
      <c r="I451">
        <v>60</v>
      </c>
      <c r="J451">
        <v>19676.97</v>
      </c>
      <c r="K451">
        <v>0</v>
      </c>
      <c r="L451">
        <v>19676.97</v>
      </c>
      <c r="N451" t="s">
        <v>59</v>
      </c>
      <c r="O451" t="s">
        <v>29</v>
      </c>
      <c r="Q451">
        <v>-169</v>
      </c>
      <c r="R451" t="s">
        <v>31</v>
      </c>
      <c r="S451" t="s">
        <v>30</v>
      </c>
      <c r="T451">
        <v>0.01</v>
      </c>
      <c r="U451" t="s">
        <v>31</v>
      </c>
      <c r="V451">
        <v>0</v>
      </c>
    </row>
    <row r="452" spans="1:22" x14ac:dyDescent="0.25">
      <c r="A452" t="s">
        <v>548</v>
      </c>
      <c r="B452" t="s">
        <v>56</v>
      </c>
      <c r="C452" t="s">
        <v>57</v>
      </c>
      <c r="D452" t="s">
        <v>58</v>
      </c>
      <c r="E452" t="s">
        <v>40</v>
      </c>
      <c r="F452" t="s">
        <v>27</v>
      </c>
      <c r="G452" s="1">
        <v>46100</v>
      </c>
      <c r="H452" s="1">
        <v>46130</v>
      </c>
      <c r="I452">
        <v>30</v>
      </c>
      <c r="J452">
        <v>34683.42</v>
      </c>
      <c r="K452">
        <v>18607.43</v>
      </c>
      <c r="L452">
        <v>16075.99</v>
      </c>
      <c r="M452" s="1">
        <v>46125</v>
      </c>
      <c r="N452" t="s">
        <v>98</v>
      </c>
      <c r="O452" t="s">
        <v>29</v>
      </c>
      <c r="P452">
        <v>25</v>
      </c>
      <c r="Q452">
        <v>5</v>
      </c>
      <c r="R452" t="s">
        <v>30</v>
      </c>
      <c r="S452" t="s">
        <v>30</v>
      </c>
      <c r="T452">
        <v>0.01</v>
      </c>
      <c r="U452" t="s">
        <v>31</v>
      </c>
      <c r="V452">
        <v>0</v>
      </c>
    </row>
    <row r="453" spans="1:22" x14ac:dyDescent="0.25">
      <c r="A453" t="s">
        <v>549</v>
      </c>
      <c r="B453" t="s">
        <v>120</v>
      </c>
      <c r="C453" t="s">
        <v>121</v>
      </c>
      <c r="D453" t="s">
        <v>54</v>
      </c>
      <c r="E453" t="s">
        <v>45</v>
      </c>
      <c r="F453" t="s">
        <v>41</v>
      </c>
      <c r="G453" s="1">
        <v>46156</v>
      </c>
      <c r="H453" s="1">
        <v>46216</v>
      </c>
      <c r="I453">
        <v>60</v>
      </c>
      <c r="J453">
        <v>4850.5</v>
      </c>
      <c r="K453">
        <v>0</v>
      </c>
      <c r="L453">
        <v>4850.5</v>
      </c>
      <c r="N453" t="s">
        <v>93</v>
      </c>
      <c r="O453" t="s">
        <v>36</v>
      </c>
      <c r="S453" t="s">
        <v>30</v>
      </c>
      <c r="T453">
        <v>0.01</v>
      </c>
      <c r="U453" t="s">
        <v>31</v>
      </c>
      <c r="V453">
        <v>0</v>
      </c>
    </row>
    <row r="454" spans="1:22" x14ac:dyDescent="0.25">
      <c r="A454" t="s">
        <v>550</v>
      </c>
      <c r="B454" t="s">
        <v>61</v>
      </c>
      <c r="C454" t="s">
        <v>62</v>
      </c>
      <c r="D454" t="s">
        <v>35</v>
      </c>
      <c r="E454" t="s">
        <v>40</v>
      </c>
      <c r="F454" t="s">
        <v>27</v>
      </c>
      <c r="G454" s="1">
        <v>46145</v>
      </c>
      <c r="H454" s="1">
        <v>46190</v>
      </c>
      <c r="I454">
        <v>45</v>
      </c>
      <c r="J454">
        <v>67922.880000000005</v>
      </c>
      <c r="K454">
        <v>0</v>
      </c>
      <c r="L454">
        <v>67922.880000000005</v>
      </c>
      <c r="N454" t="s">
        <v>93</v>
      </c>
      <c r="O454" t="s">
        <v>36</v>
      </c>
      <c r="S454" t="s">
        <v>30</v>
      </c>
      <c r="T454">
        <v>1.4999999999999999E-2</v>
      </c>
      <c r="U454" t="s">
        <v>31</v>
      </c>
      <c r="V454">
        <v>0</v>
      </c>
    </row>
    <row r="455" spans="1:22" x14ac:dyDescent="0.25">
      <c r="A455" t="s">
        <v>551</v>
      </c>
      <c r="B455" t="s">
        <v>128</v>
      </c>
      <c r="C455" t="s">
        <v>129</v>
      </c>
      <c r="D455" t="s">
        <v>73</v>
      </c>
      <c r="E455" t="s">
        <v>63</v>
      </c>
      <c r="F455" t="s">
        <v>50</v>
      </c>
      <c r="G455" s="1">
        <v>45678</v>
      </c>
      <c r="H455" s="1">
        <v>45738</v>
      </c>
      <c r="I455">
        <v>60</v>
      </c>
      <c r="J455">
        <v>15588.11</v>
      </c>
      <c r="K455">
        <v>15588.11</v>
      </c>
      <c r="L455">
        <v>0</v>
      </c>
      <c r="M455" s="1">
        <v>45745</v>
      </c>
      <c r="N455" t="s">
        <v>28</v>
      </c>
      <c r="O455" t="s">
        <v>29</v>
      </c>
      <c r="P455">
        <v>67</v>
      </c>
      <c r="Q455">
        <v>-7</v>
      </c>
      <c r="R455" t="s">
        <v>31</v>
      </c>
      <c r="S455" t="s">
        <v>30</v>
      </c>
      <c r="T455">
        <v>0.01</v>
      </c>
      <c r="U455" t="s">
        <v>31</v>
      </c>
      <c r="V455">
        <v>0</v>
      </c>
    </row>
    <row r="456" spans="1:22" x14ac:dyDescent="0.25">
      <c r="A456" t="s">
        <v>552</v>
      </c>
      <c r="B456" t="s">
        <v>187</v>
      </c>
      <c r="C456" t="s">
        <v>188</v>
      </c>
      <c r="D456" t="s">
        <v>73</v>
      </c>
      <c r="E456" t="s">
        <v>40</v>
      </c>
      <c r="F456" t="s">
        <v>50</v>
      </c>
      <c r="G456" s="1">
        <v>46021</v>
      </c>
      <c r="H456" s="1">
        <v>46066</v>
      </c>
      <c r="I456">
        <v>45</v>
      </c>
      <c r="J456">
        <v>12727.98</v>
      </c>
      <c r="K456">
        <v>12727.98</v>
      </c>
      <c r="L456">
        <v>0</v>
      </c>
      <c r="M456" s="1">
        <v>46063</v>
      </c>
      <c r="N456" t="s">
        <v>28</v>
      </c>
      <c r="O456" t="s">
        <v>36</v>
      </c>
      <c r="P456">
        <v>42</v>
      </c>
      <c r="Q456">
        <v>3</v>
      </c>
      <c r="R456" t="s">
        <v>30</v>
      </c>
      <c r="S456" t="s">
        <v>30</v>
      </c>
      <c r="T456">
        <v>1.4999999999999999E-2</v>
      </c>
      <c r="U456" t="s">
        <v>31</v>
      </c>
      <c r="V456">
        <v>0</v>
      </c>
    </row>
    <row r="457" spans="1:22" x14ac:dyDescent="0.25">
      <c r="A457" t="s">
        <v>553</v>
      </c>
      <c r="B457" t="s">
        <v>187</v>
      </c>
      <c r="C457" t="s">
        <v>188</v>
      </c>
      <c r="D457" t="s">
        <v>73</v>
      </c>
      <c r="E457" t="s">
        <v>68</v>
      </c>
      <c r="F457" t="s">
        <v>41</v>
      </c>
      <c r="G457" s="1">
        <v>46003</v>
      </c>
      <c r="H457" s="1">
        <v>46033</v>
      </c>
      <c r="I457">
        <v>30</v>
      </c>
      <c r="J457">
        <v>15919.94</v>
      </c>
      <c r="K457">
        <v>15919.94</v>
      </c>
      <c r="L457">
        <v>0</v>
      </c>
      <c r="M457" s="1">
        <v>46034</v>
      </c>
      <c r="N457" t="s">
        <v>28</v>
      </c>
      <c r="O457" t="s">
        <v>36</v>
      </c>
      <c r="P457">
        <v>31</v>
      </c>
      <c r="Q457">
        <v>-1</v>
      </c>
      <c r="R457" t="s">
        <v>31</v>
      </c>
      <c r="S457" t="s">
        <v>30</v>
      </c>
      <c r="T457">
        <v>0.01</v>
      </c>
      <c r="U457" t="s">
        <v>31</v>
      </c>
      <c r="V457">
        <v>0</v>
      </c>
    </row>
    <row r="458" spans="1:22" x14ac:dyDescent="0.25">
      <c r="A458" t="s">
        <v>554</v>
      </c>
      <c r="B458" t="s">
        <v>43</v>
      </c>
      <c r="C458" t="s">
        <v>44</v>
      </c>
      <c r="D458" t="s">
        <v>25</v>
      </c>
      <c r="E458" t="s">
        <v>26</v>
      </c>
      <c r="F458" t="s">
        <v>64</v>
      </c>
      <c r="G458" s="1">
        <v>45979</v>
      </c>
      <c r="H458" s="1">
        <v>46009</v>
      </c>
      <c r="I458">
        <v>30</v>
      </c>
      <c r="J458">
        <v>7020.69</v>
      </c>
      <c r="K458">
        <v>7020.69</v>
      </c>
      <c r="L458">
        <v>0</v>
      </c>
      <c r="M458" s="1">
        <v>46006</v>
      </c>
      <c r="N458" t="s">
        <v>28</v>
      </c>
      <c r="O458" t="s">
        <v>29</v>
      </c>
      <c r="P458">
        <v>27</v>
      </c>
      <c r="Q458">
        <v>3</v>
      </c>
      <c r="R458" t="s">
        <v>30</v>
      </c>
      <c r="S458" t="s">
        <v>30</v>
      </c>
      <c r="T458">
        <v>0.01</v>
      </c>
      <c r="U458" t="s">
        <v>31</v>
      </c>
      <c r="V458">
        <v>0</v>
      </c>
    </row>
    <row r="459" spans="1:22" x14ac:dyDescent="0.25">
      <c r="A459" t="s">
        <v>555</v>
      </c>
      <c r="B459" t="s">
        <v>113</v>
      </c>
      <c r="C459" t="s">
        <v>114</v>
      </c>
      <c r="D459" t="s">
        <v>25</v>
      </c>
      <c r="E459" t="s">
        <v>68</v>
      </c>
      <c r="F459" t="s">
        <v>50</v>
      </c>
      <c r="G459" s="1">
        <v>45829</v>
      </c>
      <c r="H459" s="1">
        <v>45889</v>
      </c>
      <c r="I459">
        <v>60</v>
      </c>
      <c r="J459">
        <v>4493.84</v>
      </c>
      <c r="K459">
        <v>4493.84</v>
      </c>
      <c r="L459">
        <v>0</v>
      </c>
      <c r="M459" s="1">
        <v>45884</v>
      </c>
      <c r="N459" t="s">
        <v>28</v>
      </c>
      <c r="O459" t="s">
        <v>69</v>
      </c>
      <c r="P459">
        <v>55</v>
      </c>
      <c r="Q459">
        <v>5</v>
      </c>
      <c r="R459" t="s">
        <v>30</v>
      </c>
      <c r="S459" t="s">
        <v>30</v>
      </c>
      <c r="T459">
        <v>0.01</v>
      </c>
      <c r="U459" t="s">
        <v>31</v>
      </c>
      <c r="V459">
        <v>0</v>
      </c>
    </row>
    <row r="460" spans="1:22" x14ac:dyDescent="0.25">
      <c r="A460" t="s">
        <v>556</v>
      </c>
      <c r="B460" t="s">
        <v>56</v>
      </c>
      <c r="C460" t="s">
        <v>57</v>
      </c>
      <c r="D460" t="s">
        <v>58</v>
      </c>
      <c r="E460" t="s">
        <v>68</v>
      </c>
      <c r="F460" t="s">
        <v>27</v>
      </c>
      <c r="G460" s="1">
        <v>46064</v>
      </c>
      <c r="H460" s="1">
        <v>46094</v>
      </c>
      <c r="I460">
        <v>30</v>
      </c>
      <c r="J460">
        <v>6811.34</v>
      </c>
      <c r="K460">
        <v>3911.19</v>
      </c>
      <c r="L460">
        <v>2900.15</v>
      </c>
      <c r="M460" s="1">
        <v>46089</v>
      </c>
      <c r="N460" t="s">
        <v>98</v>
      </c>
      <c r="O460" t="s">
        <v>36</v>
      </c>
      <c r="P460">
        <v>25</v>
      </c>
      <c r="Q460">
        <v>5</v>
      </c>
      <c r="R460" t="s">
        <v>30</v>
      </c>
      <c r="S460" t="s">
        <v>30</v>
      </c>
      <c r="T460">
        <v>0.01</v>
      </c>
      <c r="U460" t="s">
        <v>31</v>
      </c>
      <c r="V460">
        <v>0</v>
      </c>
    </row>
    <row r="461" spans="1:22" x14ac:dyDescent="0.25">
      <c r="A461" t="s">
        <v>557</v>
      </c>
      <c r="B461" t="s">
        <v>85</v>
      </c>
      <c r="C461" t="s">
        <v>86</v>
      </c>
      <c r="D461" t="s">
        <v>25</v>
      </c>
      <c r="E461" t="s">
        <v>45</v>
      </c>
      <c r="F461" t="s">
        <v>50</v>
      </c>
      <c r="G461" s="1">
        <v>45926</v>
      </c>
      <c r="H461" s="1">
        <v>45956</v>
      </c>
      <c r="I461">
        <v>30</v>
      </c>
      <c r="J461">
        <v>12743.94</v>
      </c>
      <c r="K461">
        <v>0</v>
      </c>
      <c r="L461">
        <v>12743.94</v>
      </c>
      <c r="N461" t="s">
        <v>59</v>
      </c>
      <c r="O461" t="s">
        <v>77</v>
      </c>
      <c r="Q461">
        <v>-217</v>
      </c>
      <c r="R461" t="s">
        <v>31</v>
      </c>
      <c r="S461" t="s">
        <v>30</v>
      </c>
      <c r="T461">
        <v>0.01</v>
      </c>
      <c r="U461" t="s">
        <v>31</v>
      </c>
      <c r="V461">
        <v>0</v>
      </c>
    </row>
    <row r="462" spans="1:22" x14ac:dyDescent="0.25">
      <c r="A462" t="s">
        <v>558</v>
      </c>
      <c r="B462" t="s">
        <v>47</v>
      </c>
      <c r="C462" t="s">
        <v>48</v>
      </c>
      <c r="D462" t="s">
        <v>49</v>
      </c>
      <c r="E462" t="s">
        <v>68</v>
      </c>
      <c r="F462" t="s">
        <v>64</v>
      </c>
      <c r="G462" s="1">
        <v>46111</v>
      </c>
      <c r="H462" s="1">
        <v>46156</v>
      </c>
      <c r="I462">
        <v>45</v>
      </c>
      <c r="J462">
        <v>32071.07</v>
      </c>
      <c r="K462">
        <v>0</v>
      </c>
      <c r="L462">
        <v>32071.07</v>
      </c>
      <c r="N462" t="s">
        <v>93</v>
      </c>
      <c r="O462" t="s">
        <v>36</v>
      </c>
      <c r="S462" t="s">
        <v>30</v>
      </c>
      <c r="T462">
        <v>1.4999999999999999E-2</v>
      </c>
      <c r="U462" t="s">
        <v>31</v>
      </c>
      <c r="V462">
        <v>0</v>
      </c>
    </row>
    <row r="463" spans="1:22" x14ac:dyDescent="0.25">
      <c r="A463" t="s">
        <v>559</v>
      </c>
      <c r="B463" t="s">
        <v>56</v>
      </c>
      <c r="C463" t="s">
        <v>57</v>
      </c>
      <c r="D463" t="s">
        <v>58</v>
      </c>
      <c r="E463" t="s">
        <v>68</v>
      </c>
      <c r="F463" t="s">
        <v>92</v>
      </c>
      <c r="G463" s="1">
        <v>45936</v>
      </c>
      <c r="H463" s="1">
        <v>46026</v>
      </c>
      <c r="I463">
        <v>90</v>
      </c>
      <c r="J463">
        <v>23296.18</v>
      </c>
      <c r="K463">
        <v>0</v>
      </c>
      <c r="L463">
        <v>23296.18</v>
      </c>
      <c r="N463" t="s">
        <v>59</v>
      </c>
      <c r="O463" t="s">
        <v>69</v>
      </c>
      <c r="Q463">
        <v>-147</v>
      </c>
      <c r="R463" t="s">
        <v>31</v>
      </c>
      <c r="S463" t="s">
        <v>30</v>
      </c>
      <c r="T463">
        <v>5.0000000000000001E-3</v>
      </c>
      <c r="U463" t="s">
        <v>31</v>
      </c>
      <c r="V463">
        <v>0</v>
      </c>
    </row>
    <row r="464" spans="1:22" x14ac:dyDescent="0.25">
      <c r="A464" t="s">
        <v>560</v>
      </c>
      <c r="B464" t="s">
        <v>79</v>
      </c>
      <c r="C464" t="s">
        <v>80</v>
      </c>
      <c r="D464" t="s">
        <v>49</v>
      </c>
      <c r="E464" t="s">
        <v>40</v>
      </c>
      <c r="F464" t="s">
        <v>50</v>
      </c>
      <c r="G464" s="1">
        <v>45975</v>
      </c>
      <c r="H464" s="1">
        <v>46035</v>
      </c>
      <c r="I464">
        <v>60</v>
      </c>
      <c r="J464">
        <v>45628.31</v>
      </c>
      <c r="K464">
        <v>45628.31</v>
      </c>
      <c r="L464">
        <v>0</v>
      </c>
      <c r="M464" s="1">
        <v>46040</v>
      </c>
      <c r="N464" t="s">
        <v>28</v>
      </c>
      <c r="O464" t="s">
        <v>69</v>
      </c>
      <c r="P464">
        <v>65</v>
      </c>
      <c r="Q464">
        <v>-5</v>
      </c>
      <c r="R464" t="s">
        <v>31</v>
      </c>
      <c r="S464" t="s">
        <v>30</v>
      </c>
      <c r="T464">
        <v>0.01</v>
      </c>
      <c r="U464" t="s">
        <v>31</v>
      </c>
      <c r="V464">
        <v>0</v>
      </c>
    </row>
    <row r="465" spans="1:22" x14ac:dyDescent="0.25">
      <c r="A465" t="s">
        <v>561</v>
      </c>
      <c r="B465" t="s">
        <v>38</v>
      </c>
      <c r="C465" t="s">
        <v>39</v>
      </c>
      <c r="D465" t="s">
        <v>35</v>
      </c>
      <c r="E465" t="s">
        <v>68</v>
      </c>
      <c r="F465" t="s">
        <v>64</v>
      </c>
      <c r="G465" s="1">
        <v>45658</v>
      </c>
      <c r="H465" s="1">
        <v>45673</v>
      </c>
      <c r="I465">
        <v>15</v>
      </c>
      <c r="J465">
        <v>44248.72</v>
      </c>
      <c r="K465">
        <v>44248.72</v>
      </c>
      <c r="L465">
        <v>0</v>
      </c>
      <c r="M465" s="1">
        <v>45676</v>
      </c>
      <c r="N465" t="s">
        <v>28</v>
      </c>
      <c r="O465" t="s">
        <v>29</v>
      </c>
      <c r="P465">
        <v>18</v>
      </c>
      <c r="Q465">
        <v>-3</v>
      </c>
      <c r="R465" t="s">
        <v>31</v>
      </c>
      <c r="S465" t="s">
        <v>31</v>
      </c>
      <c r="T465">
        <v>0</v>
      </c>
      <c r="U465" t="s">
        <v>31</v>
      </c>
      <c r="V465">
        <v>0</v>
      </c>
    </row>
    <row r="466" spans="1:22" x14ac:dyDescent="0.25">
      <c r="A466" t="s">
        <v>562</v>
      </c>
      <c r="B466" t="s">
        <v>88</v>
      </c>
      <c r="C466" t="s">
        <v>89</v>
      </c>
      <c r="D466" t="s">
        <v>35</v>
      </c>
      <c r="E466" t="s">
        <v>45</v>
      </c>
      <c r="F466" t="s">
        <v>50</v>
      </c>
      <c r="G466" s="1">
        <v>46146</v>
      </c>
      <c r="H466" s="1">
        <v>46236</v>
      </c>
      <c r="I466">
        <v>90</v>
      </c>
      <c r="J466">
        <v>27470.79</v>
      </c>
      <c r="K466">
        <v>19185.150000000001</v>
      </c>
      <c r="L466">
        <v>8285.64</v>
      </c>
      <c r="M466" s="1">
        <v>46173</v>
      </c>
      <c r="N466" t="s">
        <v>98</v>
      </c>
      <c r="O466" t="s">
        <v>77</v>
      </c>
      <c r="P466">
        <v>27</v>
      </c>
      <c r="Q466">
        <v>63</v>
      </c>
      <c r="R466" t="s">
        <v>30</v>
      </c>
      <c r="S466" t="s">
        <v>31</v>
      </c>
      <c r="T466">
        <v>0</v>
      </c>
      <c r="U466" t="s">
        <v>31</v>
      </c>
      <c r="V466">
        <v>0</v>
      </c>
    </row>
    <row r="467" spans="1:22" x14ac:dyDescent="0.25">
      <c r="A467" t="s">
        <v>563</v>
      </c>
      <c r="B467" t="s">
        <v>128</v>
      </c>
      <c r="C467" t="s">
        <v>129</v>
      </c>
      <c r="D467" t="s">
        <v>73</v>
      </c>
      <c r="E467" t="s">
        <v>40</v>
      </c>
      <c r="F467" t="s">
        <v>41</v>
      </c>
      <c r="G467" s="1">
        <v>45913</v>
      </c>
      <c r="H467" s="1">
        <v>45973</v>
      </c>
      <c r="I467">
        <v>60</v>
      </c>
      <c r="J467">
        <v>7387.89</v>
      </c>
      <c r="K467">
        <v>7387.89</v>
      </c>
      <c r="L467">
        <v>0</v>
      </c>
      <c r="M467" s="1">
        <v>45969</v>
      </c>
      <c r="N467" t="s">
        <v>28</v>
      </c>
      <c r="O467" t="s">
        <v>69</v>
      </c>
      <c r="P467">
        <v>56</v>
      </c>
      <c r="Q467">
        <v>4</v>
      </c>
      <c r="R467" t="s">
        <v>30</v>
      </c>
      <c r="S467" t="s">
        <v>31</v>
      </c>
      <c r="T467">
        <v>0</v>
      </c>
      <c r="U467" t="s">
        <v>31</v>
      </c>
      <c r="V467">
        <v>0</v>
      </c>
    </row>
    <row r="468" spans="1:22" x14ac:dyDescent="0.25">
      <c r="A468" t="s">
        <v>564</v>
      </c>
      <c r="B468" t="s">
        <v>38</v>
      </c>
      <c r="C468" t="s">
        <v>39</v>
      </c>
      <c r="D468" t="s">
        <v>35</v>
      </c>
      <c r="E468" t="s">
        <v>40</v>
      </c>
      <c r="F468" t="s">
        <v>50</v>
      </c>
      <c r="G468" s="1">
        <v>45933</v>
      </c>
      <c r="H468" s="1">
        <v>45978</v>
      </c>
      <c r="I468">
        <v>45</v>
      </c>
      <c r="J468">
        <v>35967.79</v>
      </c>
      <c r="K468">
        <v>35967.79</v>
      </c>
      <c r="L468">
        <v>0</v>
      </c>
      <c r="M468" s="1">
        <v>45982</v>
      </c>
      <c r="N468" t="s">
        <v>28</v>
      </c>
      <c r="O468" t="s">
        <v>29</v>
      </c>
      <c r="P468">
        <v>49</v>
      </c>
      <c r="Q468">
        <v>-4</v>
      </c>
      <c r="R468" t="s">
        <v>31</v>
      </c>
      <c r="S468" t="s">
        <v>31</v>
      </c>
      <c r="T468">
        <v>0</v>
      </c>
      <c r="U468" t="s">
        <v>31</v>
      </c>
      <c r="V468">
        <v>0</v>
      </c>
    </row>
    <row r="469" spans="1:22" x14ac:dyDescent="0.25">
      <c r="A469" t="s">
        <v>565</v>
      </c>
      <c r="B469" t="s">
        <v>88</v>
      </c>
      <c r="C469" t="s">
        <v>89</v>
      </c>
      <c r="D469" t="s">
        <v>35</v>
      </c>
      <c r="E469" t="s">
        <v>26</v>
      </c>
      <c r="F469" t="s">
        <v>41</v>
      </c>
      <c r="G469" s="1">
        <v>46161</v>
      </c>
      <c r="H469" s="1">
        <v>46206</v>
      </c>
      <c r="I469">
        <v>45</v>
      </c>
      <c r="J469">
        <v>19084.21</v>
      </c>
      <c r="K469">
        <v>19084.21</v>
      </c>
      <c r="L469">
        <v>0</v>
      </c>
      <c r="M469" s="1">
        <v>46173</v>
      </c>
      <c r="N469" t="s">
        <v>28</v>
      </c>
      <c r="O469" t="s">
        <v>69</v>
      </c>
      <c r="P469">
        <v>12</v>
      </c>
      <c r="Q469">
        <v>33</v>
      </c>
      <c r="R469" t="s">
        <v>30</v>
      </c>
      <c r="S469" t="s">
        <v>30</v>
      </c>
      <c r="T469">
        <v>1.4999999999999999E-2</v>
      </c>
      <c r="U469" t="s">
        <v>30</v>
      </c>
      <c r="V469">
        <v>286.26</v>
      </c>
    </row>
    <row r="470" spans="1:22" x14ac:dyDescent="0.25">
      <c r="A470" t="s">
        <v>566</v>
      </c>
      <c r="B470" t="s">
        <v>131</v>
      </c>
      <c r="C470" t="s">
        <v>132</v>
      </c>
      <c r="D470" t="s">
        <v>49</v>
      </c>
      <c r="E470" t="s">
        <v>40</v>
      </c>
      <c r="F470" t="s">
        <v>41</v>
      </c>
      <c r="G470" s="1">
        <v>45750</v>
      </c>
      <c r="H470" s="1">
        <v>45780</v>
      </c>
      <c r="I470">
        <v>30</v>
      </c>
      <c r="J470">
        <v>9232.82</v>
      </c>
      <c r="K470">
        <v>9232.82</v>
      </c>
      <c r="L470">
        <v>0</v>
      </c>
      <c r="M470" s="1">
        <v>45783</v>
      </c>
      <c r="N470" t="s">
        <v>28</v>
      </c>
      <c r="O470" t="s">
        <v>77</v>
      </c>
      <c r="P470">
        <v>33</v>
      </c>
      <c r="Q470">
        <v>-3</v>
      </c>
      <c r="R470" t="s">
        <v>31</v>
      </c>
      <c r="S470" t="s">
        <v>30</v>
      </c>
      <c r="T470">
        <v>0.01</v>
      </c>
      <c r="U470" t="s">
        <v>31</v>
      </c>
      <c r="V470">
        <v>0</v>
      </c>
    </row>
    <row r="471" spans="1:22" x14ac:dyDescent="0.25">
      <c r="A471" t="s">
        <v>567</v>
      </c>
      <c r="B471" t="s">
        <v>88</v>
      </c>
      <c r="C471" t="s">
        <v>89</v>
      </c>
      <c r="D471" t="s">
        <v>35</v>
      </c>
      <c r="E471" t="s">
        <v>45</v>
      </c>
      <c r="F471" t="s">
        <v>92</v>
      </c>
      <c r="G471" s="1">
        <v>45996</v>
      </c>
      <c r="H471" s="1">
        <v>46011</v>
      </c>
      <c r="I471">
        <v>15</v>
      </c>
      <c r="J471">
        <v>11016.73</v>
      </c>
      <c r="K471">
        <v>11016.73</v>
      </c>
      <c r="L471">
        <v>0</v>
      </c>
      <c r="M471" s="1">
        <v>46011</v>
      </c>
      <c r="N471" t="s">
        <v>28</v>
      </c>
      <c r="O471" t="s">
        <v>69</v>
      </c>
      <c r="P471">
        <v>15</v>
      </c>
      <c r="Q471">
        <v>0</v>
      </c>
      <c r="R471" t="s">
        <v>30</v>
      </c>
      <c r="S471" t="s">
        <v>31</v>
      </c>
      <c r="T471">
        <v>0</v>
      </c>
      <c r="U471" t="s">
        <v>31</v>
      </c>
      <c r="V471">
        <v>0</v>
      </c>
    </row>
    <row r="472" spans="1:22" x14ac:dyDescent="0.25">
      <c r="A472" t="s">
        <v>568</v>
      </c>
      <c r="B472" t="s">
        <v>79</v>
      </c>
      <c r="C472" t="s">
        <v>80</v>
      </c>
      <c r="D472" t="s">
        <v>49</v>
      </c>
      <c r="E472" t="s">
        <v>45</v>
      </c>
      <c r="F472" t="s">
        <v>64</v>
      </c>
      <c r="G472" s="1">
        <v>46048</v>
      </c>
      <c r="H472" s="1">
        <v>46093</v>
      </c>
      <c r="I472">
        <v>45</v>
      </c>
      <c r="J472">
        <v>41756.1</v>
      </c>
      <c r="K472">
        <v>41756.1</v>
      </c>
      <c r="L472">
        <v>0</v>
      </c>
      <c r="M472" s="1">
        <v>46100</v>
      </c>
      <c r="N472" t="s">
        <v>28</v>
      </c>
      <c r="O472" t="s">
        <v>36</v>
      </c>
      <c r="P472">
        <v>52</v>
      </c>
      <c r="Q472">
        <v>-7</v>
      </c>
      <c r="R472" t="s">
        <v>31</v>
      </c>
      <c r="S472" t="s">
        <v>30</v>
      </c>
      <c r="T472">
        <v>1.4999999999999999E-2</v>
      </c>
      <c r="U472" t="s">
        <v>31</v>
      </c>
      <c r="V472">
        <v>0</v>
      </c>
    </row>
    <row r="473" spans="1:22" x14ac:dyDescent="0.25">
      <c r="A473" t="s">
        <v>569</v>
      </c>
      <c r="B473" t="s">
        <v>52</v>
      </c>
      <c r="C473" t="s">
        <v>53</v>
      </c>
      <c r="D473" t="s">
        <v>54</v>
      </c>
      <c r="E473" t="s">
        <v>45</v>
      </c>
      <c r="F473" t="s">
        <v>41</v>
      </c>
      <c r="G473" s="1">
        <v>45861</v>
      </c>
      <c r="H473" s="1">
        <v>45876</v>
      </c>
      <c r="I473">
        <v>15</v>
      </c>
      <c r="J473">
        <v>7182.1</v>
      </c>
      <c r="K473">
        <v>7182.1</v>
      </c>
      <c r="L473">
        <v>0</v>
      </c>
      <c r="M473" s="1">
        <v>45884</v>
      </c>
      <c r="N473" t="s">
        <v>28</v>
      </c>
      <c r="O473" t="s">
        <v>36</v>
      </c>
      <c r="P473">
        <v>23</v>
      </c>
      <c r="Q473">
        <v>-8</v>
      </c>
      <c r="R473" t="s">
        <v>31</v>
      </c>
      <c r="S473" t="s">
        <v>31</v>
      </c>
      <c r="T473">
        <v>0</v>
      </c>
      <c r="U473" t="s">
        <v>31</v>
      </c>
      <c r="V473">
        <v>0</v>
      </c>
    </row>
    <row r="474" spans="1:22" x14ac:dyDescent="0.25">
      <c r="A474" t="s">
        <v>570</v>
      </c>
      <c r="B474" t="s">
        <v>56</v>
      </c>
      <c r="C474" t="s">
        <v>57</v>
      </c>
      <c r="D474" t="s">
        <v>58</v>
      </c>
      <c r="E474" t="s">
        <v>68</v>
      </c>
      <c r="F474" t="s">
        <v>92</v>
      </c>
      <c r="G474" s="1">
        <v>45783</v>
      </c>
      <c r="H474" s="1">
        <v>45798</v>
      </c>
      <c r="I474">
        <v>15</v>
      </c>
      <c r="J474">
        <v>12372.57</v>
      </c>
      <c r="K474">
        <v>12372.57</v>
      </c>
      <c r="L474">
        <v>0</v>
      </c>
      <c r="M474" s="1">
        <v>45797</v>
      </c>
      <c r="N474" t="s">
        <v>28</v>
      </c>
      <c r="O474" t="s">
        <v>36</v>
      </c>
      <c r="P474">
        <v>14</v>
      </c>
      <c r="Q474">
        <v>1</v>
      </c>
      <c r="R474" t="s">
        <v>30</v>
      </c>
      <c r="S474" t="s">
        <v>30</v>
      </c>
      <c r="T474">
        <v>0.02</v>
      </c>
      <c r="U474" t="s">
        <v>31</v>
      </c>
      <c r="V474">
        <v>0</v>
      </c>
    </row>
    <row r="475" spans="1:22" x14ac:dyDescent="0.25">
      <c r="A475" t="s">
        <v>571</v>
      </c>
      <c r="B475" t="s">
        <v>33</v>
      </c>
      <c r="C475" t="s">
        <v>34</v>
      </c>
      <c r="D475" t="s">
        <v>35</v>
      </c>
      <c r="E475" t="s">
        <v>40</v>
      </c>
      <c r="F475" t="s">
        <v>27</v>
      </c>
      <c r="G475" s="1">
        <v>45990</v>
      </c>
      <c r="H475" s="1">
        <v>46050</v>
      </c>
      <c r="I475">
        <v>60</v>
      </c>
      <c r="J475">
        <v>6130.08</v>
      </c>
      <c r="K475">
        <v>6130.08</v>
      </c>
      <c r="L475">
        <v>0</v>
      </c>
      <c r="M475" s="1">
        <v>46046</v>
      </c>
      <c r="N475" t="s">
        <v>28</v>
      </c>
      <c r="O475" t="s">
        <v>36</v>
      </c>
      <c r="P475">
        <v>56</v>
      </c>
      <c r="Q475">
        <v>4</v>
      </c>
      <c r="R475" t="s">
        <v>30</v>
      </c>
      <c r="S475" t="s">
        <v>31</v>
      </c>
      <c r="T475">
        <v>0</v>
      </c>
      <c r="U475" t="s">
        <v>31</v>
      </c>
      <c r="V475">
        <v>0</v>
      </c>
    </row>
    <row r="476" spans="1:22" x14ac:dyDescent="0.25">
      <c r="A476" t="s">
        <v>572</v>
      </c>
      <c r="B476" t="s">
        <v>33</v>
      </c>
      <c r="C476" t="s">
        <v>34</v>
      </c>
      <c r="D476" t="s">
        <v>35</v>
      </c>
      <c r="E476" t="s">
        <v>63</v>
      </c>
      <c r="F476" t="s">
        <v>41</v>
      </c>
      <c r="G476" s="1">
        <v>45749</v>
      </c>
      <c r="H476" s="1">
        <v>45809</v>
      </c>
      <c r="I476">
        <v>60</v>
      </c>
      <c r="J476">
        <v>23654.17</v>
      </c>
      <c r="K476">
        <v>23654.17</v>
      </c>
      <c r="L476">
        <v>0</v>
      </c>
      <c r="M476" s="1">
        <v>45812</v>
      </c>
      <c r="N476" t="s">
        <v>28</v>
      </c>
      <c r="O476" t="s">
        <v>36</v>
      </c>
      <c r="P476">
        <v>63</v>
      </c>
      <c r="Q476">
        <v>-3</v>
      </c>
      <c r="R476" t="s">
        <v>31</v>
      </c>
      <c r="S476" t="s">
        <v>30</v>
      </c>
      <c r="T476">
        <v>0.01</v>
      </c>
      <c r="U476" t="s">
        <v>31</v>
      </c>
      <c r="V476">
        <v>0</v>
      </c>
    </row>
    <row r="477" spans="1:22" x14ac:dyDescent="0.25">
      <c r="A477" t="s">
        <v>573</v>
      </c>
      <c r="B477" t="s">
        <v>143</v>
      </c>
      <c r="C477" t="s">
        <v>144</v>
      </c>
      <c r="D477" t="s">
        <v>25</v>
      </c>
      <c r="E477" t="s">
        <v>26</v>
      </c>
      <c r="F477" t="s">
        <v>27</v>
      </c>
      <c r="G477" s="1">
        <v>45767</v>
      </c>
      <c r="H477" s="1">
        <v>45797</v>
      </c>
      <c r="I477">
        <v>30</v>
      </c>
      <c r="J477">
        <v>3390.72</v>
      </c>
      <c r="K477">
        <v>0</v>
      </c>
      <c r="L477">
        <v>3390.72</v>
      </c>
      <c r="N477" t="s">
        <v>59</v>
      </c>
      <c r="O477" t="s">
        <v>29</v>
      </c>
      <c r="Q477">
        <v>-376</v>
      </c>
      <c r="R477" t="s">
        <v>31</v>
      </c>
      <c r="S477" t="s">
        <v>30</v>
      </c>
      <c r="T477">
        <v>0.01</v>
      </c>
      <c r="U477" t="s">
        <v>31</v>
      </c>
      <c r="V477">
        <v>0</v>
      </c>
    </row>
    <row r="478" spans="1:22" x14ac:dyDescent="0.25">
      <c r="A478" t="s">
        <v>574</v>
      </c>
      <c r="B478" t="s">
        <v>23</v>
      </c>
      <c r="C478" t="s">
        <v>24</v>
      </c>
      <c r="D478" t="s">
        <v>25</v>
      </c>
      <c r="E478" t="s">
        <v>68</v>
      </c>
      <c r="F478" t="s">
        <v>41</v>
      </c>
      <c r="G478" s="1">
        <v>46044</v>
      </c>
      <c r="H478" s="1">
        <v>46059</v>
      </c>
      <c r="I478">
        <v>15</v>
      </c>
      <c r="J478">
        <v>7805.18</v>
      </c>
      <c r="K478">
        <v>4235.49</v>
      </c>
      <c r="L478">
        <v>3569.69</v>
      </c>
      <c r="M478" s="1">
        <v>46068</v>
      </c>
      <c r="N478" t="s">
        <v>98</v>
      </c>
      <c r="O478" t="s">
        <v>36</v>
      </c>
      <c r="P478">
        <v>24</v>
      </c>
      <c r="Q478">
        <v>-9</v>
      </c>
      <c r="R478" t="s">
        <v>31</v>
      </c>
      <c r="S478" t="s">
        <v>30</v>
      </c>
      <c r="T478">
        <v>0.02</v>
      </c>
      <c r="U478" t="s">
        <v>31</v>
      </c>
      <c r="V478">
        <v>0</v>
      </c>
    </row>
    <row r="479" spans="1:22" x14ac:dyDescent="0.25">
      <c r="A479" t="s">
        <v>575</v>
      </c>
      <c r="B479" t="s">
        <v>79</v>
      </c>
      <c r="C479" t="s">
        <v>80</v>
      </c>
      <c r="D479" t="s">
        <v>49</v>
      </c>
      <c r="E479" t="s">
        <v>68</v>
      </c>
      <c r="F479" t="s">
        <v>50</v>
      </c>
      <c r="G479" s="1">
        <v>45849</v>
      </c>
      <c r="H479" s="1">
        <v>45879</v>
      </c>
      <c r="I479">
        <v>30</v>
      </c>
      <c r="J479">
        <v>28093.79</v>
      </c>
      <c r="K479">
        <v>28093.79</v>
      </c>
      <c r="L479">
        <v>0</v>
      </c>
      <c r="M479" s="1">
        <v>45886</v>
      </c>
      <c r="N479" t="s">
        <v>28</v>
      </c>
      <c r="O479" t="s">
        <v>69</v>
      </c>
      <c r="P479">
        <v>37</v>
      </c>
      <c r="Q479">
        <v>-7</v>
      </c>
      <c r="R479" t="s">
        <v>31</v>
      </c>
      <c r="S479" t="s">
        <v>30</v>
      </c>
      <c r="T479">
        <v>0.01</v>
      </c>
      <c r="U479" t="s">
        <v>31</v>
      </c>
      <c r="V479">
        <v>0</v>
      </c>
    </row>
    <row r="480" spans="1:22" x14ac:dyDescent="0.25">
      <c r="A480" t="s">
        <v>576</v>
      </c>
      <c r="B480" t="s">
        <v>79</v>
      </c>
      <c r="C480" t="s">
        <v>80</v>
      </c>
      <c r="D480" t="s">
        <v>49</v>
      </c>
      <c r="E480" t="s">
        <v>40</v>
      </c>
      <c r="F480" t="s">
        <v>27</v>
      </c>
      <c r="G480" s="1">
        <v>45960</v>
      </c>
      <c r="H480" s="1">
        <v>46050</v>
      </c>
      <c r="I480">
        <v>90</v>
      </c>
      <c r="J480">
        <v>41332.089999999997</v>
      </c>
      <c r="K480">
        <v>41332.089999999997</v>
      </c>
      <c r="L480">
        <v>0</v>
      </c>
      <c r="M480" s="1">
        <v>46043</v>
      </c>
      <c r="N480" t="s">
        <v>28</v>
      </c>
      <c r="O480" t="s">
        <v>36</v>
      </c>
      <c r="P480">
        <v>83</v>
      </c>
      <c r="Q480">
        <v>7</v>
      </c>
      <c r="R480" t="s">
        <v>30</v>
      </c>
      <c r="S480" t="s">
        <v>30</v>
      </c>
      <c r="T480">
        <v>5.0000000000000001E-3</v>
      </c>
      <c r="U480" t="s">
        <v>31</v>
      </c>
      <c r="V480">
        <v>0</v>
      </c>
    </row>
    <row r="481" spans="1:22" x14ac:dyDescent="0.25">
      <c r="A481" t="s">
        <v>577</v>
      </c>
      <c r="B481" t="s">
        <v>85</v>
      </c>
      <c r="C481" t="s">
        <v>86</v>
      </c>
      <c r="D481" t="s">
        <v>25</v>
      </c>
      <c r="E481" t="s">
        <v>63</v>
      </c>
      <c r="F481" t="s">
        <v>41</v>
      </c>
      <c r="G481" s="1">
        <v>46030</v>
      </c>
      <c r="H481" s="1">
        <v>46045</v>
      </c>
      <c r="I481">
        <v>15</v>
      </c>
      <c r="J481">
        <v>15744.31</v>
      </c>
      <c r="K481">
        <v>15744.31</v>
      </c>
      <c r="L481">
        <v>0</v>
      </c>
      <c r="M481" s="1">
        <v>46040</v>
      </c>
      <c r="N481" t="s">
        <v>28</v>
      </c>
      <c r="O481" t="s">
        <v>36</v>
      </c>
      <c r="P481">
        <v>10</v>
      </c>
      <c r="Q481">
        <v>5</v>
      </c>
      <c r="R481" t="s">
        <v>30</v>
      </c>
      <c r="S481" t="s">
        <v>30</v>
      </c>
      <c r="T481">
        <v>0.02</v>
      </c>
      <c r="U481" t="s">
        <v>31</v>
      </c>
      <c r="V481">
        <v>0</v>
      </c>
    </row>
    <row r="482" spans="1:22" x14ac:dyDescent="0.25">
      <c r="A482" t="s">
        <v>578</v>
      </c>
      <c r="B482" t="s">
        <v>47</v>
      </c>
      <c r="C482" t="s">
        <v>48</v>
      </c>
      <c r="D482" t="s">
        <v>49</v>
      </c>
      <c r="E482" t="s">
        <v>40</v>
      </c>
      <c r="F482" t="s">
        <v>50</v>
      </c>
      <c r="G482" s="1">
        <v>45947</v>
      </c>
      <c r="H482" s="1">
        <v>45977</v>
      </c>
      <c r="I482">
        <v>30</v>
      </c>
      <c r="J482">
        <v>17484.8</v>
      </c>
      <c r="K482">
        <v>17484.8</v>
      </c>
      <c r="L482">
        <v>0</v>
      </c>
      <c r="M482" s="1">
        <v>45969</v>
      </c>
      <c r="N482" t="s">
        <v>28</v>
      </c>
      <c r="O482" t="s">
        <v>69</v>
      </c>
      <c r="P482">
        <v>22</v>
      </c>
      <c r="Q482">
        <v>8</v>
      </c>
      <c r="R482" t="s">
        <v>30</v>
      </c>
      <c r="S482" t="s">
        <v>30</v>
      </c>
      <c r="T482">
        <v>0.01</v>
      </c>
      <c r="U482" t="s">
        <v>31</v>
      </c>
      <c r="V482">
        <v>0</v>
      </c>
    </row>
    <row r="483" spans="1:22" x14ac:dyDescent="0.25">
      <c r="A483" t="s">
        <v>579</v>
      </c>
      <c r="B483" t="s">
        <v>82</v>
      </c>
      <c r="C483" t="s">
        <v>83</v>
      </c>
      <c r="D483" t="s">
        <v>58</v>
      </c>
      <c r="E483" t="s">
        <v>26</v>
      </c>
      <c r="F483" t="s">
        <v>27</v>
      </c>
      <c r="G483" s="1">
        <v>45690</v>
      </c>
      <c r="H483" s="1">
        <v>45720</v>
      </c>
      <c r="I483">
        <v>30</v>
      </c>
      <c r="J483">
        <v>10476.92</v>
      </c>
      <c r="K483">
        <v>10476.92</v>
      </c>
      <c r="L483">
        <v>0</v>
      </c>
      <c r="M483" s="1">
        <v>45707</v>
      </c>
      <c r="N483" t="s">
        <v>28</v>
      </c>
      <c r="O483" t="s">
        <v>36</v>
      </c>
      <c r="P483">
        <v>17</v>
      </c>
      <c r="Q483">
        <v>13</v>
      </c>
      <c r="R483" t="s">
        <v>30</v>
      </c>
      <c r="S483" t="s">
        <v>30</v>
      </c>
      <c r="T483">
        <v>0.01</v>
      </c>
      <c r="U483" t="s">
        <v>31</v>
      </c>
      <c r="V483">
        <v>0</v>
      </c>
    </row>
    <row r="484" spans="1:22" x14ac:dyDescent="0.25">
      <c r="A484" t="s">
        <v>580</v>
      </c>
      <c r="B484" t="s">
        <v>56</v>
      </c>
      <c r="C484" t="s">
        <v>57</v>
      </c>
      <c r="D484" t="s">
        <v>58</v>
      </c>
      <c r="E484" t="s">
        <v>45</v>
      </c>
      <c r="F484" t="s">
        <v>50</v>
      </c>
      <c r="G484" s="1">
        <v>46033</v>
      </c>
      <c r="H484" s="1">
        <v>46048</v>
      </c>
      <c r="I484">
        <v>15</v>
      </c>
      <c r="J484">
        <v>11166.74</v>
      </c>
      <c r="K484">
        <v>11166.74</v>
      </c>
      <c r="L484">
        <v>0</v>
      </c>
      <c r="M484" s="1">
        <v>46042</v>
      </c>
      <c r="N484" t="s">
        <v>28</v>
      </c>
      <c r="O484" t="s">
        <v>29</v>
      </c>
      <c r="P484">
        <v>9</v>
      </c>
      <c r="Q484">
        <v>6</v>
      </c>
      <c r="R484" t="s">
        <v>30</v>
      </c>
      <c r="S484" t="s">
        <v>31</v>
      </c>
      <c r="T484">
        <v>0</v>
      </c>
      <c r="U484" t="s">
        <v>31</v>
      </c>
      <c r="V484">
        <v>0</v>
      </c>
    </row>
    <row r="485" spans="1:22" x14ac:dyDescent="0.25">
      <c r="A485" t="s">
        <v>581</v>
      </c>
      <c r="B485" t="s">
        <v>153</v>
      </c>
      <c r="C485" t="s">
        <v>154</v>
      </c>
      <c r="D485" t="s">
        <v>58</v>
      </c>
      <c r="E485" t="s">
        <v>45</v>
      </c>
      <c r="F485" t="s">
        <v>27</v>
      </c>
      <c r="G485" s="1">
        <v>46027</v>
      </c>
      <c r="H485" s="1">
        <v>46042</v>
      </c>
      <c r="I485">
        <v>15</v>
      </c>
      <c r="J485">
        <v>23646.74</v>
      </c>
      <c r="K485">
        <v>23646.74</v>
      </c>
      <c r="L485">
        <v>0</v>
      </c>
      <c r="M485" s="1">
        <v>46034</v>
      </c>
      <c r="N485" t="s">
        <v>28</v>
      </c>
      <c r="O485" t="s">
        <v>69</v>
      </c>
      <c r="P485">
        <v>7</v>
      </c>
      <c r="Q485">
        <v>8</v>
      </c>
      <c r="R485" t="s">
        <v>30</v>
      </c>
      <c r="S485" t="s">
        <v>31</v>
      </c>
      <c r="T485">
        <v>0</v>
      </c>
      <c r="U485" t="s">
        <v>31</v>
      </c>
      <c r="V485">
        <v>0</v>
      </c>
    </row>
    <row r="486" spans="1:22" x14ac:dyDescent="0.25">
      <c r="A486" t="s">
        <v>582</v>
      </c>
      <c r="B486" t="s">
        <v>187</v>
      </c>
      <c r="C486" t="s">
        <v>188</v>
      </c>
      <c r="D486" t="s">
        <v>73</v>
      </c>
      <c r="E486" t="s">
        <v>68</v>
      </c>
      <c r="F486" t="s">
        <v>50</v>
      </c>
      <c r="G486" s="1">
        <v>45969</v>
      </c>
      <c r="H486" s="1">
        <v>45999</v>
      </c>
      <c r="I486">
        <v>30</v>
      </c>
      <c r="J486">
        <v>4571.87</v>
      </c>
      <c r="K486">
        <v>4571.87</v>
      </c>
      <c r="L486">
        <v>0</v>
      </c>
      <c r="M486" s="1">
        <v>46008</v>
      </c>
      <c r="N486" t="s">
        <v>28</v>
      </c>
      <c r="O486" t="s">
        <v>77</v>
      </c>
      <c r="P486">
        <v>39</v>
      </c>
      <c r="Q486">
        <v>-9</v>
      </c>
      <c r="R486" t="s">
        <v>31</v>
      </c>
      <c r="S486" t="s">
        <v>30</v>
      </c>
      <c r="T486">
        <v>0.01</v>
      </c>
      <c r="U486" t="s">
        <v>31</v>
      </c>
      <c r="V486">
        <v>0</v>
      </c>
    </row>
    <row r="487" spans="1:22" x14ac:dyDescent="0.25">
      <c r="A487" t="s">
        <v>583</v>
      </c>
      <c r="B487" t="s">
        <v>109</v>
      </c>
      <c r="C487" t="s">
        <v>110</v>
      </c>
      <c r="D487" t="s">
        <v>49</v>
      </c>
      <c r="E487" t="s">
        <v>40</v>
      </c>
      <c r="F487" t="s">
        <v>50</v>
      </c>
      <c r="G487" s="1">
        <v>45855</v>
      </c>
      <c r="H487" s="1">
        <v>45885</v>
      </c>
      <c r="I487">
        <v>30</v>
      </c>
      <c r="J487">
        <v>27257.22</v>
      </c>
      <c r="K487">
        <v>27257.22</v>
      </c>
      <c r="L487">
        <v>0</v>
      </c>
      <c r="M487" s="1">
        <v>45890</v>
      </c>
      <c r="N487" t="s">
        <v>28</v>
      </c>
      <c r="O487" t="s">
        <v>69</v>
      </c>
      <c r="P487">
        <v>35</v>
      </c>
      <c r="Q487">
        <v>-5</v>
      </c>
      <c r="R487" t="s">
        <v>31</v>
      </c>
      <c r="S487" t="s">
        <v>30</v>
      </c>
      <c r="T487">
        <v>0.01</v>
      </c>
      <c r="U487" t="s">
        <v>31</v>
      </c>
      <c r="V487">
        <v>0</v>
      </c>
    </row>
    <row r="488" spans="1:22" x14ac:dyDescent="0.25">
      <c r="A488" t="s">
        <v>584</v>
      </c>
      <c r="B488" t="s">
        <v>38</v>
      </c>
      <c r="C488" t="s">
        <v>39</v>
      </c>
      <c r="D488" t="s">
        <v>35</v>
      </c>
      <c r="E488" t="s">
        <v>26</v>
      </c>
      <c r="F488" t="s">
        <v>50</v>
      </c>
      <c r="G488" s="1">
        <v>46095</v>
      </c>
      <c r="H488" s="1">
        <v>46185</v>
      </c>
      <c r="I488">
        <v>90</v>
      </c>
      <c r="J488">
        <v>71211.8</v>
      </c>
      <c r="K488">
        <v>71211.8</v>
      </c>
      <c r="L488">
        <v>0</v>
      </c>
      <c r="M488" s="1">
        <v>46173</v>
      </c>
      <c r="N488" t="s">
        <v>28</v>
      </c>
      <c r="O488" t="s">
        <v>29</v>
      </c>
      <c r="P488">
        <v>78</v>
      </c>
      <c r="Q488">
        <v>12</v>
      </c>
      <c r="R488" t="s">
        <v>30</v>
      </c>
      <c r="S488" t="s">
        <v>30</v>
      </c>
      <c r="T488">
        <v>5.0000000000000001E-3</v>
      </c>
      <c r="U488" t="s">
        <v>31</v>
      </c>
      <c r="V488">
        <v>0</v>
      </c>
    </row>
    <row r="489" spans="1:22" x14ac:dyDescent="0.25">
      <c r="A489" t="s">
        <v>585</v>
      </c>
      <c r="B489" t="s">
        <v>143</v>
      </c>
      <c r="C489" t="s">
        <v>144</v>
      </c>
      <c r="D489" t="s">
        <v>25</v>
      </c>
      <c r="E489" t="s">
        <v>40</v>
      </c>
      <c r="F489" t="s">
        <v>50</v>
      </c>
      <c r="G489" s="1">
        <v>45980</v>
      </c>
      <c r="H489" s="1">
        <v>46040</v>
      </c>
      <c r="I489">
        <v>60</v>
      </c>
      <c r="J489">
        <v>11451.55</v>
      </c>
      <c r="K489">
        <v>5796.45</v>
      </c>
      <c r="L489">
        <v>5655.1</v>
      </c>
      <c r="M489" s="1">
        <v>46055</v>
      </c>
      <c r="N489" t="s">
        <v>98</v>
      </c>
      <c r="O489" t="s">
        <v>69</v>
      </c>
      <c r="P489">
        <v>75</v>
      </c>
      <c r="Q489">
        <v>-15</v>
      </c>
      <c r="R489" t="s">
        <v>31</v>
      </c>
      <c r="S489" t="s">
        <v>31</v>
      </c>
      <c r="T489">
        <v>0</v>
      </c>
      <c r="U489" t="s">
        <v>31</v>
      </c>
      <c r="V489">
        <v>0</v>
      </c>
    </row>
    <row r="490" spans="1:22" x14ac:dyDescent="0.25">
      <c r="A490" t="s">
        <v>586</v>
      </c>
      <c r="B490" t="s">
        <v>38</v>
      </c>
      <c r="C490" t="s">
        <v>39</v>
      </c>
      <c r="D490" t="s">
        <v>35</v>
      </c>
      <c r="E490" t="s">
        <v>68</v>
      </c>
      <c r="F490" t="s">
        <v>50</v>
      </c>
      <c r="G490" s="1">
        <v>46042</v>
      </c>
      <c r="H490" s="1">
        <v>46072</v>
      </c>
      <c r="I490">
        <v>30</v>
      </c>
      <c r="J490">
        <v>62428.12</v>
      </c>
      <c r="K490">
        <v>62428.12</v>
      </c>
      <c r="L490">
        <v>0</v>
      </c>
      <c r="M490" s="1">
        <v>46080</v>
      </c>
      <c r="N490" t="s">
        <v>28</v>
      </c>
      <c r="O490" t="s">
        <v>36</v>
      </c>
      <c r="P490">
        <v>38</v>
      </c>
      <c r="Q490">
        <v>-8</v>
      </c>
      <c r="R490" t="s">
        <v>31</v>
      </c>
      <c r="S490" t="s">
        <v>31</v>
      </c>
      <c r="T490">
        <v>0</v>
      </c>
      <c r="U490" t="s">
        <v>31</v>
      </c>
      <c r="V490">
        <v>0</v>
      </c>
    </row>
    <row r="491" spans="1:22" x14ac:dyDescent="0.25">
      <c r="A491" t="s">
        <v>587</v>
      </c>
      <c r="B491" t="s">
        <v>47</v>
      </c>
      <c r="C491" t="s">
        <v>48</v>
      </c>
      <c r="D491" t="s">
        <v>49</v>
      </c>
      <c r="E491" t="s">
        <v>26</v>
      </c>
      <c r="F491" t="s">
        <v>27</v>
      </c>
      <c r="G491" s="1">
        <v>45796</v>
      </c>
      <c r="H491" s="1">
        <v>45811</v>
      </c>
      <c r="I491">
        <v>15</v>
      </c>
      <c r="J491">
        <v>49683.78</v>
      </c>
      <c r="K491">
        <v>49683.78</v>
      </c>
      <c r="L491">
        <v>0</v>
      </c>
      <c r="M491" s="1">
        <v>45809</v>
      </c>
      <c r="N491" t="s">
        <v>28</v>
      </c>
      <c r="O491" t="s">
        <v>29</v>
      </c>
      <c r="P491">
        <v>13</v>
      </c>
      <c r="Q491">
        <v>2</v>
      </c>
      <c r="R491" t="s">
        <v>30</v>
      </c>
      <c r="S491" t="s">
        <v>30</v>
      </c>
      <c r="T491">
        <v>0.02</v>
      </c>
      <c r="U491" t="s">
        <v>31</v>
      </c>
      <c r="V491">
        <v>0</v>
      </c>
    </row>
    <row r="492" spans="1:22" x14ac:dyDescent="0.25">
      <c r="A492" t="s">
        <v>588</v>
      </c>
      <c r="B492" t="s">
        <v>52</v>
      </c>
      <c r="C492" t="s">
        <v>53</v>
      </c>
      <c r="D492" t="s">
        <v>54</v>
      </c>
      <c r="E492" t="s">
        <v>40</v>
      </c>
      <c r="F492" t="s">
        <v>92</v>
      </c>
      <c r="G492" s="1">
        <v>45816</v>
      </c>
      <c r="H492" s="1">
        <v>45861</v>
      </c>
      <c r="I492">
        <v>45</v>
      </c>
      <c r="J492">
        <v>1867.16</v>
      </c>
      <c r="K492">
        <v>1867.16</v>
      </c>
      <c r="L492">
        <v>0</v>
      </c>
      <c r="M492" s="1">
        <v>45860</v>
      </c>
      <c r="N492" t="s">
        <v>28</v>
      </c>
      <c r="O492" t="s">
        <v>77</v>
      </c>
      <c r="P492">
        <v>44</v>
      </c>
      <c r="Q492">
        <v>1</v>
      </c>
      <c r="R492" t="s">
        <v>30</v>
      </c>
      <c r="S492" t="s">
        <v>30</v>
      </c>
      <c r="T492">
        <v>1.4999999999999999E-2</v>
      </c>
      <c r="U492" t="s">
        <v>31</v>
      </c>
      <c r="V492">
        <v>0</v>
      </c>
    </row>
    <row r="493" spans="1:22" x14ac:dyDescent="0.25">
      <c r="A493" t="s">
        <v>589</v>
      </c>
      <c r="B493" t="s">
        <v>52</v>
      </c>
      <c r="C493" t="s">
        <v>53</v>
      </c>
      <c r="D493" t="s">
        <v>54</v>
      </c>
      <c r="E493" t="s">
        <v>40</v>
      </c>
      <c r="F493" t="s">
        <v>92</v>
      </c>
      <c r="G493" s="1">
        <v>46067</v>
      </c>
      <c r="H493" s="1">
        <v>46097</v>
      </c>
      <c r="I493">
        <v>30</v>
      </c>
      <c r="J493">
        <v>8751.44</v>
      </c>
      <c r="K493">
        <v>8751.44</v>
      </c>
      <c r="L493">
        <v>0</v>
      </c>
      <c r="M493" s="1">
        <v>46113</v>
      </c>
      <c r="N493" t="s">
        <v>28</v>
      </c>
      <c r="O493" t="s">
        <v>29</v>
      </c>
      <c r="P493">
        <v>46</v>
      </c>
      <c r="Q493">
        <v>-16</v>
      </c>
      <c r="R493" t="s">
        <v>31</v>
      </c>
      <c r="S493" t="s">
        <v>30</v>
      </c>
      <c r="T493">
        <v>0.01</v>
      </c>
      <c r="U493" t="s">
        <v>31</v>
      </c>
      <c r="V493">
        <v>0</v>
      </c>
    </row>
    <row r="494" spans="1:22" x14ac:dyDescent="0.25">
      <c r="A494" t="s">
        <v>590</v>
      </c>
      <c r="B494" t="s">
        <v>143</v>
      </c>
      <c r="C494" t="s">
        <v>144</v>
      </c>
      <c r="D494" t="s">
        <v>25</v>
      </c>
      <c r="E494" t="s">
        <v>45</v>
      </c>
      <c r="F494" t="s">
        <v>64</v>
      </c>
      <c r="G494" s="1">
        <v>45965</v>
      </c>
      <c r="H494" s="1">
        <v>45995</v>
      </c>
      <c r="I494">
        <v>30</v>
      </c>
      <c r="J494">
        <v>1710.06</v>
      </c>
      <c r="K494">
        <v>1710.06</v>
      </c>
      <c r="L494">
        <v>0</v>
      </c>
      <c r="M494" s="1">
        <v>45998</v>
      </c>
      <c r="N494" t="s">
        <v>28</v>
      </c>
      <c r="O494" t="s">
        <v>69</v>
      </c>
      <c r="P494">
        <v>33</v>
      </c>
      <c r="Q494">
        <v>-3</v>
      </c>
      <c r="R494" t="s">
        <v>31</v>
      </c>
      <c r="S494" t="s">
        <v>31</v>
      </c>
      <c r="T494">
        <v>0</v>
      </c>
      <c r="U494" t="s">
        <v>31</v>
      </c>
      <c r="V494">
        <v>0</v>
      </c>
    </row>
    <row r="495" spans="1:22" x14ac:dyDescent="0.25">
      <c r="A495" t="s">
        <v>591</v>
      </c>
      <c r="B495" t="s">
        <v>143</v>
      </c>
      <c r="C495" t="s">
        <v>144</v>
      </c>
      <c r="D495" t="s">
        <v>25</v>
      </c>
      <c r="E495" t="s">
        <v>68</v>
      </c>
      <c r="F495" t="s">
        <v>41</v>
      </c>
      <c r="G495" s="1">
        <v>45890</v>
      </c>
      <c r="H495" s="1">
        <v>45920</v>
      </c>
      <c r="I495">
        <v>30</v>
      </c>
      <c r="J495">
        <v>15205.89</v>
      </c>
      <c r="K495">
        <v>0</v>
      </c>
      <c r="L495">
        <v>15205.89</v>
      </c>
      <c r="N495" t="s">
        <v>59</v>
      </c>
      <c r="O495" t="s">
        <v>69</v>
      </c>
      <c r="Q495">
        <v>-253</v>
      </c>
      <c r="R495" t="s">
        <v>31</v>
      </c>
      <c r="S495" t="s">
        <v>31</v>
      </c>
      <c r="T495">
        <v>0</v>
      </c>
      <c r="U495" t="s">
        <v>31</v>
      </c>
      <c r="V495">
        <v>0</v>
      </c>
    </row>
    <row r="496" spans="1:22" x14ac:dyDescent="0.25">
      <c r="A496" t="s">
        <v>592</v>
      </c>
      <c r="B496" t="s">
        <v>23</v>
      </c>
      <c r="C496" t="s">
        <v>24</v>
      </c>
      <c r="D496" t="s">
        <v>25</v>
      </c>
      <c r="E496" t="s">
        <v>45</v>
      </c>
      <c r="F496" t="s">
        <v>27</v>
      </c>
      <c r="G496" s="1">
        <v>45984</v>
      </c>
      <c r="H496" s="1">
        <v>45999</v>
      </c>
      <c r="I496">
        <v>15</v>
      </c>
      <c r="J496">
        <v>11258.66</v>
      </c>
      <c r="K496">
        <v>11258.66</v>
      </c>
      <c r="L496">
        <v>0</v>
      </c>
      <c r="M496" s="1">
        <v>45985</v>
      </c>
      <c r="N496" t="s">
        <v>28</v>
      </c>
      <c r="O496" t="s">
        <v>29</v>
      </c>
      <c r="P496">
        <v>1</v>
      </c>
      <c r="Q496">
        <v>14</v>
      </c>
      <c r="R496" t="s">
        <v>30</v>
      </c>
      <c r="S496" t="s">
        <v>30</v>
      </c>
      <c r="T496">
        <v>0.02</v>
      </c>
      <c r="U496" t="s">
        <v>30</v>
      </c>
      <c r="V496">
        <v>225.17</v>
      </c>
    </row>
    <row r="497" spans="1:22" x14ac:dyDescent="0.25">
      <c r="A497" t="s">
        <v>593</v>
      </c>
      <c r="B497" t="s">
        <v>52</v>
      </c>
      <c r="C497" t="s">
        <v>53</v>
      </c>
      <c r="D497" t="s">
        <v>54</v>
      </c>
      <c r="E497" t="s">
        <v>40</v>
      </c>
      <c r="F497" t="s">
        <v>27</v>
      </c>
      <c r="G497" s="1">
        <v>45750</v>
      </c>
      <c r="H497" s="1">
        <v>45840</v>
      </c>
      <c r="I497">
        <v>90</v>
      </c>
      <c r="J497">
        <v>3720.24</v>
      </c>
      <c r="K497">
        <v>3720.24</v>
      </c>
      <c r="L497">
        <v>0</v>
      </c>
      <c r="M497" s="1">
        <v>45842</v>
      </c>
      <c r="N497" t="s">
        <v>28</v>
      </c>
      <c r="O497" t="s">
        <v>69</v>
      </c>
      <c r="P497">
        <v>92</v>
      </c>
      <c r="Q497">
        <v>-2</v>
      </c>
      <c r="R497" t="s">
        <v>31</v>
      </c>
      <c r="S497" t="s">
        <v>30</v>
      </c>
      <c r="T497">
        <v>5.0000000000000001E-3</v>
      </c>
      <c r="U497" t="s">
        <v>31</v>
      </c>
      <c r="V497">
        <v>0</v>
      </c>
    </row>
    <row r="498" spans="1:22" x14ac:dyDescent="0.25">
      <c r="A498" t="s">
        <v>594</v>
      </c>
      <c r="B498" t="s">
        <v>66</v>
      </c>
      <c r="C498" t="s">
        <v>67</v>
      </c>
      <c r="D498" t="s">
        <v>35</v>
      </c>
      <c r="E498" t="s">
        <v>26</v>
      </c>
      <c r="F498" t="s">
        <v>50</v>
      </c>
      <c r="G498" s="1">
        <v>45745</v>
      </c>
      <c r="H498" s="1">
        <v>45790</v>
      </c>
      <c r="I498">
        <v>45</v>
      </c>
      <c r="J498">
        <v>34889.53</v>
      </c>
      <c r="K498">
        <v>34889.53</v>
      </c>
      <c r="L498">
        <v>0</v>
      </c>
      <c r="M498" s="1">
        <v>45792</v>
      </c>
      <c r="N498" t="s">
        <v>28</v>
      </c>
      <c r="O498" t="s">
        <v>69</v>
      </c>
      <c r="P498">
        <v>47</v>
      </c>
      <c r="Q498">
        <v>-2</v>
      </c>
      <c r="R498" t="s">
        <v>31</v>
      </c>
      <c r="S498" t="s">
        <v>30</v>
      </c>
      <c r="T498">
        <v>1.4999999999999999E-2</v>
      </c>
      <c r="U498" t="s">
        <v>31</v>
      </c>
      <c r="V498">
        <v>0</v>
      </c>
    </row>
    <row r="499" spans="1:22" x14ac:dyDescent="0.25">
      <c r="A499" t="s">
        <v>595</v>
      </c>
      <c r="B499" t="s">
        <v>85</v>
      </c>
      <c r="C499" t="s">
        <v>86</v>
      </c>
      <c r="D499" t="s">
        <v>25</v>
      </c>
      <c r="E499" t="s">
        <v>40</v>
      </c>
      <c r="F499" t="s">
        <v>41</v>
      </c>
      <c r="G499" s="1">
        <v>46062</v>
      </c>
      <c r="H499" s="1">
        <v>46152</v>
      </c>
      <c r="I499">
        <v>90</v>
      </c>
      <c r="J499">
        <v>13392.72</v>
      </c>
      <c r="K499">
        <v>13392.72</v>
      </c>
      <c r="L499">
        <v>0</v>
      </c>
      <c r="M499" s="1">
        <v>46152</v>
      </c>
      <c r="N499" t="s">
        <v>28</v>
      </c>
      <c r="O499" t="s">
        <v>36</v>
      </c>
      <c r="P499">
        <v>90</v>
      </c>
      <c r="Q499">
        <v>0</v>
      </c>
      <c r="R499" t="s">
        <v>30</v>
      </c>
      <c r="S499" t="s">
        <v>30</v>
      </c>
      <c r="T499">
        <v>5.0000000000000001E-3</v>
      </c>
      <c r="U499" t="s">
        <v>31</v>
      </c>
      <c r="V499">
        <v>0</v>
      </c>
    </row>
    <row r="500" spans="1:22" x14ac:dyDescent="0.25">
      <c r="A500" t="s">
        <v>596</v>
      </c>
      <c r="B500" t="s">
        <v>85</v>
      </c>
      <c r="C500" t="s">
        <v>86</v>
      </c>
      <c r="D500" t="s">
        <v>25</v>
      </c>
      <c r="E500" t="s">
        <v>45</v>
      </c>
      <c r="F500" t="s">
        <v>92</v>
      </c>
      <c r="G500" s="1">
        <v>46081</v>
      </c>
      <c r="H500" s="1">
        <v>46111</v>
      </c>
      <c r="I500">
        <v>30</v>
      </c>
      <c r="J500">
        <v>9047.27</v>
      </c>
      <c r="K500">
        <v>9047.27</v>
      </c>
      <c r="L500">
        <v>0</v>
      </c>
      <c r="M500" s="1">
        <v>46114</v>
      </c>
      <c r="N500" t="s">
        <v>28</v>
      </c>
      <c r="O500" t="s">
        <v>77</v>
      </c>
      <c r="P500">
        <v>33</v>
      </c>
      <c r="Q500">
        <v>-3</v>
      </c>
      <c r="R500" t="s">
        <v>31</v>
      </c>
      <c r="S500" t="s">
        <v>30</v>
      </c>
      <c r="T500">
        <v>0.01</v>
      </c>
      <c r="U500" t="s">
        <v>31</v>
      </c>
      <c r="V500">
        <v>0</v>
      </c>
    </row>
    <row r="501" spans="1:22" x14ac:dyDescent="0.25">
      <c r="A501" t="s">
        <v>597</v>
      </c>
      <c r="B501" t="s">
        <v>187</v>
      </c>
      <c r="C501" t="s">
        <v>188</v>
      </c>
      <c r="D501" t="s">
        <v>73</v>
      </c>
      <c r="E501" t="s">
        <v>26</v>
      </c>
      <c r="F501" t="s">
        <v>92</v>
      </c>
      <c r="G501" s="1">
        <v>46110</v>
      </c>
      <c r="H501" s="1">
        <v>46170</v>
      </c>
      <c r="I501">
        <v>60</v>
      </c>
      <c r="J501">
        <v>22565.01</v>
      </c>
      <c r="K501">
        <v>0</v>
      </c>
      <c r="L501">
        <v>22565.01</v>
      </c>
      <c r="N501" t="s">
        <v>93</v>
      </c>
      <c r="O501" t="s">
        <v>36</v>
      </c>
      <c r="S501" t="s">
        <v>30</v>
      </c>
      <c r="T501">
        <v>0.01</v>
      </c>
      <c r="U501" t="s">
        <v>31</v>
      </c>
      <c r="V501">
        <v>0</v>
      </c>
    </row>
    <row r="502" spans="1:22" x14ac:dyDescent="0.25">
      <c r="A502" t="s">
        <v>598</v>
      </c>
      <c r="B502" t="s">
        <v>56</v>
      </c>
      <c r="C502" t="s">
        <v>57</v>
      </c>
      <c r="D502" t="s">
        <v>58</v>
      </c>
      <c r="E502" t="s">
        <v>68</v>
      </c>
      <c r="F502" t="s">
        <v>64</v>
      </c>
      <c r="G502" s="1">
        <v>45713</v>
      </c>
      <c r="H502" s="1">
        <v>45743</v>
      </c>
      <c r="I502">
        <v>30</v>
      </c>
      <c r="J502">
        <v>11992.79</v>
      </c>
      <c r="K502">
        <v>11992.79</v>
      </c>
      <c r="L502">
        <v>0</v>
      </c>
      <c r="M502" s="1">
        <v>45746</v>
      </c>
      <c r="N502" t="s">
        <v>28</v>
      </c>
      <c r="O502" t="s">
        <v>77</v>
      </c>
      <c r="P502">
        <v>33</v>
      </c>
      <c r="Q502">
        <v>-3</v>
      </c>
      <c r="R502" t="s">
        <v>31</v>
      </c>
      <c r="S502" t="s">
        <v>30</v>
      </c>
      <c r="T502">
        <v>0.01</v>
      </c>
      <c r="U502" t="s">
        <v>31</v>
      </c>
      <c r="V502">
        <v>0</v>
      </c>
    </row>
    <row r="503" spans="1:22" x14ac:dyDescent="0.25">
      <c r="A503" t="s">
        <v>599</v>
      </c>
      <c r="B503" t="s">
        <v>143</v>
      </c>
      <c r="C503" t="s">
        <v>144</v>
      </c>
      <c r="D503" t="s">
        <v>25</v>
      </c>
      <c r="E503" t="s">
        <v>26</v>
      </c>
      <c r="F503" t="s">
        <v>92</v>
      </c>
      <c r="G503" s="1">
        <v>45681</v>
      </c>
      <c r="H503" s="1">
        <v>45771</v>
      </c>
      <c r="I503">
        <v>90</v>
      </c>
      <c r="J503">
        <v>7305.66</v>
      </c>
      <c r="K503">
        <v>7305.66</v>
      </c>
      <c r="L503">
        <v>0</v>
      </c>
      <c r="M503" s="1">
        <v>45766</v>
      </c>
      <c r="N503" t="s">
        <v>28</v>
      </c>
      <c r="O503" t="s">
        <v>69</v>
      </c>
      <c r="P503">
        <v>85</v>
      </c>
      <c r="Q503">
        <v>5</v>
      </c>
      <c r="R503" t="s">
        <v>30</v>
      </c>
      <c r="S503" t="s">
        <v>31</v>
      </c>
      <c r="T503">
        <v>0</v>
      </c>
      <c r="U503" t="s">
        <v>31</v>
      </c>
      <c r="V503">
        <v>0</v>
      </c>
    </row>
    <row r="504" spans="1:22" x14ac:dyDescent="0.25">
      <c r="A504" t="s">
        <v>600</v>
      </c>
      <c r="B504" t="s">
        <v>79</v>
      </c>
      <c r="C504" t="s">
        <v>80</v>
      </c>
      <c r="D504" t="s">
        <v>49</v>
      </c>
      <c r="E504" t="s">
        <v>63</v>
      </c>
      <c r="F504" t="s">
        <v>92</v>
      </c>
      <c r="G504" s="1">
        <v>45676</v>
      </c>
      <c r="H504" s="1">
        <v>45706</v>
      </c>
      <c r="I504">
        <v>30</v>
      </c>
      <c r="J504">
        <v>20077.12</v>
      </c>
      <c r="K504">
        <v>20077.12</v>
      </c>
      <c r="L504">
        <v>0</v>
      </c>
      <c r="M504" s="1">
        <v>45706</v>
      </c>
      <c r="N504" t="s">
        <v>28</v>
      </c>
      <c r="O504" t="s">
        <v>69</v>
      </c>
      <c r="P504">
        <v>30</v>
      </c>
      <c r="Q504">
        <v>0</v>
      </c>
      <c r="R504" t="s">
        <v>30</v>
      </c>
      <c r="S504" t="s">
        <v>31</v>
      </c>
      <c r="T504">
        <v>0</v>
      </c>
      <c r="U504" t="s">
        <v>31</v>
      </c>
      <c r="V504">
        <v>0</v>
      </c>
    </row>
    <row r="505" spans="1:22" x14ac:dyDescent="0.25">
      <c r="A505" t="s">
        <v>601</v>
      </c>
      <c r="B505" t="s">
        <v>153</v>
      </c>
      <c r="C505" t="s">
        <v>154</v>
      </c>
      <c r="D505" t="s">
        <v>58</v>
      </c>
      <c r="E505" t="s">
        <v>63</v>
      </c>
      <c r="F505" t="s">
        <v>92</v>
      </c>
      <c r="G505" s="1">
        <v>45666</v>
      </c>
      <c r="H505" s="1">
        <v>45756</v>
      </c>
      <c r="I505">
        <v>90</v>
      </c>
      <c r="J505">
        <v>5464.12</v>
      </c>
      <c r="K505">
        <v>5464.12</v>
      </c>
      <c r="L505">
        <v>0</v>
      </c>
      <c r="M505" s="1">
        <v>45758</v>
      </c>
      <c r="N505" t="s">
        <v>28</v>
      </c>
      <c r="O505" t="s">
        <v>77</v>
      </c>
      <c r="P505">
        <v>92</v>
      </c>
      <c r="Q505">
        <v>-2</v>
      </c>
      <c r="R505" t="s">
        <v>31</v>
      </c>
      <c r="S505" t="s">
        <v>30</v>
      </c>
      <c r="T505">
        <v>5.0000000000000001E-3</v>
      </c>
      <c r="U505" t="s">
        <v>31</v>
      </c>
      <c r="V505">
        <v>0</v>
      </c>
    </row>
    <row r="506" spans="1:22" x14ac:dyDescent="0.25">
      <c r="A506" t="s">
        <v>602</v>
      </c>
      <c r="B506" t="s">
        <v>56</v>
      </c>
      <c r="C506" t="s">
        <v>57</v>
      </c>
      <c r="D506" t="s">
        <v>58</v>
      </c>
      <c r="E506" t="s">
        <v>68</v>
      </c>
      <c r="F506" t="s">
        <v>27</v>
      </c>
      <c r="G506" s="1">
        <v>46053</v>
      </c>
      <c r="H506" s="1">
        <v>46098</v>
      </c>
      <c r="I506">
        <v>45</v>
      </c>
      <c r="J506">
        <v>11553.24</v>
      </c>
      <c r="K506">
        <v>0</v>
      </c>
      <c r="L506">
        <v>11553.24</v>
      </c>
      <c r="N506" t="s">
        <v>59</v>
      </c>
      <c r="O506" t="s">
        <v>77</v>
      </c>
      <c r="Q506">
        <v>-75</v>
      </c>
      <c r="R506" t="s">
        <v>31</v>
      </c>
      <c r="S506" t="s">
        <v>30</v>
      </c>
      <c r="T506">
        <v>1.4999999999999999E-2</v>
      </c>
      <c r="U506" t="s">
        <v>31</v>
      </c>
      <c r="V506">
        <v>0</v>
      </c>
    </row>
    <row r="507" spans="1:22" x14ac:dyDescent="0.25">
      <c r="A507" t="s">
        <v>603</v>
      </c>
      <c r="B507" t="s">
        <v>109</v>
      </c>
      <c r="C507" t="s">
        <v>110</v>
      </c>
      <c r="D507" t="s">
        <v>49</v>
      </c>
      <c r="E507" t="s">
        <v>68</v>
      </c>
      <c r="F507" t="s">
        <v>41</v>
      </c>
      <c r="G507" s="1">
        <v>45861</v>
      </c>
      <c r="H507" s="1">
        <v>45891</v>
      </c>
      <c r="I507">
        <v>30</v>
      </c>
      <c r="J507">
        <v>26031.24</v>
      </c>
      <c r="K507">
        <v>0</v>
      </c>
      <c r="L507">
        <v>26031.24</v>
      </c>
      <c r="N507" t="s">
        <v>59</v>
      </c>
      <c r="O507" t="s">
        <v>77</v>
      </c>
      <c r="Q507">
        <v>-282</v>
      </c>
      <c r="R507" t="s">
        <v>31</v>
      </c>
      <c r="S507" t="s">
        <v>30</v>
      </c>
      <c r="T507">
        <v>0.01</v>
      </c>
      <c r="U507" t="s">
        <v>31</v>
      </c>
      <c r="V507">
        <v>0</v>
      </c>
    </row>
    <row r="508" spans="1:22" x14ac:dyDescent="0.25">
      <c r="A508" t="s">
        <v>604</v>
      </c>
      <c r="B508" t="s">
        <v>95</v>
      </c>
      <c r="C508" t="s">
        <v>96</v>
      </c>
      <c r="D508" t="s">
        <v>49</v>
      </c>
      <c r="E508" t="s">
        <v>26</v>
      </c>
      <c r="F508" t="s">
        <v>64</v>
      </c>
      <c r="G508" s="1">
        <v>46159</v>
      </c>
      <c r="H508" s="1">
        <v>46219</v>
      </c>
      <c r="I508">
        <v>60</v>
      </c>
      <c r="J508">
        <v>20883.189999999999</v>
      </c>
      <c r="K508">
        <v>0</v>
      </c>
      <c r="L508">
        <v>20883.189999999999</v>
      </c>
      <c r="N508" t="s">
        <v>93</v>
      </c>
      <c r="O508" t="s">
        <v>29</v>
      </c>
      <c r="S508" t="s">
        <v>30</v>
      </c>
      <c r="T508">
        <v>0.01</v>
      </c>
      <c r="U508" t="s">
        <v>31</v>
      </c>
      <c r="V508">
        <v>0</v>
      </c>
    </row>
    <row r="509" spans="1:22" x14ac:dyDescent="0.25">
      <c r="A509" t="s">
        <v>605</v>
      </c>
      <c r="B509" t="s">
        <v>23</v>
      </c>
      <c r="C509" t="s">
        <v>24</v>
      </c>
      <c r="D509" t="s">
        <v>25</v>
      </c>
      <c r="E509" t="s">
        <v>68</v>
      </c>
      <c r="F509" t="s">
        <v>64</v>
      </c>
      <c r="G509" s="1">
        <v>45921</v>
      </c>
      <c r="H509" s="1">
        <v>45936</v>
      </c>
      <c r="I509">
        <v>15</v>
      </c>
      <c r="J509">
        <v>17694.87</v>
      </c>
      <c r="K509">
        <v>5569.16</v>
      </c>
      <c r="L509">
        <v>12125.71</v>
      </c>
      <c r="M509" s="1">
        <v>45948</v>
      </c>
      <c r="N509" t="s">
        <v>98</v>
      </c>
      <c r="O509" t="s">
        <v>29</v>
      </c>
      <c r="P509">
        <v>27</v>
      </c>
      <c r="Q509">
        <v>-12</v>
      </c>
      <c r="R509" t="s">
        <v>31</v>
      </c>
      <c r="S509" t="s">
        <v>31</v>
      </c>
      <c r="T509">
        <v>0</v>
      </c>
      <c r="U509" t="s">
        <v>31</v>
      </c>
      <c r="V509">
        <v>0</v>
      </c>
    </row>
    <row r="510" spans="1:22" x14ac:dyDescent="0.25">
      <c r="A510" t="s">
        <v>606</v>
      </c>
      <c r="B510" t="s">
        <v>131</v>
      </c>
      <c r="C510" t="s">
        <v>132</v>
      </c>
      <c r="D510" t="s">
        <v>49</v>
      </c>
      <c r="E510" t="s">
        <v>40</v>
      </c>
      <c r="F510" t="s">
        <v>64</v>
      </c>
      <c r="G510" s="1">
        <v>45798</v>
      </c>
      <c r="H510" s="1">
        <v>45858</v>
      </c>
      <c r="I510">
        <v>60</v>
      </c>
      <c r="J510">
        <v>6214.16</v>
      </c>
      <c r="K510">
        <v>0</v>
      </c>
      <c r="L510">
        <v>6214.16</v>
      </c>
      <c r="N510" t="s">
        <v>59</v>
      </c>
      <c r="O510" t="s">
        <v>29</v>
      </c>
      <c r="Q510">
        <v>-315</v>
      </c>
      <c r="R510" t="s">
        <v>31</v>
      </c>
      <c r="S510" t="s">
        <v>30</v>
      </c>
      <c r="T510">
        <v>0.01</v>
      </c>
      <c r="U510" t="s">
        <v>31</v>
      </c>
      <c r="V510">
        <v>0</v>
      </c>
    </row>
    <row r="511" spans="1:22" x14ac:dyDescent="0.25">
      <c r="A511" t="s">
        <v>607</v>
      </c>
      <c r="B511" t="s">
        <v>187</v>
      </c>
      <c r="C511" t="s">
        <v>188</v>
      </c>
      <c r="D511" t="s">
        <v>73</v>
      </c>
      <c r="E511" t="s">
        <v>40</v>
      </c>
      <c r="F511" t="s">
        <v>41</v>
      </c>
      <c r="G511" s="1">
        <v>46094</v>
      </c>
      <c r="H511" s="1">
        <v>46124</v>
      </c>
      <c r="I511">
        <v>30</v>
      </c>
      <c r="J511">
        <v>34027.730000000003</v>
      </c>
      <c r="K511">
        <v>34027.730000000003</v>
      </c>
      <c r="L511">
        <v>0</v>
      </c>
      <c r="M511" s="1">
        <v>46125</v>
      </c>
      <c r="N511" t="s">
        <v>28</v>
      </c>
      <c r="O511" t="s">
        <v>36</v>
      </c>
      <c r="P511">
        <v>31</v>
      </c>
      <c r="Q511">
        <v>-1</v>
      </c>
      <c r="R511" t="s">
        <v>31</v>
      </c>
      <c r="S511" t="s">
        <v>31</v>
      </c>
      <c r="T511">
        <v>0</v>
      </c>
      <c r="U511" t="s">
        <v>31</v>
      </c>
      <c r="V511">
        <v>0</v>
      </c>
    </row>
    <row r="512" spans="1:22" x14ac:dyDescent="0.25">
      <c r="A512" t="s">
        <v>608</v>
      </c>
      <c r="B512" t="s">
        <v>79</v>
      </c>
      <c r="C512" t="s">
        <v>80</v>
      </c>
      <c r="D512" t="s">
        <v>49</v>
      </c>
      <c r="E512" t="s">
        <v>40</v>
      </c>
      <c r="F512" t="s">
        <v>64</v>
      </c>
      <c r="G512" s="1">
        <v>46098</v>
      </c>
      <c r="H512" s="1">
        <v>46128</v>
      </c>
      <c r="I512">
        <v>30</v>
      </c>
      <c r="J512">
        <v>49792.92</v>
      </c>
      <c r="K512">
        <v>49792.92</v>
      </c>
      <c r="L512">
        <v>0</v>
      </c>
      <c r="M512" s="1">
        <v>46132</v>
      </c>
      <c r="N512" t="s">
        <v>28</v>
      </c>
      <c r="O512" t="s">
        <v>29</v>
      </c>
      <c r="P512">
        <v>34</v>
      </c>
      <c r="Q512">
        <v>-4</v>
      </c>
      <c r="R512" t="s">
        <v>31</v>
      </c>
      <c r="S512" t="s">
        <v>31</v>
      </c>
      <c r="T512">
        <v>0</v>
      </c>
      <c r="U512" t="s">
        <v>31</v>
      </c>
      <c r="V512">
        <v>0</v>
      </c>
    </row>
    <row r="513" spans="1:22" x14ac:dyDescent="0.25">
      <c r="A513" t="s">
        <v>609</v>
      </c>
      <c r="B513" t="s">
        <v>120</v>
      </c>
      <c r="C513" t="s">
        <v>121</v>
      </c>
      <c r="D513" t="s">
        <v>54</v>
      </c>
      <c r="E513" t="s">
        <v>68</v>
      </c>
      <c r="F513" t="s">
        <v>27</v>
      </c>
      <c r="G513" s="1">
        <v>45983</v>
      </c>
      <c r="H513" s="1">
        <v>46013</v>
      </c>
      <c r="I513">
        <v>30</v>
      </c>
      <c r="J513">
        <v>12673.08</v>
      </c>
      <c r="K513">
        <v>12673.08</v>
      </c>
      <c r="L513">
        <v>0</v>
      </c>
      <c r="M513" s="1">
        <v>46005</v>
      </c>
      <c r="N513" t="s">
        <v>28</v>
      </c>
      <c r="O513" t="s">
        <v>77</v>
      </c>
      <c r="P513">
        <v>22</v>
      </c>
      <c r="Q513">
        <v>8</v>
      </c>
      <c r="R513" t="s">
        <v>30</v>
      </c>
      <c r="S513" t="s">
        <v>30</v>
      </c>
      <c r="T513">
        <v>0.01</v>
      </c>
      <c r="U513" t="s">
        <v>31</v>
      </c>
      <c r="V513">
        <v>0</v>
      </c>
    </row>
    <row r="514" spans="1:22" x14ac:dyDescent="0.25">
      <c r="A514" t="s">
        <v>610</v>
      </c>
      <c r="B514" t="s">
        <v>38</v>
      </c>
      <c r="C514" t="s">
        <v>39</v>
      </c>
      <c r="D514" t="s">
        <v>35</v>
      </c>
      <c r="E514" t="s">
        <v>68</v>
      </c>
      <c r="F514" t="s">
        <v>41</v>
      </c>
      <c r="G514" s="1">
        <v>45850</v>
      </c>
      <c r="H514" s="1">
        <v>45880</v>
      </c>
      <c r="I514">
        <v>30</v>
      </c>
      <c r="J514">
        <v>13007.86</v>
      </c>
      <c r="K514">
        <v>13007.86</v>
      </c>
      <c r="L514">
        <v>0</v>
      </c>
      <c r="M514" s="1">
        <v>45899</v>
      </c>
      <c r="N514" t="s">
        <v>28</v>
      </c>
      <c r="O514" t="s">
        <v>29</v>
      </c>
      <c r="P514">
        <v>49</v>
      </c>
      <c r="Q514">
        <v>-19</v>
      </c>
      <c r="R514" t="s">
        <v>31</v>
      </c>
      <c r="S514" t="s">
        <v>30</v>
      </c>
      <c r="T514">
        <v>0.01</v>
      </c>
      <c r="U514" t="s">
        <v>31</v>
      </c>
      <c r="V514">
        <v>0</v>
      </c>
    </row>
    <row r="515" spans="1:22" x14ac:dyDescent="0.25">
      <c r="A515" t="s">
        <v>611</v>
      </c>
      <c r="B515" t="s">
        <v>187</v>
      </c>
      <c r="C515" t="s">
        <v>188</v>
      </c>
      <c r="D515" t="s">
        <v>73</v>
      </c>
      <c r="E515" t="s">
        <v>63</v>
      </c>
      <c r="F515" t="s">
        <v>92</v>
      </c>
      <c r="G515" s="1">
        <v>45894</v>
      </c>
      <c r="H515" s="1">
        <v>45924</v>
      </c>
      <c r="I515">
        <v>30</v>
      </c>
      <c r="J515">
        <v>24683.47</v>
      </c>
      <c r="K515">
        <v>24683.47</v>
      </c>
      <c r="L515">
        <v>0</v>
      </c>
      <c r="M515" s="1">
        <v>45915</v>
      </c>
      <c r="N515" t="s">
        <v>28</v>
      </c>
      <c r="O515" t="s">
        <v>36</v>
      </c>
      <c r="P515">
        <v>21</v>
      </c>
      <c r="Q515">
        <v>9</v>
      </c>
      <c r="R515" t="s">
        <v>30</v>
      </c>
      <c r="S515" t="s">
        <v>30</v>
      </c>
      <c r="T515">
        <v>0.01</v>
      </c>
      <c r="U515" t="s">
        <v>31</v>
      </c>
      <c r="V515">
        <v>0</v>
      </c>
    </row>
    <row r="516" spans="1:22" x14ac:dyDescent="0.25">
      <c r="A516" t="s">
        <v>612</v>
      </c>
      <c r="B516" t="s">
        <v>187</v>
      </c>
      <c r="C516" t="s">
        <v>188</v>
      </c>
      <c r="D516" t="s">
        <v>73</v>
      </c>
      <c r="E516" t="s">
        <v>45</v>
      </c>
      <c r="F516" t="s">
        <v>92</v>
      </c>
      <c r="G516" s="1">
        <v>46161</v>
      </c>
      <c r="H516" s="1">
        <v>46221</v>
      </c>
      <c r="I516">
        <v>60</v>
      </c>
      <c r="J516">
        <v>17636.95</v>
      </c>
      <c r="K516">
        <v>17636.95</v>
      </c>
      <c r="L516">
        <v>0</v>
      </c>
      <c r="M516" s="1">
        <v>46173</v>
      </c>
      <c r="N516" t="s">
        <v>28</v>
      </c>
      <c r="O516" t="s">
        <v>36</v>
      </c>
      <c r="P516">
        <v>12</v>
      </c>
      <c r="Q516">
        <v>48</v>
      </c>
      <c r="R516" t="s">
        <v>30</v>
      </c>
      <c r="S516" t="s">
        <v>30</v>
      </c>
      <c r="T516">
        <v>0.01</v>
      </c>
      <c r="U516" t="s">
        <v>30</v>
      </c>
      <c r="V516">
        <v>176.37</v>
      </c>
    </row>
    <row r="517" spans="1:22" x14ac:dyDescent="0.25">
      <c r="A517" t="s">
        <v>613</v>
      </c>
      <c r="B517" t="s">
        <v>95</v>
      </c>
      <c r="C517" t="s">
        <v>96</v>
      </c>
      <c r="D517" t="s">
        <v>49</v>
      </c>
      <c r="E517" t="s">
        <v>68</v>
      </c>
      <c r="F517" t="s">
        <v>41</v>
      </c>
      <c r="G517" s="1">
        <v>45867</v>
      </c>
      <c r="H517" s="1">
        <v>45897</v>
      </c>
      <c r="I517">
        <v>30</v>
      </c>
      <c r="J517">
        <v>5174.54</v>
      </c>
      <c r="K517">
        <v>0</v>
      </c>
      <c r="L517">
        <v>5174.54</v>
      </c>
      <c r="N517" t="s">
        <v>59</v>
      </c>
      <c r="O517" t="s">
        <v>36</v>
      </c>
      <c r="Q517">
        <v>-276</v>
      </c>
      <c r="R517" t="s">
        <v>31</v>
      </c>
      <c r="S517" t="s">
        <v>31</v>
      </c>
      <c r="T517">
        <v>0</v>
      </c>
      <c r="U517" t="s">
        <v>31</v>
      </c>
      <c r="V517">
        <v>0</v>
      </c>
    </row>
    <row r="518" spans="1:22" x14ac:dyDescent="0.25">
      <c r="A518" t="s">
        <v>614</v>
      </c>
      <c r="B518" t="s">
        <v>187</v>
      </c>
      <c r="C518" t="s">
        <v>188</v>
      </c>
      <c r="D518" t="s">
        <v>73</v>
      </c>
      <c r="E518" t="s">
        <v>45</v>
      </c>
      <c r="F518" t="s">
        <v>92</v>
      </c>
      <c r="G518" s="1">
        <v>46095</v>
      </c>
      <c r="H518" s="1">
        <v>46125</v>
      </c>
      <c r="I518">
        <v>30</v>
      </c>
      <c r="J518">
        <v>15360.6</v>
      </c>
      <c r="K518">
        <v>0</v>
      </c>
      <c r="L518">
        <v>15360.6</v>
      </c>
      <c r="N518" t="s">
        <v>93</v>
      </c>
      <c r="O518" t="s">
        <v>69</v>
      </c>
      <c r="S518" t="s">
        <v>30</v>
      </c>
      <c r="T518">
        <v>0.01</v>
      </c>
      <c r="U518" t="s">
        <v>31</v>
      </c>
      <c r="V518">
        <v>0</v>
      </c>
    </row>
    <row r="519" spans="1:22" x14ac:dyDescent="0.25">
      <c r="A519" t="s">
        <v>615</v>
      </c>
      <c r="B519" t="s">
        <v>143</v>
      </c>
      <c r="C519" t="s">
        <v>144</v>
      </c>
      <c r="D519" t="s">
        <v>25</v>
      </c>
      <c r="E519" t="s">
        <v>45</v>
      </c>
      <c r="F519" t="s">
        <v>50</v>
      </c>
      <c r="G519" s="1">
        <v>46120</v>
      </c>
      <c r="H519" s="1">
        <v>46150</v>
      </c>
      <c r="I519">
        <v>30</v>
      </c>
      <c r="J519">
        <v>9681.11</v>
      </c>
      <c r="K519">
        <v>0</v>
      </c>
      <c r="L519">
        <v>9681.11</v>
      </c>
      <c r="N519" t="s">
        <v>93</v>
      </c>
      <c r="O519" t="s">
        <v>77</v>
      </c>
      <c r="S519" t="s">
        <v>31</v>
      </c>
      <c r="T519">
        <v>0</v>
      </c>
      <c r="U519" t="s">
        <v>31</v>
      </c>
      <c r="V519">
        <v>0</v>
      </c>
    </row>
    <row r="520" spans="1:22" x14ac:dyDescent="0.25">
      <c r="A520" t="s">
        <v>616</v>
      </c>
      <c r="B520" t="s">
        <v>79</v>
      </c>
      <c r="C520" t="s">
        <v>80</v>
      </c>
      <c r="D520" t="s">
        <v>49</v>
      </c>
      <c r="E520" t="s">
        <v>45</v>
      </c>
      <c r="F520" t="s">
        <v>27</v>
      </c>
      <c r="G520" s="1">
        <v>45852</v>
      </c>
      <c r="H520" s="1">
        <v>45867</v>
      </c>
      <c r="I520">
        <v>15</v>
      </c>
      <c r="J520">
        <v>15976.61</v>
      </c>
      <c r="K520">
        <v>15976.61</v>
      </c>
      <c r="L520">
        <v>0</v>
      </c>
      <c r="M520" s="1">
        <v>45871</v>
      </c>
      <c r="N520" t="s">
        <v>28</v>
      </c>
      <c r="O520" t="s">
        <v>69</v>
      </c>
      <c r="P520">
        <v>19</v>
      </c>
      <c r="Q520">
        <v>-4</v>
      </c>
      <c r="R520" t="s">
        <v>31</v>
      </c>
      <c r="S520" t="s">
        <v>30</v>
      </c>
      <c r="T520">
        <v>0.02</v>
      </c>
      <c r="U520" t="s">
        <v>31</v>
      </c>
      <c r="V520">
        <v>0</v>
      </c>
    </row>
    <row r="521" spans="1:22" x14ac:dyDescent="0.25">
      <c r="A521" t="s">
        <v>617</v>
      </c>
      <c r="B521" t="s">
        <v>38</v>
      </c>
      <c r="C521" t="s">
        <v>39</v>
      </c>
      <c r="D521" t="s">
        <v>35</v>
      </c>
      <c r="E521" t="s">
        <v>68</v>
      </c>
      <c r="F521" t="s">
        <v>50</v>
      </c>
      <c r="G521" s="1">
        <v>46132</v>
      </c>
      <c r="H521" s="1">
        <v>46162</v>
      </c>
      <c r="I521">
        <v>30</v>
      </c>
      <c r="J521">
        <v>67242.009999999995</v>
      </c>
      <c r="K521">
        <v>0</v>
      </c>
      <c r="L521">
        <v>67242.009999999995</v>
      </c>
      <c r="N521" t="s">
        <v>93</v>
      </c>
      <c r="O521" t="s">
        <v>77</v>
      </c>
      <c r="S521" t="s">
        <v>30</v>
      </c>
      <c r="T521">
        <v>0.01</v>
      </c>
      <c r="U521" t="s">
        <v>31</v>
      </c>
      <c r="V521">
        <v>0</v>
      </c>
    </row>
    <row r="522" spans="1:22" x14ac:dyDescent="0.25">
      <c r="A522" t="s">
        <v>618</v>
      </c>
      <c r="B522" t="s">
        <v>85</v>
      </c>
      <c r="C522" t="s">
        <v>86</v>
      </c>
      <c r="D522" t="s">
        <v>25</v>
      </c>
      <c r="E522" t="s">
        <v>63</v>
      </c>
      <c r="F522" t="s">
        <v>50</v>
      </c>
      <c r="G522" s="1">
        <v>46081</v>
      </c>
      <c r="H522" s="1">
        <v>46141</v>
      </c>
      <c r="I522">
        <v>60</v>
      </c>
      <c r="J522">
        <v>7145.76</v>
      </c>
      <c r="K522">
        <v>7145.76</v>
      </c>
      <c r="L522">
        <v>0</v>
      </c>
      <c r="M522" s="1">
        <v>46134</v>
      </c>
      <c r="N522" t="s">
        <v>28</v>
      </c>
      <c r="O522" t="s">
        <v>36</v>
      </c>
      <c r="P522">
        <v>53</v>
      </c>
      <c r="Q522">
        <v>7</v>
      </c>
      <c r="R522" t="s">
        <v>30</v>
      </c>
      <c r="S522" t="s">
        <v>30</v>
      </c>
      <c r="T522">
        <v>0.01</v>
      </c>
      <c r="U522" t="s">
        <v>31</v>
      </c>
      <c r="V522">
        <v>0</v>
      </c>
    </row>
    <row r="523" spans="1:22" x14ac:dyDescent="0.25">
      <c r="A523" t="s">
        <v>619</v>
      </c>
      <c r="B523" t="s">
        <v>153</v>
      </c>
      <c r="C523" t="s">
        <v>154</v>
      </c>
      <c r="D523" t="s">
        <v>58</v>
      </c>
      <c r="E523" t="s">
        <v>45</v>
      </c>
      <c r="F523" t="s">
        <v>27</v>
      </c>
      <c r="G523" s="1">
        <v>45825</v>
      </c>
      <c r="H523" s="1">
        <v>45885</v>
      </c>
      <c r="I523">
        <v>60</v>
      </c>
      <c r="J523">
        <v>29579.86</v>
      </c>
      <c r="K523">
        <v>29579.86</v>
      </c>
      <c r="L523">
        <v>0</v>
      </c>
      <c r="M523" s="1">
        <v>45878</v>
      </c>
      <c r="N523" t="s">
        <v>28</v>
      </c>
      <c r="O523" t="s">
        <v>29</v>
      </c>
      <c r="P523">
        <v>53</v>
      </c>
      <c r="Q523">
        <v>7</v>
      </c>
      <c r="R523" t="s">
        <v>30</v>
      </c>
      <c r="S523" t="s">
        <v>30</v>
      </c>
      <c r="T523">
        <v>0.01</v>
      </c>
      <c r="U523" t="s">
        <v>31</v>
      </c>
      <c r="V523">
        <v>0</v>
      </c>
    </row>
    <row r="524" spans="1:22" x14ac:dyDescent="0.25">
      <c r="A524" t="s">
        <v>620</v>
      </c>
      <c r="B524" t="s">
        <v>82</v>
      </c>
      <c r="C524" t="s">
        <v>83</v>
      </c>
      <c r="D524" t="s">
        <v>58</v>
      </c>
      <c r="E524" t="s">
        <v>45</v>
      </c>
      <c r="F524" t="s">
        <v>50</v>
      </c>
      <c r="G524" s="1">
        <v>46047</v>
      </c>
      <c r="H524" s="1">
        <v>46107</v>
      </c>
      <c r="I524">
        <v>60</v>
      </c>
      <c r="J524">
        <v>4624.53</v>
      </c>
      <c r="K524">
        <v>4624.53</v>
      </c>
      <c r="L524">
        <v>0</v>
      </c>
      <c r="M524" s="1">
        <v>46109</v>
      </c>
      <c r="N524" t="s">
        <v>28</v>
      </c>
      <c r="O524" t="s">
        <v>36</v>
      </c>
      <c r="P524">
        <v>62</v>
      </c>
      <c r="Q524">
        <v>-2</v>
      </c>
      <c r="R524" t="s">
        <v>31</v>
      </c>
      <c r="S524" t="s">
        <v>30</v>
      </c>
      <c r="T524">
        <v>0.01</v>
      </c>
      <c r="U524" t="s">
        <v>31</v>
      </c>
      <c r="V524">
        <v>0</v>
      </c>
    </row>
    <row r="525" spans="1:22" x14ac:dyDescent="0.25">
      <c r="A525" t="s">
        <v>621</v>
      </c>
      <c r="B525" t="s">
        <v>56</v>
      </c>
      <c r="C525" t="s">
        <v>57</v>
      </c>
      <c r="D525" t="s">
        <v>58</v>
      </c>
      <c r="E525" t="s">
        <v>40</v>
      </c>
      <c r="F525" t="s">
        <v>64</v>
      </c>
      <c r="G525" s="1">
        <v>45710</v>
      </c>
      <c r="H525" s="1">
        <v>45740</v>
      </c>
      <c r="I525">
        <v>30</v>
      </c>
      <c r="J525">
        <v>18524.52</v>
      </c>
      <c r="K525">
        <v>18524.52</v>
      </c>
      <c r="L525">
        <v>0</v>
      </c>
      <c r="M525" s="1">
        <v>45730</v>
      </c>
      <c r="N525" t="s">
        <v>28</v>
      </c>
      <c r="O525" t="s">
        <v>36</v>
      </c>
      <c r="P525">
        <v>20</v>
      </c>
      <c r="Q525">
        <v>10</v>
      </c>
      <c r="R525" t="s">
        <v>30</v>
      </c>
      <c r="S525" t="s">
        <v>30</v>
      </c>
      <c r="T525">
        <v>0.01</v>
      </c>
      <c r="U525" t="s">
        <v>31</v>
      </c>
      <c r="V525">
        <v>0</v>
      </c>
    </row>
    <row r="526" spans="1:22" x14ac:dyDescent="0.25">
      <c r="A526" t="s">
        <v>622</v>
      </c>
      <c r="B526" t="s">
        <v>109</v>
      </c>
      <c r="C526" t="s">
        <v>110</v>
      </c>
      <c r="D526" t="s">
        <v>49</v>
      </c>
      <c r="E526" t="s">
        <v>40</v>
      </c>
      <c r="F526" t="s">
        <v>64</v>
      </c>
      <c r="G526" s="1">
        <v>45670</v>
      </c>
      <c r="H526" s="1">
        <v>45715</v>
      </c>
      <c r="I526">
        <v>45</v>
      </c>
      <c r="J526">
        <v>24014.85</v>
      </c>
      <c r="K526">
        <v>24014.85</v>
      </c>
      <c r="L526">
        <v>0</v>
      </c>
      <c r="M526" s="1">
        <v>45718</v>
      </c>
      <c r="N526" t="s">
        <v>28</v>
      </c>
      <c r="O526" t="s">
        <v>77</v>
      </c>
      <c r="P526">
        <v>48</v>
      </c>
      <c r="Q526">
        <v>-3</v>
      </c>
      <c r="R526" t="s">
        <v>31</v>
      </c>
      <c r="S526" t="s">
        <v>31</v>
      </c>
      <c r="T526">
        <v>0</v>
      </c>
      <c r="U526" t="s">
        <v>31</v>
      </c>
      <c r="V526">
        <v>0</v>
      </c>
    </row>
    <row r="527" spans="1:22" x14ac:dyDescent="0.25">
      <c r="A527" t="s">
        <v>623</v>
      </c>
      <c r="B527" t="s">
        <v>95</v>
      </c>
      <c r="C527" t="s">
        <v>96</v>
      </c>
      <c r="D527" t="s">
        <v>49</v>
      </c>
      <c r="E527" t="s">
        <v>63</v>
      </c>
      <c r="F527" t="s">
        <v>41</v>
      </c>
      <c r="G527" s="1">
        <v>46145</v>
      </c>
      <c r="H527" s="1">
        <v>46175</v>
      </c>
      <c r="I527">
        <v>30</v>
      </c>
      <c r="J527">
        <v>23779.45</v>
      </c>
      <c r="K527">
        <v>0</v>
      </c>
      <c r="L527">
        <v>23779.45</v>
      </c>
      <c r="N527" t="s">
        <v>93</v>
      </c>
      <c r="O527" t="s">
        <v>36</v>
      </c>
      <c r="S527" t="s">
        <v>30</v>
      </c>
      <c r="T527">
        <v>0.01</v>
      </c>
      <c r="U527" t="s">
        <v>31</v>
      </c>
      <c r="V527">
        <v>0</v>
      </c>
    </row>
    <row r="528" spans="1:22" x14ac:dyDescent="0.25">
      <c r="A528" t="s">
        <v>624</v>
      </c>
      <c r="B528" t="s">
        <v>79</v>
      </c>
      <c r="C528" t="s">
        <v>80</v>
      </c>
      <c r="D528" t="s">
        <v>49</v>
      </c>
      <c r="E528" t="s">
        <v>68</v>
      </c>
      <c r="F528" t="s">
        <v>50</v>
      </c>
      <c r="G528" s="1">
        <v>45847</v>
      </c>
      <c r="H528" s="1">
        <v>45862</v>
      </c>
      <c r="I528">
        <v>15</v>
      </c>
      <c r="J528">
        <v>9116.2999999999993</v>
      </c>
      <c r="K528">
        <v>9116.2999999999993</v>
      </c>
      <c r="L528">
        <v>0</v>
      </c>
      <c r="M528" s="1">
        <v>45869</v>
      </c>
      <c r="N528" t="s">
        <v>28</v>
      </c>
      <c r="O528" t="s">
        <v>36</v>
      </c>
      <c r="P528">
        <v>22</v>
      </c>
      <c r="Q528">
        <v>-7</v>
      </c>
      <c r="R528" t="s">
        <v>31</v>
      </c>
      <c r="S528" t="s">
        <v>30</v>
      </c>
      <c r="T528">
        <v>0.02</v>
      </c>
      <c r="U528" t="s">
        <v>31</v>
      </c>
      <c r="V528">
        <v>0</v>
      </c>
    </row>
    <row r="529" spans="1:22" x14ac:dyDescent="0.25">
      <c r="A529" t="s">
        <v>625</v>
      </c>
      <c r="B529" t="s">
        <v>187</v>
      </c>
      <c r="C529" t="s">
        <v>188</v>
      </c>
      <c r="D529" t="s">
        <v>73</v>
      </c>
      <c r="E529" t="s">
        <v>68</v>
      </c>
      <c r="F529" t="s">
        <v>92</v>
      </c>
      <c r="G529" s="1">
        <v>45769</v>
      </c>
      <c r="H529" s="1">
        <v>45784</v>
      </c>
      <c r="I529">
        <v>15</v>
      </c>
      <c r="J529">
        <v>15759.58</v>
      </c>
      <c r="K529">
        <v>15759.58</v>
      </c>
      <c r="L529">
        <v>0</v>
      </c>
      <c r="M529" s="1">
        <v>45775</v>
      </c>
      <c r="N529" t="s">
        <v>28</v>
      </c>
      <c r="O529" t="s">
        <v>77</v>
      </c>
      <c r="P529">
        <v>6</v>
      </c>
      <c r="Q529">
        <v>9</v>
      </c>
      <c r="R529" t="s">
        <v>30</v>
      </c>
      <c r="S529" t="s">
        <v>30</v>
      </c>
      <c r="T529">
        <v>0.02</v>
      </c>
      <c r="U529" t="s">
        <v>31</v>
      </c>
      <c r="V529">
        <v>0</v>
      </c>
    </row>
    <row r="530" spans="1:22" x14ac:dyDescent="0.25">
      <c r="A530" t="s">
        <v>626</v>
      </c>
      <c r="B530" t="s">
        <v>187</v>
      </c>
      <c r="C530" t="s">
        <v>188</v>
      </c>
      <c r="D530" t="s">
        <v>73</v>
      </c>
      <c r="E530" t="s">
        <v>63</v>
      </c>
      <c r="F530" t="s">
        <v>50</v>
      </c>
      <c r="G530" s="1">
        <v>46026</v>
      </c>
      <c r="H530" s="1">
        <v>46116</v>
      </c>
      <c r="I530">
        <v>90</v>
      </c>
      <c r="J530">
        <v>32738.83</v>
      </c>
      <c r="K530">
        <v>0</v>
      </c>
      <c r="L530">
        <v>32738.83</v>
      </c>
      <c r="N530" t="s">
        <v>93</v>
      </c>
      <c r="O530" t="s">
        <v>36</v>
      </c>
      <c r="S530" t="s">
        <v>30</v>
      </c>
      <c r="T530">
        <v>5.0000000000000001E-3</v>
      </c>
      <c r="U530" t="s">
        <v>31</v>
      </c>
      <c r="V530">
        <v>0</v>
      </c>
    </row>
    <row r="531" spans="1:22" x14ac:dyDescent="0.25">
      <c r="A531" t="s">
        <v>627</v>
      </c>
      <c r="B531" t="s">
        <v>47</v>
      </c>
      <c r="C531" t="s">
        <v>48</v>
      </c>
      <c r="D531" t="s">
        <v>49</v>
      </c>
      <c r="E531" t="s">
        <v>26</v>
      </c>
      <c r="F531" t="s">
        <v>41</v>
      </c>
      <c r="G531" s="1">
        <v>46140</v>
      </c>
      <c r="H531" s="1">
        <v>46185</v>
      </c>
      <c r="I531">
        <v>45</v>
      </c>
      <c r="J531">
        <v>8458.2000000000007</v>
      </c>
      <c r="K531">
        <v>8458.2000000000007</v>
      </c>
      <c r="L531">
        <v>0</v>
      </c>
      <c r="M531" s="1">
        <v>46173</v>
      </c>
      <c r="N531" t="s">
        <v>28</v>
      </c>
      <c r="O531" t="s">
        <v>77</v>
      </c>
      <c r="P531">
        <v>33</v>
      </c>
      <c r="Q531">
        <v>12</v>
      </c>
      <c r="R531" t="s">
        <v>30</v>
      </c>
      <c r="S531" t="s">
        <v>30</v>
      </c>
      <c r="T531">
        <v>1.4999999999999999E-2</v>
      </c>
      <c r="U531" t="s">
        <v>31</v>
      </c>
      <c r="V531">
        <v>0</v>
      </c>
    </row>
    <row r="532" spans="1:22" x14ac:dyDescent="0.25">
      <c r="A532" t="s">
        <v>628</v>
      </c>
      <c r="B532" t="s">
        <v>187</v>
      </c>
      <c r="C532" t="s">
        <v>188</v>
      </c>
      <c r="D532" t="s">
        <v>73</v>
      </c>
      <c r="E532" t="s">
        <v>26</v>
      </c>
      <c r="F532" t="s">
        <v>27</v>
      </c>
      <c r="G532" s="1">
        <v>45952</v>
      </c>
      <c r="H532" s="1">
        <v>46042</v>
      </c>
      <c r="I532">
        <v>90</v>
      </c>
      <c r="J532">
        <v>16092.77</v>
      </c>
      <c r="K532">
        <v>16092.77</v>
      </c>
      <c r="L532">
        <v>0</v>
      </c>
      <c r="M532" s="1">
        <v>46041</v>
      </c>
      <c r="N532" t="s">
        <v>28</v>
      </c>
      <c r="O532" t="s">
        <v>77</v>
      </c>
      <c r="P532">
        <v>89</v>
      </c>
      <c r="Q532">
        <v>1</v>
      </c>
      <c r="R532" t="s">
        <v>30</v>
      </c>
      <c r="S532" t="s">
        <v>31</v>
      </c>
      <c r="T532">
        <v>0</v>
      </c>
      <c r="U532" t="s">
        <v>31</v>
      </c>
      <c r="V532">
        <v>0</v>
      </c>
    </row>
    <row r="533" spans="1:22" x14ac:dyDescent="0.25">
      <c r="A533" t="s">
        <v>629</v>
      </c>
      <c r="B533" t="s">
        <v>66</v>
      </c>
      <c r="C533" t="s">
        <v>67</v>
      </c>
      <c r="D533" t="s">
        <v>35</v>
      </c>
      <c r="E533" t="s">
        <v>63</v>
      </c>
      <c r="F533" t="s">
        <v>92</v>
      </c>
      <c r="G533" s="1">
        <v>46167</v>
      </c>
      <c r="H533" s="1">
        <v>46257</v>
      </c>
      <c r="I533">
        <v>90</v>
      </c>
      <c r="J533">
        <v>41937.83</v>
      </c>
      <c r="K533">
        <v>41937.83</v>
      </c>
      <c r="L533">
        <v>0</v>
      </c>
      <c r="M533" s="1">
        <v>46173</v>
      </c>
      <c r="N533" t="s">
        <v>28</v>
      </c>
      <c r="O533" t="s">
        <v>36</v>
      </c>
      <c r="P533">
        <v>6</v>
      </c>
      <c r="Q533">
        <v>84</v>
      </c>
      <c r="R533" t="s">
        <v>30</v>
      </c>
      <c r="S533" t="s">
        <v>30</v>
      </c>
      <c r="T533">
        <v>5.0000000000000001E-3</v>
      </c>
      <c r="U533" t="s">
        <v>30</v>
      </c>
      <c r="V533">
        <v>209.69</v>
      </c>
    </row>
    <row r="534" spans="1:22" x14ac:dyDescent="0.25">
      <c r="A534" t="s">
        <v>630</v>
      </c>
      <c r="B534" t="s">
        <v>95</v>
      </c>
      <c r="C534" t="s">
        <v>96</v>
      </c>
      <c r="D534" t="s">
        <v>49</v>
      </c>
      <c r="E534" t="s">
        <v>45</v>
      </c>
      <c r="F534" t="s">
        <v>27</v>
      </c>
      <c r="G534" s="1">
        <v>46081</v>
      </c>
      <c r="H534" s="1">
        <v>46141</v>
      </c>
      <c r="I534">
        <v>60</v>
      </c>
      <c r="J534">
        <v>4183.63</v>
      </c>
      <c r="K534">
        <v>0</v>
      </c>
      <c r="L534">
        <v>4183.63</v>
      </c>
      <c r="N534" t="s">
        <v>93</v>
      </c>
      <c r="O534" t="s">
        <v>36</v>
      </c>
      <c r="S534" t="s">
        <v>30</v>
      </c>
      <c r="T534">
        <v>0.01</v>
      </c>
      <c r="U534" t="s">
        <v>31</v>
      </c>
      <c r="V534">
        <v>0</v>
      </c>
    </row>
    <row r="535" spans="1:22" x14ac:dyDescent="0.25">
      <c r="A535" t="s">
        <v>631</v>
      </c>
      <c r="B535" t="s">
        <v>23</v>
      </c>
      <c r="C535" t="s">
        <v>24</v>
      </c>
      <c r="D535" t="s">
        <v>25</v>
      </c>
      <c r="E535" t="s">
        <v>40</v>
      </c>
      <c r="F535" t="s">
        <v>92</v>
      </c>
      <c r="G535" s="1">
        <v>45973</v>
      </c>
      <c r="H535" s="1">
        <v>46003</v>
      </c>
      <c r="I535">
        <v>30</v>
      </c>
      <c r="J535">
        <v>6705.4</v>
      </c>
      <c r="K535">
        <v>6705.4</v>
      </c>
      <c r="L535">
        <v>0</v>
      </c>
      <c r="M535" s="1">
        <v>46003</v>
      </c>
      <c r="N535" t="s">
        <v>28</v>
      </c>
      <c r="O535" t="s">
        <v>29</v>
      </c>
      <c r="P535">
        <v>30</v>
      </c>
      <c r="Q535">
        <v>0</v>
      </c>
      <c r="R535" t="s">
        <v>30</v>
      </c>
      <c r="S535" t="s">
        <v>30</v>
      </c>
      <c r="T535">
        <v>0.01</v>
      </c>
      <c r="U535" t="s">
        <v>31</v>
      </c>
      <c r="V535">
        <v>0</v>
      </c>
    </row>
    <row r="536" spans="1:22" x14ac:dyDescent="0.25">
      <c r="A536" t="s">
        <v>632</v>
      </c>
      <c r="B536" t="s">
        <v>109</v>
      </c>
      <c r="C536" t="s">
        <v>110</v>
      </c>
      <c r="D536" t="s">
        <v>49</v>
      </c>
      <c r="E536" t="s">
        <v>68</v>
      </c>
      <c r="F536" t="s">
        <v>92</v>
      </c>
      <c r="G536" s="1">
        <v>45837</v>
      </c>
      <c r="H536" s="1">
        <v>45852</v>
      </c>
      <c r="I536">
        <v>15</v>
      </c>
      <c r="J536">
        <v>11312.75</v>
      </c>
      <c r="K536">
        <v>0</v>
      </c>
      <c r="L536">
        <v>11312.75</v>
      </c>
      <c r="N536" t="s">
        <v>59</v>
      </c>
      <c r="O536" t="s">
        <v>69</v>
      </c>
      <c r="Q536">
        <v>-321</v>
      </c>
      <c r="R536" t="s">
        <v>31</v>
      </c>
      <c r="S536" t="s">
        <v>31</v>
      </c>
      <c r="T536">
        <v>0</v>
      </c>
      <c r="U536" t="s">
        <v>31</v>
      </c>
      <c r="V536">
        <v>0</v>
      </c>
    </row>
    <row r="537" spans="1:22" x14ac:dyDescent="0.25">
      <c r="A537" t="s">
        <v>633</v>
      </c>
      <c r="B537" t="s">
        <v>100</v>
      </c>
      <c r="C537" t="s">
        <v>101</v>
      </c>
      <c r="D537" t="s">
        <v>54</v>
      </c>
      <c r="E537" t="s">
        <v>45</v>
      </c>
      <c r="F537" t="s">
        <v>27</v>
      </c>
      <c r="G537" s="1">
        <v>45817</v>
      </c>
      <c r="H537" s="1">
        <v>45907</v>
      </c>
      <c r="I537">
        <v>90</v>
      </c>
      <c r="J537">
        <v>9594.41</v>
      </c>
      <c r="K537">
        <v>9594.41</v>
      </c>
      <c r="L537">
        <v>0</v>
      </c>
      <c r="M537" s="1">
        <v>45900</v>
      </c>
      <c r="N537" t="s">
        <v>28</v>
      </c>
      <c r="O537" t="s">
        <v>36</v>
      </c>
      <c r="P537">
        <v>83</v>
      </c>
      <c r="Q537">
        <v>7</v>
      </c>
      <c r="R537" t="s">
        <v>30</v>
      </c>
      <c r="S537" t="s">
        <v>31</v>
      </c>
      <c r="T537">
        <v>0</v>
      </c>
      <c r="U537" t="s">
        <v>31</v>
      </c>
      <c r="V537">
        <v>0</v>
      </c>
    </row>
    <row r="538" spans="1:22" x14ac:dyDescent="0.25">
      <c r="A538" t="s">
        <v>634</v>
      </c>
      <c r="B538" t="s">
        <v>38</v>
      </c>
      <c r="C538" t="s">
        <v>39</v>
      </c>
      <c r="D538" t="s">
        <v>35</v>
      </c>
      <c r="E538" t="s">
        <v>26</v>
      </c>
      <c r="F538" t="s">
        <v>50</v>
      </c>
      <c r="G538" s="1">
        <v>45677</v>
      </c>
      <c r="H538" s="1">
        <v>45737</v>
      </c>
      <c r="I538">
        <v>60</v>
      </c>
      <c r="J538">
        <v>20619.689999999999</v>
      </c>
      <c r="K538">
        <v>15341.35</v>
      </c>
      <c r="L538">
        <v>5278.34</v>
      </c>
      <c r="M538" s="1">
        <v>45743</v>
      </c>
      <c r="N538" t="s">
        <v>98</v>
      </c>
      <c r="O538" t="s">
        <v>29</v>
      </c>
      <c r="P538">
        <v>66</v>
      </c>
      <c r="Q538">
        <v>-6</v>
      </c>
      <c r="R538" t="s">
        <v>31</v>
      </c>
      <c r="S538" t="s">
        <v>30</v>
      </c>
      <c r="T538">
        <v>0.01</v>
      </c>
      <c r="U538" t="s">
        <v>31</v>
      </c>
      <c r="V538">
        <v>0</v>
      </c>
    </row>
    <row r="539" spans="1:22" x14ac:dyDescent="0.25">
      <c r="A539" t="s">
        <v>635</v>
      </c>
      <c r="B539" t="s">
        <v>43</v>
      </c>
      <c r="C539" t="s">
        <v>44</v>
      </c>
      <c r="D539" t="s">
        <v>25</v>
      </c>
      <c r="E539" t="s">
        <v>40</v>
      </c>
      <c r="F539" t="s">
        <v>92</v>
      </c>
      <c r="G539" s="1">
        <v>46042</v>
      </c>
      <c r="H539" s="1">
        <v>46102</v>
      </c>
      <c r="I539">
        <v>60</v>
      </c>
      <c r="J539">
        <v>12903.71</v>
      </c>
      <c r="K539">
        <v>12903.71</v>
      </c>
      <c r="L539">
        <v>0</v>
      </c>
      <c r="M539" s="1">
        <v>46114</v>
      </c>
      <c r="N539" t="s">
        <v>28</v>
      </c>
      <c r="O539" t="s">
        <v>77</v>
      </c>
      <c r="P539">
        <v>72</v>
      </c>
      <c r="Q539">
        <v>-12</v>
      </c>
      <c r="R539" t="s">
        <v>31</v>
      </c>
      <c r="S539" t="s">
        <v>31</v>
      </c>
      <c r="T539">
        <v>0</v>
      </c>
      <c r="U539" t="s">
        <v>31</v>
      </c>
      <c r="V539">
        <v>0</v>
      </c>
    </row>
    <row r="540" spans="1:22" x14ac:dyDescent="0.25">
      <c r="A540" t="s">
        <v>636</v>
      </c>
      <c r="B540" t="s">
        <v>47</v>
      </c>
      <c r="C540" t="s">
        <v>48</v>
      </c>
      <c r="D540" t="s">
        <v>49</v>
      </c>
      <c r="E540" t="s">
        <v>40</v>
      </c>
      <c r="F540" t="s">
        <v>50</v>
      </c>
      <c r="G540" s="1">
        <v>45980</v>
      </c>
      <c r="H540" s="1">
        <v>46025</v>
      </c>
      <c r="I540">
        <v>45</v>
      </c>
      <c r="J540">
        <v>36072.32</v>
      </c>
      <c r="K540">
        <v>36072.32</v>
      </c>
      <c r="L540">
        <v>0</v>
      </c>
      <c r="M540" s="1">
        <v>46030</v>
      </c>
      <c r="N540" t="s">
        <v>28</v>
      </c>
      <c r="O540" t="s">
        <v>77</v>
      </c>
      <c r="P540">
        <v>50</v>
      </c>
      <c r="Q540">
        <v>-5</v>
      </c>
      <c r="R540" t="s">
        <v>31</v>
      </c>
      <c r="S540" t="s">
        <v>30</v>
      </c>
      <c r="T540">
        <v>1.4999999999999999E-2</v>
      </c>
      <c r="U540" t="s">
        <v>31</v>
      </c>
      <c r="V540">
        <v>0</v>
      </c>
    </row>
    <row r="541" spans="1:22" x14ac:dyDescent="0.25">
      <c r="A541" t="s">
        <v>637</v>
      </c>
      <c r="B541" t="s">
        <v>88</v>
      </c>
      <c r="C541" t="s">
        <v>89</v>
      </c>
      <c r="D541" t="s">
        <v>35</v>
      </c>
      <c r="E541" t="s">
        <v>40</v>
      </c>
      <c r="F541" t="s">
        <v>50</v>
      </c>
      <c r="G541" s="1">
        <v>45772</v>
      </c>
      <c r="H541" s="1">
        <v>45802</v>
      </c>
      <c r="I541">
        <v>30</v>
      </c>
      <c r="J541">
        <v>33066.18</v>
      </c>
      <c r="K541">
        <v>33066.18</v>
      </c>
      <c r="L541">
        <v>0</v>
      </c>
      <c r="M541" s="1">
        <v>45797</v>
      </c>
      <c r="N541" t="s">
        <v>28</v>
      </c>
      <c r="O541" t="s">
        <v>29</v>
      </c>
      <c r="P541">
        <v>25</v>
      </c>
      <c r="Q541">
        <v>5</v>
      </c>
      <c r="R541" t="s">
        <v>30</v>
      </c>
      <c r="S541" t="s">
        <v>30</v>
      </c>
      <c r="T541">
        <v>0.01</v>
      </c>
      <c r="U541" t="s">
        <v>31</v>
      </c>
      <c r="V541">
        <v>0</v>
      </c>
    </row>
    <row r="542" spans="1:22" x14ac:dyDescent="0.25">
      <c r="A542" t="s">
        <v>638</v>
      </c>
      <c r="B542" t="s">
        <v>43</v>
      </c>
      <c r="C542" t="s">
        <v>44</v>
      </c>
      <c r="D542" t="s">
        <v>25</v>
      </c>
      <c r="E542" t="s">
        <v>45</v>
      </c>
      <c r="F542" t="s">
        <v>50</v>
      </c>
      <c r="G542" s="1">
        <v>46170</v>
      </c>
      <c r="H542" s="1">
        <v>46260</v>
      </c>
      <c r="I542">
        <v>90</v>
      </c>
      <c r="J542">
        <v>3927.48</v>
      </c>
      <c r="K542">
        <v>3927.48</v>
      </c>
      <c r="L542">
        <v>0</v>
      </c>
      <c r="M542" s="1">
        <v>46173</v>
      </c>
      <c r="N542" t="s">
        <v>28</v>
      </c>
      <c r="O542" t="s">
        <v>77</v>
      </c>
      <c r="P542">
        <v>3</v>
      </c>
      <c r="Q542">
        <v>87</v>
      </c>
      <c r="R542" t="s">
        <v>30</v>
      </c>
      <c r="S542" t="s">
        <v>30</v>
      </c>
      <c r="T542">
        <v>5.0000000000000001E-3</v>
      </c>
      <c r="U542" t="s">
        <v>30</v>
      </c>
      <c r="V542">
        <v>19.64</v>
      </c>
    </row>
    <row r="543" spans="1:22" x14ac:dyDescent="0.25">
      <c r="A543" t="s">
        <v>639</v>
      </c>
      <c r="B543" t="s">
        <v>85</v>
      </c>
      <c r="C543" t="s">
        <v>86</v>
      </c>
      <c r="D543" t="s">
        <v>25</v>
      </c>
      <c r="E543" t="s">
        <v>26</v>
      </c>
      <c r="F543" t="s">
        <v>50</v>
      </c>
      <c r="G543" s="1">
        <v>45695</v>
      </c>
      <c r="H543" s="1">
        <v>45725</v>
      </c>
      <c r="I543">
        <v>30</v>
      </c>
      <c r="J543">
        <v>9728</v>
      </c>
      <c r="K543">
        <v>9728</v>
      </c>
      <c r="L543">
        <v>0</v>
      </c>
      <c r="M543" s="1">
        <v>45731</v>
      </c>
      <c r="N543" t="s">
        <v>28</v>
      </c>
      <c r="O543" t="s">
        <v>36</v>
      </c>
      <c r="P543">
        <v>36</v>
      </c>
      <c r="Q543">
        <v>-6</v>
      </c>
      <c r="R543" t="s">
        <v>31</v>
      </c>
      <c r="S543" t="s">
        <v>31</v>
      </c>
      <c r="T543">
        <v>0</v>
      </c>
      <c r="U543" t="s">
        <v>31</v>
      </c>
      <c r="V543">
        <v>0</v>
      </c>
    </row>
    <row r="544" spans="1:22" x14ac:dyDescent="0.25">
      <c r="A544" t="s">
        <v>640</v>
      </c>
      <c r="B544" t="s">
        <v>95</v>
      </c>
      <c r="C544" t="s">
        <v>96</v>
      </c>
      <c r="D544" t="s">
        <v>49</v>
      </c>
      <c r="E544" t="s">
        <v>68</v>
      </c>
      <c r="F544" t="s">
        <v>27</v>
      </c>
      <c r="G544" s="1">
        <v>46136</v>
      </c>
      <c r="H544" s="1">
        <v>46196</v>
      </c>
      <c r="I544">
        <v>60</v>
      </c>
      <c r="J544">
        <v>44680.92</v>
      </c>
      <c r="K544">
        <v>44680.92</v>
      </c>
      <c r="L544">
        <v>0</v>
      </c>
      <c r="M544" s="1">
        <v>46173</v>
      </c>
      <c r="N544" t="s">
        <v>28</v>
      </c>
      <c r="O544" t="s">
        <v>77</v>
      </c>
      <c r="P544">
        <v>37</v>
      </c>
      <c r="Q544">
        <v>23</v>
      </c>
      <c r="R544" t="s">
        <v>30</v>
      </c>
      <c r="S544" t="s">
        <v>30</v>
      </c>
      <c r="T544">
        <v>0.01</v>
      </c>
      <c r="U544" t="s">
        <v>31</v>
      </c>
      <c r="V544">
        <v>0</v>
      </c>
    </row>
    <row r="545" spans="1:22" x14ac:dyDescent="0.25">
      <c r="A545" t="s">
        <v>641</v>
      </c>
      <c r="B545" t="s">
        <v>23</v>
      </c>
      <c r="C545" t="s">
        <v>24</v>
      </c>
      <c r="D545" t="s">
        <v>25</v>
      </c>
      <c r="E545" t="s">
        <v>40</v>
      </c>
      <c r="F545" t="s">
        <v>92</v>
      </c>
      <c r="G545" s="1">
        <v>45951</v>
      </c>
      <c r="H545" s="1">
        <v>45981</v>
      </c>
      <c r="I545">
        <v>30</v>
      </c>
      <c r="J545">
        <v>6256.34</v>
      </c>
      <c r="K545">
        <v>6256.34</v>
      </c>
      <c r="L545">
        <v>0</v>
      </c>
      <c r="M545" s="1">
        <v>45982</v>
      </c>
      <c r="N545" t="s">
        <v>28</v>
      </c>
      <c r="O545" t="s">
        <v>36</v>
      </c>
      <c r="P545">
        <v>31</v>
      </c>
      <c r="Q545">
        <v>-1</v>
      </c>
      <c r="R545" t="s">
        <v>31</v>
      </c>
      <c r="S545" t="s">
        <v>30</v>
      </c>
      <c r="T545">
        <v>0.01</v>
      </c>
      <c r="U545" t="s">
        <v>31</v>
      </c>
      <c r="V545">
        <v>0</v>
      </c>
    </row>
    <row r="546" spans="1:22" x14ac:dyDescent="0.25">
      <c r="A546" t="s">
        <v>642</v>
      </c>
      <c r="B546" t="s">
        <v>109</v>
      </c>
      <c r="C546" t="s">
        <v>110</v>
      </c>
      <c r="D546" t="s">
        <v>49</v>
      </c>
      <c r="E546" t="s">
        <v>68</v>
      </c>
      <c r="F546" t="s">
        <v>64</v>
      </c>
      <c r="G546" s="1">
        <v>45775</v>
      </c>
      <c r="H546" s="1">
        <v>45820</v>
      </c>
      <c r="I546">
        <v>45</v>
      </c>
      <c r="J546">
        <v>2732.32</v>
      </c>
      <c r="K546">
        <v>2732.32</v>
      </c>
      <c r="L546">
        <v>0</v>
      </c>
      <c r="M546" s="1">
        <v>45822</v>
      </c>
      <c r="N546" t="s">
        <v>28</v>
      </c>
      <c r="O546" t="s">
        <v>36</v>
      </c>
      <c r="P546">
        <v>47</v>
      </c>
      <c r="Q546">
        <v>-2</v>
      </c>
      <c r="R546" t="s">
        <v>31</v>
      </c>
      <c r="S546" t="s">
        <v>30</v>
      </c>
      <c r="T546">
        <v>1.4999999999999999E-2</v>
      </c>
      <c r="U546" t="s">
        <v>31</v>
      </c>
      <c r="V546">
        <v>0</v>
      </c>
    </row>
    <row r="547" spans="1:22" x14ac:dyDescent="0.25">
      <c r="A547" t="s">
        <v>643</v>
      </c>
      <c r="B547" t="s">
        <v>143</v>
      </c>
      <c r="C547" t="s">
        <v>144</v>
      </c>
      <c r="D547" t="s">
        <v>25</v>
      </c>
      <c r="E547" t="s">
        <v>68</v>
      </c>
      <c r="F547" t="s">
        <v>64</v>
      </c>
      <c r="G547" s="1">
        <v>45833</v>
      </c>
      <c r="H547" s="1">
        <v>45863</v>
      </c>
      <c r="I547">
        <v>30</v>
      </c>
      <c r="J547">
        <v>2353.61</v>
      </c>
      <c r="K547">
        <v>2353.61</v>
      </c>
      <c r="L547">
        <v>0</v>
      </c>
      <c r="M547" s="1">
        <v>45870</v>
      </c>
      <c r="N547" t="s">
        <v>28</v>
      </c>
      <c r="O547" t="s">
        <v>29</v>
      </c>
      <c r="P547">
        <v>37</v>
      </c>
      <c r="Q547">
        <v>-7</v>
      </c>
      <c r="R547" t="s">
        <v>31</v>
      </c>
      <c r="S547" t="s">
        <v>30</v>
      </c>
      <c r="T547">
        <v>0.01</v>
      </c>
      <c r="U547" t="s">
        <v>31</v>
      </c>
      <c r="V547">
        <v>0</v>
      </c>
    </row>
    <row r="548" spans="1:22" x14ac:dyDescent="0.25">
      <c r="A548" t="s">
        <v>644</v>
      </c>
      <c r="B548" t="s">
        <v>113</v>
      </c>
      <c r="C548" t="s">
        <v>114</v>
      </c>
      <c r="D548" t="s">
        <v>25</v>
      </c>
      <c r="E548" t="s">
        <v>26</v>
      </c>
      <c r="F548" t="s">
        <v>64</v>
      </c>
      <c r="G548" s="1">
        <v>45709</v>
      </c>
      <c r="H548" s="1">
        <v>45799</v>
      </c>
      <c r="I548">
        <v>90</v>
      </c>
      <c r="J548">
        <v>3012.61</v>
      </c>
      <c r="K548">
        <v>3012.61</v>
      </c>
      <c r="L548">
        <v>0</v>
      </c>
      <c r="M548" s="1">
        <v>45803</v>
      </c>
      <c r="N548" t="s">
        <v>28</v>
      </c>
      <c r="O548" t="s">
        <v>77</v>
      </c>
      <c r="P548">
        <v>94</v>
      </c>
      <c r="Q548">
        <v>-4</v>
      </c>
      <c r="R548" t="s">
        <v>31</v>
      </c>
      <c r="S548" t="s">
        <v>30</v>
      </c>
      <c r="T548">
        <v>5.0000000000000001E-3</v>
      </c>
      <c r="U548" t="s">
        <v>31</v>
      </c>
      <c r="V548">
        <v>0</v>
      </c>
    </row>
    <row r="549" spans="1:22" x14ac:dyDescent="0.25">
      <c r="A549" t="s">
        <v>645</v>
      </c>
      <c r="B549" t="s">
        <v>66</v>
      </c>
      <c r="C549" t="s">
        <v>67</v>
      </c>
      <c r="D549" t="s">
        <v>35</v>
      </c>
      <c r="E549" t="s">
        <v>45</v>
      </c>
      <c r="F549" t="s">
        <v>50</v>
      </c>
      <c r="G549" s="1">
        <v>45998</v>
      </c>
      <c r="H549" s="1">
        <v>46043</v>
      </c>
      <c r="I549">
        <v>45</v>
      </c>
      <c r="J549">
        <v>66308.149999999994</v>
      </c>
      <c r="K549">
        <v>66308.149999999994</v>
      </c>
      <c r="L549">
        <v>0</v>
      </c>
      <c r="M549" s="1">
        <v>46052</v>
      </c>
      <c r="N549" t="s">
        <v>28</v>
      </c>
      <c r="O549" t="s">
        <v>29</v>
      </c>
      <c r="P549">
        <v>54</v>
      </c>
      <c r="Q549">
        <v>-9</v>
      </c>
      <c r="R549" t="s">
        <v>31</v>
      </c>
      <c r="S549" t="s">
        <v>31</v>
      </c>
      <c r="T549">
        <v>0</v>
      </c>
      <c r="U549" t="s">
        <v>31</v>
      </c>
      <c r="V549">
        <v>0</v>
      </c>
    </row>
    <row r="550" spans="1:22" x14ac:dyDescent="0.25">
      <c r="A550" t="s">
        <v>646</v>
      </c>
      <c r="B550" t="s">
        <v>79</v>
      </c>
      <c r="C550" t="s">
        <v>80</v>
      </c>
      <c r="D550" t="s">
        <v>49</v>
      </c>
      <c r="E550" t="s">
        <v>26</v>
      </c>
      <c r="F550" t="s">
        <v>41</v>
      </c>
      <c r="G550" s="1">
        <v>46137</v>
      </c>
      <c r="H550" s="1">
        <v>46167</v>
      </c>
      <c r="I550">
        <v>30</v>
      </c>
      <c r="J550">
        <v>6668.62</v>
      </c>
      <c r="K550">
        <v>6668.62</v>
      </c>
      <c r="L550">
        <v>0</v>
      </c>
      <c r="M550" s="1">
        <v>46148</v>
      </c>
      <c r="N550" t="s">
        <v>28</v>
      </c>
      <c r="O550" t="s">
        <v>36</v>
      </c>
      <c r="P550">
        <v>11</v>
      </c>
      <c r="Q550">
        <v>19</v>
      </c>
      <c r="R550" t="s">
        <v>30</v>
      </c>
      <c r="S550" t="s">
        <v>30</v>
      </c>
      <c r="T550">
        <v>0.01</v>
      </c>
      <c r="U550" t="s">
        <v>31</v>
      </c>
      <c r="V550">
        <v>0</v>
      </c>
    </row>
    <row r="551" spans="1:22" x14ac:dyDescent="0.25">
      <c r="A551" t="s">
        <v>647</v>
      </c>
      <c r="B551" t="s">
        <v>75</v>
      </c>
      <c r="C551" t="s">
        <v>76</v>
      </c>
      <c r="D551" t="s">
        <v>35</v>
      </c>
      <c r="E551" t="s">
        <v>63</v>
      </c>
      <c r="F551" t="s">
        <v>92</v>
      </c>
      <c r="G551" s="1">
        <v>45845</v>
      </c>
      <c r="H551" s="1">
        <v>45905</v>
      </c>
      <c r="I551">
        <v>60</v>
      </c>
      <c r="J551">
        <v>57471.1</v>
      </c>
      <c r="K551">
        <v>42597.69</v>
      </c>
      <c r="L551">
        <v>14873.41</v>
      </c>
      <c r="M551" s="1">
        <v>45914</v>
      </c>
      <c r="N551" t="s">
        <v>98</v>
      </c>
      <c r="O551" t="s">
        <v>29</v>
      </c>
      <c r="P551">
        <v>69</v>
      </c>
      <c r="Q551">
        <v>-9</v>
      </c>
      <c r="R551" t="s">
        <v>31</v>
      </c>
      <c r="S551" t="s">
        <v>30</v>
      </c>
      <c r="T551">
        <v>0.01</v>
      </c>
      <c r="U551" t="s">
        <v>31</v>
      </c>
      <c r="V551">
        <v>0</v>
      </c>
    </row>
    <row r="552" spans="1:22" x14ac:dyDescent="0.25">
      <c r="A552" t="s">
        <v>648</v>
      </c>
      <c r="B552" t="s">
        <v>100</v>
      </c>
      <c r="C552" t="s">
        <v>101</v>
      </c>
      <c r="D552" t="s">
        <v>54</v>
      </c>
      <c r="E552" t="s">
        <v>26</v>
      </c>
      <c r="F552" t="s">
        <v>27</v>
      </c>
      <c r="G552" s="1">
        <v>46017</v>
      </c>
      <c r="H552" s="1">
        <v>46047</v>
      </c>
      <c r="I552">
        <v>30</v>
      </c>
      <c r="J552">
        <v>7440.46</v>
      </c>
      <c r="K552">
        <v>7440.46</v>
      </c>
      <c r="L552">
        <v>0</v>
      </c>
      <c r="M552" s="1">
        <v>46050</v>
      </c>
      <c r="N552" t="s">
        <v>28</v>
      </c>
      <c r="O552" t="s">
        <v>69</v>
      </c>
      <c r="P552">
        <v>33</v>
      </c>
      <c r="Q552">
        <v>-3</v>
      </c>
      <c r="R552" t="s">
        <v>31</v>
      </c>
      <c r="S552" t="s">
        <v>31</v>
      </c>
      <c r="T552">
        <v>0</v>
      </c>
      <c r="U552" t="s">
        <v>31</v>
      </c>
      <c r="V552">
        <v>0</v>
      </c>
    </row>
    <row r="553" spans="1:22" x14ac:dyDescent="0.25">
      <c r="A553" t="s">
        <v>649</v>
      </c>
      <c r="B553" t="s">
        <v>128</v>
      </c>
      <c r="C553" t="s">
        <v>129</v>
      </c>
      <c r="D553" t="s">
        <v>73</v>
      </c>
      <c r="E553" t="s">
        <v>63</v>
      </c>
      <c r="F553" t="s">
        <v>50</v>
      </c>
      <c r="G553" s="1">
        <v>46073</v>
      </c>
      <c r="H553" s="1">
        <v>46103</v>
      </c>
      <c r="I553">
        <v>30</v>
      </c>
      <c r="J553">
        <v>28979.25</v>
      </c>
      <c r="K553">
        <v>28979.25</v>
      </c>
      <c r="L553">
        <v>0</v>
      </c>
      <c r="M553" s="1">
        <v>46095</v>
      </c>
      <c r="N553" t="s">
        <v>28</v>
      </c>
      <c r="O553" t="s">
        <v>36</v>
      </c>
      <c r="P553">
        <v>22</v>
      </c>
      <c r="Q553">
        <v>8</v>
      </c>
      <c r="R553" t="s">
        <v>30</v>
      </c>
      <c r="S553" t="s">
        <v>31</v>
      </c>
      <c r="T553">
        <v>0</v>
      </c>
      <c r="U553" t="s">
        <v>31</v>
      </c>
      <c r="V553">
        <v>0</v>
      </c>
    </row>
    <row r="554" spans="1:22" x14ac:dyDescent="0.25">
      <c r="A554" t="s">
        <v>650</v>
      </c>
      <c r="B554" t="s">
        <v>79</v>
      </c>
      <c r="C554" t="s">
        <v>80</v>
      </c>
      <c r="D554" t="s">
        <v>49</v>
      </c>
      <c r="E554" t="s">
        <v>45</v>
      </c>
      <c r="F554" t="s">
        <v>41</v>
      </c>
      <c r="G554" s="1">
        <v>45907</v>
      </c>
      <c r="H554" s="1">
        <v>45937</v>
      </c>
      <c r="I554">
        <v>30</v>
      </c>
      <c r="J554">
        <v>28301.55</v>
      </c>
      <c r="K554">
        <v>28301.55</v>
      </c>
      <c r="L554">
        <v>0</v>
      </c>
      <c r="M554" s="1">
        <v>45926</v>
      </c>
      <c r="N554" t="s">
        <v>28</v>
      </c>
      <c r="O554" t="s">
        <v>69</v>
      </c>
      <c r="P554">
        <v>19</v>
      </c>
      <c r="Q554">
        <v>11</v>
      </c>
      <c r="R554" t="s">
        <v>30</v>
      </c>
      <c r="S554" t="s">
        <v>31</v>
      </c>
      <c r="T554">
        <v>0</v>
      </c>
      <c r="U554" t="s">
        <v>31</v>
      </c>
      <c r="V554">
        <v>0</v>
      </c>
    </row>
    <row r="555" spans="1:22" x14ac:dyDescent="0.25">
      <c r="A555" t="s">
        <v>651</v>
      </c>
      <c r="B555" t="s">
        <v>143</v>
      </c>
      <c r="C555" t="s">
        <v>144</v>
      </c>
      <c r="D555" t="s">
        <v>25</v>
      </c>
      <c r="E555" t="s">
        <v>40</v>
      </c>
      <c r="F555" t="s">
        <v>50</v>
      </c>
      <c r="G555" s="1">
        <v>46008</v>
      </c>
      <c r="H555" s="1">
        <v>46068</v>
      </c>
      <c r="I555">
        <v>60</v>
      </c>
      <c r="J555">
        <v>11346.01</v>
      </c>
      <c r="K555">
        <v>11346.01</v>
      </c>
      <c r="L555">
        <v>0</v>
      </c>
      <c r="M555" s="1">
        <v>46084</v>
      </c>
      <c r="N555" t="s">
        <v>28</v>
      </c>
      <c r="O555" t="s">
        <v>69</v>
      </c>
      <c r="P555">
        <v>76</v>
      </c>
      <c r="Q555">
        <v>-16</v>
      </c>
      <c r="R555" t="s">
        <v>31</v>
      </c>
      <c r="S555" t="s">
        <v>30</v>
      </c>
      <c r="T555">
        <v>0.01</v>
      </c>
      <c r="U555" t="s">
        <v>31</v>
      </c>
      <c r="V555">
        <v>0</v>
      </c>
    </row>
    <row r="556" spans="1:22" x14ac:dyDescent="0.25">
      <c r="A556" t="s">
        <v>652</v>
      </c>
      <c r="B556" t="s">
        <v>66</v>
      </c>
      <c r="C556" t="s">
        <v>67</v>
      </c>
      <c r="D556" t="s">
        <v>35</v>
      </c>
      <c r="E556" t="s">
        <v>45</v>
      </c>
      <c r="F556" t="s">
        <v>27</v>
      </c>
      <c r="G556" s="1">
        <v>45757</v>
      </c>
      <c r="H556" s="1">
        <v>45817</v>
      </c>
      <c r="I556">
        <v>60</v>
      </c>
      <c r="J556">
        <v>66651.73</v>
      </c>
      <c r="K556">
        <v>0</v>
      </c>
      <c r="L556">
        <v>66651.73</v>
      </c>
      <c r="N556" t="s">
        <v>59</v>
      </c>
      <c r="O556" t="s">
        <v>69</v>
      </c>
      <c r="Q556">
        <v>-356</v>
      </c>
      <c r="R556" t="s">
        <v>31</v>
      </c>
      <c r="S556" t="s">
        <v>30</v>
      </c>
      <c r="T556">
        <v>0.01</v>
      </c>
      <c r="U556" t="s">
        <v>31</v>
      </c>
      <c r="V556">
        <v>0</v>
      </c>
    </row>
    <row r="557" spans="1:22" x14ac:dyDescent="0.25">
      <c r="A557" t="s">
        <v>653</v>
      </c>
      <c r="B557" t="s">
        <v>43</v>
      </c>
      <c r="C557" t="s">
        <v>44</v>
      </c>
      <c r="D557" t="s">
        <v>25</v>
      </c>
      <c r="E557" t="s">
        <v>63</v>
      </c>
      <c r="F557" t="s">
        <v>27</v>
      </c>
      <c r="G557" s="1">
        <v>46164</v>
      </c>
      <c r="H557" s="1">
        <v>46224</v>
      </c>
      <c r="I557">
        <v>60</v>
      </c>
      <c r="J557">
        <v>13254.79</v>
      </c>
      <c r="K557">
        <v>0</v>
      </c>
      <c r="L557">
        <v>13254.79</v>
      </c>
      <c r="N557" t="s">
        <v>93</v>
      </c>
      <c r="O557" t="s">
        <v>69</v>
      </c>
      <c r="S557" t="s">
        <v>30</v>
      </c>
      <c r="T557">
        <v>0.01</v>
      </c>
      <c r="U557" t="s">
        <v>31</v>
      </c>
      <c r="V557">
        <v>0</v>
      </c>
    </row>
    <row r="558" spans="1:22" x14ac:dyDescent="0.25">
      <c r="A558" t="s">
        <v>654</v>
      </c>
      <c r="B558" t="s">
        <v>66</v>
      </c>
      <c r="C558" t="s">
        <v>67</v>
      </c>
      <c r="D558" t="s">
        <v>35</v>
      </c>
      <c r="E558" t="s">
        <v>26</v>
      </c>
      <c r="F558" t="s">
        <v>64</v>
      </c>
      <c r="G558" s="1">
        <v>45956</v>
      </c>
      <c r="H558" s="1">
        <v>46046</v>
      </c>
      <c r="I558">
        <v>90</v>
      </c>
      <c r="J558">
        <v>34248.699999999997</v>
      </c>
      <c r="K558">
        <v>34248.699999999997</v>
      </c>
      <c r="L558">
        <v>0</v>
      </c>
      <c r="M558" s="1">
        <v>46054</v>
      </c>
      <c r="N558" t="s">
        <v>28</v>
      </c>
      <c r="O558" t="s">
        <v>36</v>
      </c>
      <c r="P558">
        <v>98</v>
      </c>
      <c r="Q558">
        <v>-8</v>
      </c>
      <c r="R558" t="s">
        <v>31</v>
      </c>
      <c r="S558" t="s">
        <v>30</v>
      </c>
      <c r="T558">
        <v>5.0000000000000001E-3</v>
      </c>
      <c r="U558" t="s">
        <v>31</v>
      </c>
      <c r="V558">
        <v>0</v>
      </c>
    </row>
    <row r="559" spans="1:22" x14ac:dyDescent="0.25">
      <c r="A559" t="s">
        <v>655</v>
      </c>
      <c r="B559" t="s">
        <v>56</v>
      </c>
      <c r="C559" t="s">
        <v>57</v>
      </c>
      <c r="D559" t="s">
        <v>58</v>
      </c>
      <c r="E559" t="s">
        <v>68</v>
      </c>
      <c r="F559" t="s">
        <v>92</v>
      </c>
      <c r="G559" s="1">
        <v>46010</v>
      </c>
      <c r="H559" s="1">
        <v>46070</v>
      </c>
      <c r="I559">
        <v>60</v>
      </c>
      <c r="J559">
        <v>39640.699999999997</v>
      </c>
      <c r="K559">
        <v>39640.699999999997</v>
      </c>
      <c r="L559">
        <v>0</v>
      </c>
      <c r="M559" s="1">
        <v>46055</v>
      </c>
      <c r="N559" t="s">
        <v>28</v>
      </c>
      <c r="O559" t="s">
        <v>29</v>
      </c>
      <c r="P559">
        <v>45</v>
      </c>
      <c r="Q559">
        <v>15</v>
      </c>
      <c r="R559" t="s">
        <v>30</v>
      </c>
      <c r="S559" t="s">
        <v>30</v>
      </c>
      <c r="T559">
        <v>0.01</v>
      </c>
      <c r="U559" t="s">
        <v>31</v>
      </c>
      <c r="V559">
        <v>0</v>
      </c>
    </row>
    <row r="560" spans="1:22" x14ac:dyDescent="0.25">
      <c r="A560" t="s">
        <v>656</v>
      </c>
      <c r="B560" t="s">
        <v>88</v>
      </c>
      <c r="C560" t="s">
        <v>89</v>
      </c>
      <c r="D560" t="s">
        <v>35</v>
      </c>
      <c r="E560" t="s">
        <v>26</v>
      </c>
      <c r="F560" t="s">
        <v>92</v>
      </c>
      <c r="G560" s="1">
        <v>46025</v>
      </c>
      <c r="H560" s="1">
        <v>46040</v>
      </c>
      <c r="I560">
        <v>15</v>
      </c>
      <c r="J560">
        <v>13227.37</v>
      </c>
      <c r="K560">
        <v>13227.37</v>
      </c>
      <c r="L560">
        <v>0</v>
      </c>
      <c r="M560" s="1">
        <v>46039</v>
      </c>
      <c r="N560" t="s">
        <v>28</v>
      </c>
      <c r="O560" t="s">
        <v>77</v>
      </c>
      <c r="P560">
        <v>14</v>
      </c>
      <c r="Q560">
        <v>1</v>
      </c>
      <c r="R560" t="s">
        <v>30</v>
      </c>
      <c r="S560" t="s">
        <v>30</v>
      </c>
      <c r="T560">
        <v>0.02</v>
      </c>
      <c r="U560" t="s">
        <v>31</v>
      </c>
      <c r="V560">
        <v>0</v>
      </c>
    </row>
    <row r="561" spans="1:22" x14ac:dyDescent="0.25">
      <c r="A561" t="s">
        <v>657</v>
      </c>
      <c r="B561" t="s">
        <v>38</v>
      </c>
      <c r="C561" t="s">
        <v>39</v>
      </c>
      <c r="D561" t="s">
        <v>35</v>
      </c>
      <c r="E561" t="s">
        <v>63</v>
      </c>
      <c r="F561" t="s">
        <v>41</v>
      </c>
      <c r="G561" s="1">
        <v>46073</v>
      </c>
      <c r="H561" s="1">
        <v>46133</v>
      </c>
      <c r="I561">
        <v>60</v>
      </c>
      <c r="J561">
        <v>33617.379999999997</v>
      </c>
      <c r="K561">
        <v>33617.379999999997</v>
      </c>
      <c r="L561">
        <v>0</v>
      </c>
      <c r="M561" s="1">
        <v>46135</v>
      </c>
      <c r="N561" t="s">
        <v>28</v>
      </c>
      <c r="O561" t="s">
        <v>29</v>
      </c>
      <c r="P561">
        <v>62</v>
      </c>
      <c r="Q561">
        <v>-2</v>
      </c>
      <c r="R561" t="s">
        <v>31</v>
      </c>
      <c r="S561" t="s">
        <v>30</v>
      </c>
      <c r="T561">
        <v>0.01</v>
      </c>
      <c r="U561" t="s">
        <v>31</v>
      </c>
      <c r="V561">
        <v>0</v>
      </c>
    </row>
    <row r="562" spans="1:22" x14ac:dyDescent="0.25">
      <c r="A562" t="s">
        <v>658</v>
      </c>
      <c r="B562" t="s">
        <v>128</v>
      </c>
      <c r="C562" t="s">
        <v>129</v>
      </c>
      <c r="D562" t="s">
        <v>73</v>
      </c>
      <c r="E562" t="s">
        <v>45</v>
      </c>
      <c r="F562" t="s">
        <v>64</v>
      </c>
      <c r="G562" s="1">
        <v>45795</v>
      </c>
      <c r="H562" s="1">
        <v>45825</v>
      </c>
      <c r="I562">
        <v>30</v>
      </c>
      <c r="J562">
        <v>2382.89</v>
      </c>
      <c r="K562">
        <v>2382.89</v>
      </c>
      <c r="L562">
        <v>0</v>
      </c>
      <c r="M562" s="1">
        <v>45832</v>
      </c>
      <c r="N562" t="s">
        <v>28</v>
      </c>
      <c r="O562" t="s">
        <v>29</v>
      </c>
      <c r="P562">
        <v>37</v>
      </c>
      <c r="Q562">
        <v>-7</v>
      </c>
      <c r="R562" t="s">
        <v>31</v>
      </c>
      <c r="S562" t="s">
        <v>30</v>
      </c>
      <c r="T562">
        <v>0.01</v>
      </c>
      <c r="U562" t="s">
        <v>31</v>
      </c>
      <c r="V562">
        <v>0</v>
      </c>
    </row>
    <row r="563" spans="1:22" x14ac:dyDescent="0.25">
      <c r="A563" t="s">
        <v>659</v>
      </c>
      <c r="B563" t="s">
        <v>100</v>
      </c>
      <c r="C563" t="s">
        <v>101</v>
      </c>
      <c r="D563" t="s">
        <v>54</v>
      </c>
      <c r="E563" t="s">
        <v>45</v>
      </c>
      <c r="F563" t="s">
        <v>64</v>
      </c>
      <c r="G563" s="1">
        <v>46083</v>
      </c>
      <c r="H563" s="1">
        <v>46113</v>
      </c>
      <c r="I563">
        <v>30</v>
      </c>
      <c r="J563">
        <v>12972.22</v>
      </c>
      <c r="K563">
        <v>12972.22</v>
      </c>
      <c r="L563">
        <v>0</v>
      </c>
      <c r="M563" s="1">
        <v>46123</v>
      </c>
      <c r="N563" t="s">
        <v>28</v>
      </c>
      <c r="O563" t="s">
        <v>77</v>
      </c>
      <c r="P563">
        <v>40</v>
      </c>
      <c r="Q563">
        <v>-10</v>
      </c>
      <c r="R563" t="s">
        <v>31</v>
      </c>
      <c r="S563" t="s">
        <v>31</v>
      </c>
      <c r="T563">
        <v>0</v>
      </c>
      <c r="U563" t="s">
        <v>31</v>
      </c>
      <c r="V563">
        <v>0</v>
      </c>
    </row>
    <row r="564" spans="1:22" x14ac:dyDescent="0.25">
      <c r="A564" t="s">
        <v>660</v>
      </c>
      <c r="B564" t="s">
        <v>113</v>
      </c>
      <c r="C564" t="s">
        <v>114</v>
      </c>
      <c r="D564" t="s">
        <v>25</v>
      </c>
      <c r="E564" t="s">
        <v>63</v>
      </c>
      <c r="F564" t="s">
        <v>41</v>
      </c>
      <c r="G564" s="1">
        <v>46021</v>
      </c>
      <c r="H564" s="1">
        <v>46081</v>
      </c>
      <c r="I564">
        <v>60</v>
      </c>
      <c r="J564">
        <v>5289.08</v>
      </c>
      <c r="K564">
        <v>5289.08</v>
      </c>
      <c r="L564">
        <v>0</v>
      </c>
      <c r="M564" s="1">
        <v>46077</v>
      </c>
      <c r="N564" t="s">
        <v>28</v>
      </c>
      <c r="O564" t="s">
        <v>69</v>
      </c>
      <c r="P564">
        <v>56</v>
      </c>
      <c r="Q564">
        <v>4</v>
      </c>
      <c r="R564" t="s">
        <v>30</v>
      </c>
      <c r="S564" t="s">
        <v>30</v>
      </c>
      <c r="T564">
        <v>0.01</v>
      </c>
      <c r="U564" t="s">
        <v>31</v>
      </c>
      <c r="V564">
        <v>0</v>
      </c>
    </row>
    <row r="565" spans="1:22" x14ac:dyDescent="0.25">
      <c r="A565" t="s">
        <v>661</v>
      </c>
      <c r="B565" t="s">
        <v>100</v>
      </c>
      <c r="C565" t="s">
        <v>101</v>
      </c>
      <c r="D565" t="s">
        <v>54</v>
      </c>
      <c r="E565" t="s">
        <v>40</v>
      </c>
      <c r="F565" t="s">
        <v>50</v>
      </c>
      <c r="G565" s="1">
        <v>46033</v>
      </c>
      <c r="H565" s="1">
        <v>46093</v>
      </c>
      <c r="I565">
        <v>60</v>
      </c>
      <c r="J565">
        <v>985.2</v>
      </c>
      <c r="K565">
        <v>985.2</v>
      </c>
      <c r="L565">
        <v>0</v>
      </c>
      <c r="M565" s="1">
        <v>46086</v>
      </c>
      <c r="N565" t="s">
        <v>28</v>
      </c>
      <c r="O565" t="s">
        <v>29</v>
      </c>
      <c r="P565">
        <v>53</v>
      </c>
      <c r="Q565">
        <v>7</v>
      </c>
      <c r="R565" t="s">
        <v>30</v>
      </c>
      <c r="S565" t="s">
        <v>30</v>
      </c>
      <c r="T565">
        <v>0.01</v>
      </c>
      <c r="U565" t="s">
        <v>31</v>
      </c>
      <c r="V565">
        <v>0</v>
      </c>
    </row>
    <row r="566" spans="1:22" x14ac:dyDescent="0.25">
      <c r="A566" t="s">
        <v>662</v>
      </c>
      <c r="B566" t="s">
        <v>61</v>
      </c>
      <c r="C566" t="s">
        <v>62</v>
      </c>
      <c r="D566" t="s">
        <v>35</v>
      </c>
      <c r="E566" t="s">
        <v>26</v>
      </c>
      <c r="F566" t="s">
        <v>64</v>
      </c>
      <c r="G566" s="1">
        <v>45738</v>
      </c>
      <c r="H566" s="1">
        <v>45828</v>
      </c>
      <c r="I566">
        <v>90</v>
      </c>
      <c r="J566">
        <v>44251.76</v>
      </c>
      <c r="K566">
        <v>44251.76</v>
      </c>
      <c r="L566">
        <v>0</v>
      </c>
      <c r="M566" s="1">
        <v>45835</v>
      </c>
      <c r="N566" t="s">
        <v>28</v>
      </c>
      <c r="O566" t="s">
        <v>29</v>
      </c>
      <c r="P566">
        <v>97</v>
      </c>
      <c r="Q566">
        <v>-7</v>
      </c>
      <c r="R566" t="s">
        <v>31</v>
      </c>
      <c r="S566" t="s">
        <v>30</v>
      </c>
      <c r="T566">
        <v>5.0000000000000001E-3</v>
      </c>
      <c r="U566" t="s">
        <v>31</v>
      </c>
      <c r="V566">
        <v>0</v>
      </c>
    </row>
    <row r="567" spans="1:22" x14ac:dyDescent="0.25">
      <c r="A567" t="s">
        <v>663</v>
      </c>
      <c r="B567" t="s">
        <v>23</v>
      </c>
      <c r="C567" t="s">
        <v>24</v>
      </c>
      <c r="D567" t="s">
        <v>25</v>
      </c>
      <c r="E567" t="s">
        <v>26</v>
      </c>
      <c r="F567" t="s">
        <v>50</v>
      </c>
      <c r="G567" s="1">
        <v>46009</v>
      </c>
      <c r="H567" s="1">
        <v>46024</v>
      </c>
      <c r="I567">
        <v>15</v>
      </c>
      <c r="J567">
        <v>11165.63</v>
      </c>
      <c r="K567">
        <v>11165.63</v>
      </c>
      <c r="L567">
        <v>0</v>
      </c>
      <c r="M567" s="1">
        <v>46032</v>
      </c>
      <c r="N567" t="s">
        <v>28</v>
      </c>
      <c r="O567" t="s">
        <v>29</v>
      </c>
      <c r="P567">
        <v>23</v>
      </c>
      <c r="Q567">
        <v>-8</v>
      </c>
      <c r="R567" t="s">
        <v>31</v>
      </c>
      <c r="S567" t="s">
        <v>30</v>
      </c>
      <c r="T567">
        <v>0.02</v>
      </c>
      <c r="U567" t="s">
        <v>31</v>
      </c>
      <c r="V567">
        <v>0</v>
      </c>
    </row>
    <row r="568" spans="1:22" x14ac:dyDescent="0.25">
      <c r="A568" t="s">
        <v>664</v>
      </c>
      <c r="B568" t="s">
        <v>143</v>
      </c>
      <c r="C568" t="s">
        <v>144</v>
      </c>
      <c r="D568" t="s">
        <v>25</v>
      </c>
      <c r="E568" t="s">
        <v>45</v>
      </c>
      <c r="F568" t="s">
        <v>92</v>
      </c>
      <c r="G568" s="1">
        <v>45829</v>
      </c>
      <c r="H568" s="1">
        <v>45874</v>
      </c>
      <c r="I568">
        <v>45</v>
      </c>
      <c r="J568">
        <v>1671.2</v>
      </c>
      <c r="K568">
        <v>1671.2</v>
      </c>
      <c r="L568">
        <v>0</v>
      </c>
      <c r="M568" s="1">
        <v>45869</v>
      </c>
      <c r="N568" t="s">
        <v>28</v>
      </c>
      <c r="O568" t="s">
        <v>29</v>
      </c>
      <c r="P568">
        <v>40</v>
      </c>
      <c r="Q568">
        <v>5</v>
      </c>
      <c r="R568" t="s">
        <v>30</v>
      </c>
      <c r="S568" t="s">
        <v>31</v>
      </c>
      <c r="T568">
        <v>0</v>
      </c>
      <c r="U568" t="s">
        <v>31</v>
      </c>
      <c r="V568">
        <v>0</v>
      </c>
    </row>
    <row r="569" spans="1:22" x14ac:dyDescent="0.25">
      <c r="A569" t="s">
        <v>665</v>
      </c>
      <c r="B569" t="s">
        <v>71</v>
      </c>
      <c r="C569" t="s">
        <v>72</v>
      </c>
      <c r="D569" t="s">
        <v>73</v>
      </c>
      <c r="E569" t="s">
        <v>63</v>
      </c>
      <c r="F569" t="s">
        <v>92</v>
      </c>
      <c r="G569" s="1">
        <v>45831</v>
      </c>
      <c r="H569" s="1">
        <v>45921</v>
      </c>
      <c r="I569">
        <v>90</v>
      </c>
      <c r="J569">
        <v>20904.38</v>
      </c>
      <c r="K569">
        <v>20904.38</v>
      </c>
      <c r="L569">
        <v>0</v>
      </c>
      <c r="M569" s="1">
        <v>45921</v>
      </c>
      <c r="N569" t="s">
        <v>28</v>
      </c>
      <c r="O569" t="s">
        <v>77</v>
      </c>
      <c r="P569">
        <v>90</v>
      </c>
      <c r="Q569">
        <v>0</v>
      </c>
      <c r="R569" t="s">
        <v>30</v>
      </c>
      <c r="S569" t="s">
        <v>30</v>
      </c>
      <c r="T569">
        <v>5.0000000000000001E-3</v>
      </c>
      <c r="U569" t="s">
        <v>31</v>
      </c>
      <c r="V569">
        <v>0</v>
      </c>
    </row>
    <row r="570" spans="1:22" x14ac:dyDescent="0.25">
      <c r="A570" t="s">
        <v>666</v>
      </c>
      <c r="B570" t="s">
        <v>100</v>
      </c>
      <c r="C570" t="s">
        <v>101</v>
      </c>
      <c r="D570" t="s">
        <v>54</v>
      </c>
      <c r="E570" t="s">
        <v>26</v>
      </c>
      <c r="F570" t="s">
        <v>64</v>
      </c>
      <c r="G570" s="1">
        <v>45916</v>
      </c>
      <c r="H570" s="1">
        <v>45961</v>
      </c>
      <c r="I570">
        <v>45</v>
      </c>
      <c r="J570">
        <v>2421.81</v>
      </c>
      <c r="K570">
        <v>743.74</v>
      </c>
      <c r="L570">
        <v>1678.07</v>
      </c>
      <c r="M570" s="1">
        <v>45959</v>
      </c>
      <c r="N570" t="s">
        <v>98</v>
      </c>
      <c r="O570" t="s">
        <v>77</v>
      </c>
      <c r="P570">
        <v>43</v>
      </c>
      <c r="Q570">
        <v>2</v>
      </c>
      <c r="R570" t="s">
        <v>30</v>
      </c>
      <c r="S570" t="s">
        <v>30</v>
      </c>
      <c r="T570">
        <v>1.4999999999999999E-2</v>
      </c>
      <c r="U570" t="s">
        <v>31</v>
      </c>
      <c r="V570">
        <v>0</v>
      </c>
    </row>
    <row r="571" spans="1:22" x14ac:dyDescent="0.25">
      <c r="A571" t="s">
        <v>667</v>
      </c>
      <c r="B571" t="s">
        <v>187</v>
      </c>
      <c r="C571" t="s">
        <v>188</v>
      </c>
      <c r="D571" t="s">
        <v>73</v>
      </c>
      <c r="E571" t="s">
        <v>40</v>
      </c>
      <c r="F571" t="s">
        <v>50</v>
      </c>
      <c r="G571" s="1">
        <v>46036</v>
      </c>
      <c r="H571" s="1">
        <v>46126</v>
      </c>
      <c r="I571">
        <v>90</v>
      </c>
      <c r="J571">
        <v>28658.74</v>
      </c>
      <c r="K571">
        <v>28658.74</v>
      </c>
      <c r="L571">
        <v>0</v>
      </c>
      <c r="M571" s="1">
        <v>46125</v>
      </c>
      <c r="N571" t="s">
        <v>28</v>
      </c>
      <c r="O571" t="s">
        <v>36</v>
      </c>
      <c r="P571">
        <v>89</v>
      </c>
      <c r="Q571">
        <v>1</v>
      </c>
      <c r="R571" t="s">
        <v>30</v>
      </c>
      <c r="S571" t="s">
        <v>30</v>
      </c>
      <c r="T571">
        <v>5.0000000000000001E-3</v>
      </c>
      <c r="U571" t="s">
        <v>31</v>
      </c>
      <c r="V571">
        <v>0</v>
      </c>
    </row>
    <row r="572" spans="1:22" x14ac:dyDescent="0.25">
      <c r="A572" t="s">
        <v>668</v>
      </c>
      <c r="B572" t="s">
        <v>82</v>
      </c>
      <c r="C572" t="s">
        <v>83</v>
      </c>
      <c r="D572" t="s">
        <v>58</v>
      </c>
      <c r="E572" t="s">
        <v>26</v>
      </c>
      <c r="F572" t="s">
        <v>92</v>
      </c>
      <c r="G572" s="1">
        <v>45815</v>
      </c>
      <c r="H572" s="1">
        <v>45845</v>
      </c>
      <c r="I572">
        <v>30</v>
      </c>
      <c r="J572">
        <v>33991.730000000003</v>
      </c>
      <c r="K572">
        <v>33991.730000000003</v>
      </c>
      <c r="L572">
        <v>0</v>
      </c>
      <c r="M572" s="1">
        <v>45837</v>
      </c>
      <c r="N572" t="s">
        <v>28</v>
      </c>
      <c r="O572" t="s">
        <v>77</v>
      </c>
      <c r="P572">
        <v>22</v>
      </c>
      <c r="Q572">
        <v>8</v>
      </c>
      <c r="R572" t="s">
        <v>30</v>
      </c>
      <c r="S572" t="s">
        <v>31</v>
      </c>
      <c r="T572">
        <v>0</v>
      </c>
      <c r="U572" t="s">
        <v>31</v>
      </c>
      <c r="V572">
        <v>0</v>
      </c>
    </row>
    <row r="573" spans="1:22" x14ac:dyDescent="0.25">
      <c r="A573" t="s">
        <v>669</v>
      </c>
      <c r="B573" t="s">
        <v>71</v>
      </c>
      <c r="C573" t="s">
        <v>72</v>
      </c>
      <c r="D573" t="s">
        <v>73</v>
      </c>
      <c r="E573" t="s">
        <v>40</v>
      </c>
      <c r="F573" t="s">
        <v>64</v>
      </c>
      <c r="G573" s="1">
        <v>45928</v>
      </c>
      <c r="H573" s="1">
        <v>45943</v>
      </c>
      <c r="I573">
        <v>15</v>
      </c>
      <c r="J573">
        <v>26930.97</v>
      </c>
      <c r="K573">
        <v>26930.97</v>
      </c>
      <c r="L573">
        <v>0</v>
      </c>
      <c r="M573" s="1">
        <v>45950</v>
      </c>
      <c r="N573" t="s">
        <v>28</v>
      </c>
      <c r="O573" t="s">
        <v>29</v>
      </c>
      <c r="P573">
        <v>22</v>
      </c>
      <c r="Q573">
        <v>-7</v>
      </c>
      <c r="R573" t="s">
        <v>31</v>
      </c>
      <c r="S573" t="s">
        <v>30</v>
      </c>
      <c r="T573">
        <v>0.02</v>
      </c>
      <c r="U573" t="s">
        <v>31</v>
      </c>
      <c r="V573">
        <v>0</v>
      </c>
    </row>
    <row r="574" spans="1:22" x14ac:dyDescent="0.25">
      <c r="A574" t="s">
        <v>670</v>
      </c>
      <c r="B574" t="s">
        <v>47</v>
      </c>
      <c r="C574" t="s">
        <v>48</v>
      </c>
      <c r="D574" t="s">
        <v>49</v>
      </c>
      <c r="E574" t="s">
        <v>45</v>
      </c>
      <c r="F574" t="s">
        <v>92</v>
      </c>
      <c r="G574" s="1">
        <v>46046</v>
      </c>
      <c r="H574" s="1">
        <v>46076</v>
      </c>
      <c r="I574">
        <v>30</v>
      </c>
      <c r="J574">
        <v>34808.480000000003</v>
      </c>
      <c r="K574">
        <v>34808.480000000003</v>
      </c>
      <c r="L574">
        <v>0</v>
      </c>
      <c r="M574" s="1">
        <v>46068</v>
      </c>
      <c r="N574" t="s">
        <v>28</v>
      </c>
      <c r="O574" t="s">
        <v>69</v>
      </c>
      <c r="P574">
        <v>22</v>
      </c>
      <c r="Q574">
        <v>8</v>
      </c>
      <c r="R574" t="s">
        <v>30</v>
      </c>
      <c r="S574" t="s">
        <v>30</v>
      </c>
      <c r="T574">
        <v>0.01</v>
      </c>
      <c r="U574" t="s">
        <v>31</v>
      </c>
      <c r="V574">
        <v>0</v>
      </c>
    </row>
    <row r="575" spans="1:22" x14ac:dyDescent="0.25">
      <c r="A575" t="s">
        <v>671</v>
      </c>
      <c r="B575" t="s">
        <v>88</v>
      </c>
      <c r="C575" t="s">
        <v>89</v>
      </c>
      <c r="D575" t="s">
        <v>35</v>
      </c>
      <c r="E575" t="s">
        <v>45</v>
      </c>
      <c r="F575" t="s">
        <v>41</v>
      </c>
      <c r="G575" s="1">
        <v>45757</v>
      </c>
      <c r="H575" s="1">
        <v>45772</v>
      </c>
      <c r="I575">
        <v>15</v>
      </c>
      <c r="J575">
        <v>73828.41</v>
      </c>
      <c r="K575">
        <v>0</v>
      </c>
      <c r="L575">
        <v>73828.41</v>
      </c>
      <c r="N575" t="s">
        <v>59</v>
      </c>
      <c r="O575" t="s">
        <v>29</v>
      </c>
      <c r="Q575">
        <v>-401</v>
      </c>
      <c r="R575" t="s">
        <v>31</v>
      </c>
      <c r="S575" t="s">
        <v>30</v>
      </c>
      <c r="T575">
        <v>0.02</v>
      </c>
      <c r="U575" t="s">
        <v>31</v>
      </c>
      <c r="V575">
        <v>0</v>
      </c>
    </row>
    <row r="576" spans="1:22" x14ac:dyDescent="0.25">
      <c r="A576" t="s">
        <v>672</v>
      </c>
      <c r="B576" t="s">
        <v>38</v>
      </c>
      <c r="C576" t="s">
        <v>39</v>
      </c>
      <c r="D576" t="s">
        <v>35</v>
      </c>
      <c r="E576" t="s">
        <v>63</v>
      </c>
      <c r="F576" t="s">
        <v>92</v>
      </c>
      <c r="G576" s="1">
        <v>45931</v>
      </c>
      <c r="H576" s="1">
        <v>45976</v>
      </c>
      <c r="I576">
        <v>45</v>
      </c>
      <c r="J576">
        <v>65173.73</v>
      </c>
      <c r="K576">
        <v>65173.73</v>
      </c>
      <c r="L576">
        <v>0</v>
      </c>
      <c r="M576" s="1">
        <v>45975</v>
      </c>
      <c r="N576" t="s">
        <v>28</v>
      </c>
      <c r="O576" t="s">
        <v>29</v>
      </c>
      <c r="P576">
        <v>44</v>
      </c>
      <c r="Q576">
        <v>1</v>
      </c>
      <c r="R576" t="s">
        <v>30</v>
      </c>
      <c r="S576" t="s">
        <v>30</v>
      </c>
      <c r="T576">
        <v>1.4999999999999999E-2</v>
      </c>
      <c r="U576" t="s">
        <v>31</v>
      </c>
      <c r="V576">
        <v>0</v>
      </c>
    </row>
    <row r="577" spans="1:22" x14ac:dyDescent="0.25">
      <c r="A577" t="s">
        <v>673</v>
      </c>
      <c r="B577" t="s">
        <v>113</v>
      </c>
      <c r="C577" t="s">
        <v>114</v>
      </c>
      <c r="D577" t="s">
        <v>25</v>
      </c>
      <c r="E577" t="s">
        <v>40</v>
      </c>
      <c r="F577" t="s">
        <v>50</v>
      </c>
      <c r="G577" s="1">
        <v>45842</v>
      </c>
      <c r="H577" s="1">
        <v>45902</v>
      </c>
      <c r="I577">
        <v>60</v>
      </c>
      <c r="J577">
        <v>6952.13</v>
      </c>
      <c r="K577">
        <v>6952.13</v>
      </c>
      <c r="L577">
        <v>0</v>
      </c>
      <c r="M577" s="1">
        <v>45909</v>
      </c>
      <c r="N577" t="s">
        <v>28</v>
      </c>
      <c r="O577" t="s">
        <v>36</v>
      </c>
      <c r="P577">
        <v>67</v>
      </c>
      <c r="Q577">
        <v>-7</v>
      </c>
      <c r="R577" t="s">
        <v>31</v>
      </c>
      <c r="S577" t="s">
        <v>30</v>
      </c>
      <c r="T577">
        <v>0.01</v>
      </c>
      <c r="U577" t="s">
        <v>31</v>
      </c>
      <c r="V577">
        <v>0</v>
      </c>
    </row>
    <row r="578" spans="1:22" x14ac:dyDescent="0.25">
      <c r="A578" t="s">
        <v>674</v>
      </c>
      <c r="B578" t="s">
        <v>82</v>
      </c>
      <c r="C578" t="s">
        <v>83</v>
      </c>
      <c r="D578" t="s">
        <v>58</v>
      </c>
      <c r="E578" t="s">
        <v>26</v>
      </c>
      <c r="F578" t="s">
        <v>41</v>
      </c>
      <c r="G578" s="1">
        <v>45948</v>
      </c>
      <c r="H578" s="1">
        <v>45978</v>
      </c>
      <c r="I578">
        <v>30</v>
      </c>
      <c r="J578">
        <v>12320.16</v>
      </c>
      <c r="K578">
        <v>12320.16</v>
      </c>
      <c r="L578">
        <v>0</v>
      </c>
      <c r="M578" s="1">
        <v>45981</v>
      </c>
      <c r="N578" t="s">
        <v>28</v>
      </c>
      <c r="O578" t="s">
        <v>29</v>
      </c>
      <c r="P578">
        <v>33</v>
      </c>
      <c r="Q578">
        <v>-3</v>
      </c>
      <c r="R578" t="s">
        <v>31</v>
      </c>
      <c r="S578" t="s">
        <v>30</v>
      </c>
      <c r="T578">
        <v>0.01</v>
      </c>
      <c r="U578" t="s">
        <v>31</v>
      </c>
      <c r="V578">
        <v>0</v>
      </c>
    </row>
    <row r="579" spans="1:22" x14ac:dyDescent="0.25">
      <c r="A579" t="s">
        <v>675</v>
      </c>
      <c r="B579" t="s">
        <v>33</v>
      </c>
      <c r="C579" t="s">
        <v>34</v>
      </c>
      <c r="D579" t="s">
        <v>35</v>
      </c>
      <c r="E579" t="s">
        <v>63</v>
      </c>
      <c r="F579" t="s">
        <v>64</v>
      </c>
      <c r="G579" s="1">
        <v>45746</v>
      </c>
      <c r="H579" s="1">
        <v>45776</v>
      </c>
      <c r="I579">
        <v>30</v>
      </c>
      <c r="J579">
        <v>69233.06</v>
      </c>
      <c r="K579">
        <v>69233.06</v>
      </c>
      <c r="L579">
        <v>0</v>
      </c>
      <c r="M579" s="1">
        <v>45784</v>
      </c>
      <c r="N579" t="s">
        <v>28</v>
      </c>
      <c r="O579" t="s">
        <v>77</v>
      </c>
      <c r="P579">
        <v>38</v>
      </c>
      <c r="Q579">
        <v>-8</v>
      </c>
      <c r="R579" t="s">
        <v>31</v>
      </c>
      <c r="S579" t="s">
        <v>30</v>
      </c>
      <c r="T579">
        <v>0.01</v>
      </c>
      <c r="U579" t="s">
        <v>31</v>
      </c>
      <c r="V579">
        <v>0</v>
      </c>
    </row>
    <row r="580" spans="1:22" x14ac:dyDescent="0.25">
      <c r="A580" t="s">
        <v>676</v>
      </c>
      <c r="B580" t="s">
        <v>120</v>
      </c>
      <c r="C580" t="s">
        <v>121</v>
      </c>
      <c r="D580" t="s">
        <v>54</v>
      </c>
      <c r="E580" t="s">
        <v>26</v>
      </c>
      <c r="F580" t="s">
        <v>64</v>
      </c>
      <c r="G580" s="1">
        <v>46136</v>
      </c>
      <c r="H580" s="1">
        <v>46181</v>
      </c>
      <c r="I580">
        <v>45</v>
      </c>
      <c r="J580">
        <v>10076.93</v>
      </c>
      <c r="K580">
        <v>10076.93</v>
      </c>
      <c r="L580">
        <v>0</v>
      </c>
      <c r="M580" s="1">
        <v>46173</v>
      </c>
      <c r="N580" t="s">
        <v>28</v>
      </c>
      <c r="O580" t="s">
        <v>29</v>
      </c>
      <c r="P580">
        <v>37</v>
      </c>
      <c r="Q580">
        <v>8</v>
      </c>
      <c r="R580" t="s">
        <v>30</v>
      </c>
      <c r="S580" t="s">
        <v>30</v>
      </c>
      <c r="T580">
        <v>1.4999999999999999E-2</v>
      </c>
      <c r="U580" t="s">
        <v>31</v>
      </c>
      <c r="V580">
        <v>0</v>
      </c>
    </row>
    <row r="581" spans="1:22" x14ac:dyDescent="0.25">
      <c r="A581" t="s">
        <v>677</v>
      </c>
      <c r="B581" t="s">
        <v>85</v>
      </c>
      <c r="C581" t="s">
        <v>86</v>
      </c>
      <c r="D581" t="s">
        <v>25</v>
      </c>
      <c r="E581" t="s">
        <v>45</v>
      </c>
      <c r="F581" t="s">
        <v>92</v>
      </c>
      <c r="G581" s="1">
        <v>45733</v>
      </c>
      <c r="H581" s="1">
        <v>45763</v>
      </c>
      <c r="I581">
        <v>30</v>
      </c>
      <c r="J581">
        <v>6268.46</v>
      </c>
      <c r="K581">
        <v>6268.46</v>
      </c>
      <c r="L581">
        <v>0</v>
      </c>
      <c r="M581" s="1">
        <v>45769</v>
      </c>
      <c r="N581" t="s">
        <v>28</v>
      </c>
      <c r="O581" t="s">
        <v>29</v>
      </c>
      <c r="P581">
        <v>36</v>
      </c>
      <c r="Q581">
        <v>-6</v>
      </c>
      <c r="R581" t="s">
        <v>31</v>
      </c>
      <c r="S581" t="s">
        <v>30</v>
      </c>
      <c r="T581">
        <v>0.01</v>
      </c>
      <c r="U581" t="s">
        <v>31</v>
      </c>
      <c r="V581">
        <v>0</v>
      </c>
    </row>
    <row r="582" spans="1:22" x14ac:dyDescent="0.25">
      <c r="A582" t="s">
        <v>678</v>
      </c>
      <c r="B582" t="s">
        <v>131</v>
      </c>
      <c r="C582" t="s">
        <v>132</v>
      </c>
      <c r="D582" t="s">
        <v>49</v>
      </c>
      <c r="E582" t="s">
        <v>40</v>
      </c>
      <c r="F582" t="s">
        <v>41</v>
      </c>
      <c r="G582" s="1">
        <v>45863</v>
      </c>
      <c r="H582" s="1">
        <v>45953</v>
      </c>
      <c r="I582">
        <v>90</v>
      </c>
      <c r="J582">
        <v>31294.49</v>
      </c>
      <c r="K582">
        <v>31294.49</v>
      </c>
      <c r="L582">
        <v>0</v>
      </c>
      <c r="M582" s="1">
        <v>45953</v>
      </c>
      <c r="N582" t="s">
        <v>28</v>
      </c>
      <c r="O582" t="s">
        <v>77</v>
      </c>
      <c r="P582">
        <v>90</v>
      </c>
      <c r="Q582">
        <v>0</v>
      </c>
      <c r="R582" t="s">
        <v>30</v>
      </c>
      <c r="S582" t="s">
        <v>30</v>
      </c>
      <c r="T582">
        <v>5.0000000000000001E-3</v>
      </c>
      <c r="U582" t="s">
        <v>31</v>
      </c>
      <c r="V582">
        <v>0</v>
      </c>
    </row>
    <row r="583" spans="1:22" x14ac:dyDescent="0.25">
      <c r="A583" t="s">
        <v>679</v>
      </c>
      <c r="B583" t="s">
        <v>75</v>
      </c>
      <c r="C583" t="s">
        <v>76</v>
      </c>
      <c r="D583" t="s">
        <v>35</v>
      </c>
      <c r="E583" t="s">
        <v>63</v>
      </c>
      <c r="F583" t="s">
        <v>41</v>
      </c>
      <c r="G583" s="1">
        <v>46110</v>
      </c>
      <c r="H583" s="1">
        <v>46140</v>
      </c>
      <c r="I583">
        <v>30</v>
      </c>
      <c r="J583">
        <v>58655.02</v>
      </c>
      <c r="K583">
        <v>58655.02</v>
      </c>
      <c r="L583">
        <v>0</v>
      </c>
      <c r="M583" s="1">
        <v>46140</v>
      </c>
      <c r="N583" t="s">
        <v>28</v>
      </c>
      <c r="O583" t="s">
        <v>36</v>
      </c>
      <c r="P583">
        <v>30</v>
      </c>
      <c r="Q583">
        <v>0</v>
      </c>
      <c r="R583" t="s">
        <v>30</v>
      </c>
      <c r="S583" t="s">
        <v>30</v>
      </c>
      <c r="T583">
        <v>0.01</v>
      </c>
      <c r="U583" t="s">
        <v>31</v>
      </c>
      <c r="V583">
        <v>0</v>
      </c>
    </row>
    <row r="584" spans="1:22" x14ac:dyDescent="0.25">
      <c r="A584" t="s">
        <v>680</v>
      </c>
      <c r="B584" t="s">
        <v>100</v>
      </c>
      <c r="C584" t="s">
        <v>101</v>
      </c>
      <c r="D584" t="s">
        <v>54</v>
      </c>
      <c r="E584" t="s">
        <v>40</v>
      </c>
      <c r="F584" t="s">
        <v>27</v>
      </c>
      <c r="G584" s="1">
        <v>45930</v>
      </c>
      <c r="H584" s="1">
        <v>45990</v>
      </c>
      <c r="I584">
        <v>60</v>
      </c>
      <c r="J584">
        <v>2698.31</v>
      </c>
      <c r="K584">
        <v>2698.31</v>
      </c>
      <c r="L584">
        <v>0</v>
      </c>
      <c r="M584" s="1">
        <v>45998</v>
      </c>
      <c r="N584" t="s">
        <v>28</v>
      </c>
      <c r="O584" t="s">
        <v>77</v>
      </c>
      <c r="P584">
        <v>68</v>
      </c>
      <c r="Q584">
        <v>-8</v>
      </c>
      <c r="R584" t="s">
        <v>31</v>
      </c>
      <c r="S584" t="s">
        <v>30</v>
      </c>
      <c r="T584">
        <v>0.01</v>
      </c>
      <c r="U584" t="s">
        <v>31</v>
      </c>
      <c r="V584">
        <v>0</v>
      </c>
    </row>
    <row r="585" spans="1:22" x14ac:dyDescent="0.25">
      <c r="A585" t="s">
        <v>681</v>
      </c>
      <c r="B585" t="s">
        <v>95</v>
      </c>
      <c r="C585" t="s">
        <v>96</v>
      </c>
      <c r="D585" t="s">
        <v>49</v>
      </c>
      <c r="E585" t="s">
        <v>63</v>
      </c>
      <c r="F585" t="s">
        <v>41</v>
      </c>
      <c r="G585" s="1">
        <v>46071</v>
      </c>
      <c r="H585" s="1">
        <v>46131</v>
      </c>
      <c r="I585">
        <v>60</v>
      </c>
      <c r="J585">
        <v>42514.36</v>
      </c>
      <c r="K585">
        <v>12824.61</v>
      </c>
      <c r="L585">
        <v>29689.75</v>
      </c>
      <c r="M585" s="1">
        <v>46148</v>
      </c>
      <c r="N585" t="s">
        <v>98</v>
      </c>
      <c r="O585" t="s">
        <v>69</v>
      </c>
      <c r="P585">
        <v>77</v>
      </c>
      <c r="Q585">
        <v>-17</v>
      </c>
      <c r="R585" t="s">
        <v>31</v>
      </c>
      <c r="S585" t="s">
        <v>31</v>
      </c>
      <c r="T585">
        <v>0</v>
      </c>
      <c r="U585" t="s">
        <v>31</v>
      </c>
      <c r="V585">
        <v>0</v>
      </c>
    </row>
    <row r="586" spans="1:22" x14ac:dyDescent="0.25">
      <c r="A586" t="s">
        <v>682</v>
      </c>
      <c r="B586" t="s">
        <v>85</v>
      </c>
      <c r="C586" t="s">
        <v>86</v>
      </c>
      <c r="D586" t="s">
        <v>25</v>
      </c>
      <c r="E586" t="s">
        <v>45</v>
      </c>
      <c r="F586" t="s">
        <v>27</v>
      </c>
      <c r="G586" s="1">
        <v>45968</v>
      </c>
      <c r="H586" s="1">
        <v>46028</v>
      </c>
      <c r="I586">
        <v>60</v>
      </c>
      <c r="J586">
        <v>8611.68</v>
      </c>
      <c r="K586">
        <v>0</v>
      </c>
      <c r="L586">
        <v>8611.68</v>
      </c>
      <c r="N586" t="s">
        <v>59</v>
      </c>
      <c r="O586" t="s">
        <v>29</v>
      </c>
      <c r="Q586">
        <v>-145</v>
      </c>
      <c r="R586" t="s">
        <v>31</v>
      </c>
      <c r="S586" t="s">
        <v>30</v>
      </c>
      <c r="T586">
        <v>0.01</v>
      </c>
      <c r="U586" t="s">
        <v>31</v>
      </c>
      <c r="V586">
        <v>0</v>
      </c>
    </row>
    <row r="587" spans="1:22" x14ac:dyDescent="0.25">
      <c r="A587" t="s">
        <v>683</v>
      </c>
      <c r="B587" t="s">
        <v>43</v>
      </c>
      <c r="C587" t="s">
        <v>44</v>
      </c>
      <c r="D587" t="s">
        <v>25</v>
      </c>
      <c r="E587" t="s">
        <v>68</v>
      </c>
      <c r="F587" t="s">
        <v>50</v>
      </c>
      <c r="G587" s="1">
        <v>46128</v>
      </c>
      <c r="H587" s="1">
        <v>46158</v>
      </c>
      <c r="I587">
        <v>30</v>
      </c>
      <c r="J587">
        <v>15448.61</v>
      </c>
      <c r="K587">
        <v>15448.61</v>
      </c>
      <c r="L587">
        <v>0</v>
      </c>
      <c r="M587" s="1">
        <v>46169</v>
      </c>
      <c r="N587" t="s">
        <v>28</v>
      </c>
      <c r="O587" t="s">
        <v>29</v>
      </c>
      <c r="P587">
        <v>41</v>
      </c>
      <c r="Q587">
        <v>-11</v>
      </c>
      <c r="R587" t="s">
        <v>31</v>
      </c>
      <c r="S587" t="s">
        <v>30</v>
      </c>
      <c r="T587">
        <v>0.01</v>
      </c>
      <c r="U587" t="s">
        <v>31</v>
      </c>
      <c r="V587">
        <v>0</v>
      </c>
    </row>
    <row r="588" spans="1:22" x14ac:dyDescent="0.25">
      <c r="A588" t="s">
        <v>684</v>
      </c>
      <c r="B588" t="s">
        <v>88</v>
      </c>
      <c r="C588" t="s">
        <v>89</v>
      </c>
      <c r="D588" t="s">
        <v>35</v>
      </c>
      <c r="E588" t="s">
        <v>45</v>
      </c>
      <c r="F588" t="s">
        <v>27</v>
      </c>
      <c r="G588" s="1">
        <v>45744</v>
      </c>
      <c r="H588" s="1">
        <v>45834</v>
      </c>
      <c r="I588">
        <v>90</v>
      </c>
      <c r="J588">
        <v>71391.06</v>
      </c>
      <c r="K588">
        <v>71391.06</v>
      </c>
      <c r="L588">
        <v>0</v>
      </c>
      <c r="M588" s="1">
        <v>45832</v>
      </c>
      <c r="N588" t="s">
        <v>28</v>
      </c>
      <c r="O588" t="s">
        <v>29</v>
      </c>
      <c r="P588">
        <v>88</v>
      </c>
      <c r="Q588">
        <v>2</v>
      </c>
      <c r="R588" t="s">
        <v>30</v>
      </c>
      <c r="S588" t="s">
        <v>30</v>
      </c>
      <c r="T588">
        <v>5.0000000000000001E-3</v>
      </c>
      <c r="U588" t="s">
        <v>31</v>
      </c>
      <c r="V588">
        <v>0</v>
      </c>
    </row>
    <row r="589" spans="1:22" x14ac:dyDescent="0.25">
      <c r="A589" t="s">
        <v>685</v>
      </c>
      <c r="B589" t="s">
        <v>33</v>
      </c>
      <c r="C589" t="s">
        <v>34</v>
      </c>
      <c r="D589" t="s">
        <v>35</v>
      </c>
      <c r="E589" t="s">
        <v>40</v>
      </c>
      <c r="F589" t="s">
        <v>27</v>
      </c>
      <c r="G589" s="1">
        <v>46056</v>
      </c>
      <c r="H589" s="1">
        <v>46146</v>
      </c>
      <c r="I589">
        <v>90</v>
      </c>
      <c r="J589">
        <v>9724.4500000000007</v>
      </c>
      <c r="K589">
        <v>9724.4500000000007</v>
      </c>
      <c r="L589">
        <v>0</v>
      </c>
      <c r="M589" s="1">
        <v>46150</v>
      </c>
      <c r="N589" t="s">
        <v>28</v>
      </c>
      <c r="O589" t="s">
        <v>36</v>
      </c>
      <c r="P589">
        <v>94</v>
      </c>
      <c r="Q589">
        <v>-4</v>
      </c>
      <c r="R589" t="s">
        <v>31</v>
      </c>
      <c r="S589" t="s">
        <v>30</v>
      </c>
      <c r="T589">
        <v>5.0000000000000001E-3</v>
      </c>
      <c r="U589" t="s">
        <v>31</v>
      </c>
      <c r="V589">
        <v>0</v>
      </c>
    </row>
    <row r="590" spans="1:22" x14ac:dyDescent="0.25">
      <c r="A590" t="s">
        <v>686</v>
      </c>
      <c r="B590" t="s">
        <v>95</v>
      </c>
      <c r="C590" t="s">
        <v>96</v>
      </c>
      <c r="D590" t="s">
        <v>49</v>
      </c>
      <c r="E590" t="s">
        <v>26</v>
      </c>
      <c r="F590" t="s">
        <v>92</v>
      </c>
      <c r="G590" s="1">
        <v>45701</v>
      </c>
      <c r="H590" s="1">
        <v>45761</v>
      </c>
      <c r="I590">
        <v>60</v>
      </c>
      <c r="J590">
        <v>21464.38</v>
      </c>
      <c r="K590">
        <v>21464.38</v>
      </c>
      <c r="L590">
        <v>0</v>
      </c>
      <c r="M590" s="1">
        <v>45754</v>
      </c>
      <c r="N590" t="s">
        <v>28</v>
      </c>
      <c r="O590" t="s">
        <v>77</v>
      </c>
      <c r="P590">
        <v>53</v>
      </c>
      <c r="Q590">
        <v>7</v>
      </c>
      <c r="R590" t="s">
        <v>30</v>
      </c>
      <c r="S590" t="s">
        <v>30</v>
      </c>
      <c r="T590">
        <v>0.01</v>
      </c>
      <c r="U590" t="s">
        <v>31</v>
      </c>
      <c r="V590">
        <v>0</v>
      </c>
    </row>
    <row r="591" spans="1:22" x14ac:dyDescent="0.25">
      <c r="A591" t="s">
        <v>687</v>
      </c>
      <c r="B591" t="s">
        <v>82</v>
      </c>
      <c r="C591" t="s">
        <v>83</v>
      </c>
      <c r="D591" t="s">
        <v>58</v>
      </c>
      <c r="E591" t="s">
        <v>45</v>
      </c>
      <c r="F591" t="s">
        <v>50</v>
      </c>
      <c r="G591" s="1">
        <v>45731</v>
      </c>
      <c r="H591" s="1">
        <v>45761</v>
      </c>
      <c r="I591">
        <v>30</v>
      </c>
      <c r="J591">
        <v>4364.47</v>
      </c>
      <c r="K591">
        <v>4364.47</v>
      </c>
      <c r="L591">
        <v>0</v>
      </c>
      <c r="M591" s="1">
        <v>45744</v>
      </c>
      <c r="N591" t="s">
        <v>28</v>
      </c>
      <c r="O591" t="s">
        <v>36</v>
      </c>
      <c r="P591">
        <v>13</v>
      </c>
      <c r="Q591">
        <v>17</v>
      </c>
      <c r="R591" t="s">
        <v>30</v>
      </c>
      <c r="S591" t="s">
        <v>30</v>
      </c>
      <c r="T591">
        <v>0.01</v>
      </c>
      <c r="U591" t="s">
        <v>31</v>
      </c>
      <c r="V591">
        <v>0</v>
      </c>
    </row>
    <row r="592" spans="1:22" x14ac:dyDescent="0.25">
      <c r="A592" t="s">
        <v>688</v>
      </c>
      <c r="B592" t="s">
        <v>33</v>
      </c>
      <c r="C592" t="s">
        <v>34</v>
      </c>
      <c r="D592" t="s">
        <v>35</v>
      </c>
      <c r="E592" t="s">
        <v>40</v>
      </c>
      <c r="F592" t="s">
        <v>64</v>
      </c>
      <c r="G592" s="1">
        <v>45709</v>
      </c>
      <c r="H592" s="1">
        <v>45739</v>
      </c>
      <c r="I592">
        <v>30</v>
      </c>
      <c r="J592">
        <v>72849.679999999993</v>
      </c>
      <c r="K592">
        <v>72849.679999999993</v>
      </c>
      <c r="L592">
        <v>0</v>
      </c>
      <c r="M592" s="1">
        <v>45742</v>
      </c>
      <c r="N592" t="s">
        <v>28</v>
      </c>
      <c r="O592" t="s">
        <v>77</v>
      </c>
      <c r="P592">
        <v>33</v>
      </c>
      <c r="Q592">
        <v>-3</v>
      </c>
      <c r="R592" t="s">
        <v>31</v>
      </c>
      <c r="S592" t="s">
        <v>31</v>
      </c>
      <c r="T592">
        <v>0</v>
      </c>
      <c r="U592" t="s">
        <v>31</v>
      </c>
      <c r="V592">
        <v>0</v>
      </c>
    </row>
    <row r="593" spans="1:22" x14ac:dyDescent="0.25">
      <c r="A593" t="s">
        <v>689</v>
      </c>
      <c r="B593" t="s">
        <v>187</v>
      </c>
      <c r="C593" t="s">
        <v>188</v>
      </c>
      <c r="D593" t="s">
        <v>73</v>
      </c>
      <c r="E593" t="s">
        <v>40</v>
      </c>
      <c r="F593" t="s">
        <v>50</v>
      </c>
      <c r="G593" s="1">
        <v>45774</v>
      </c>
      <c r="H593" s="1">
        <v>45804</v>
      </c>
      <c r="I593">
        <v>30</v>
      </c>
      <c r="J593">
        <v>18405.740000000002</v>
      </c>
      <c r="K593">
        <v>18405.740000000002</v>
      </c>
      <c r="L593">
        <v>0</v>
      </c>
      <c r="M593" s="1">
        <v>45806</v>
      </c>
      <c r="N593" t="s">
        <v>28</v>
      </c>
      <c r="O593" t="s">
        <v>77</v>
      </c>
      <c r="P593">
        <v>32</v>
      </c>
      <c r="Q593">
        <v>-2</v>
      </c>
      <c r="R593" t="s">
        <v>31</v>
      </c>
      <c r="S593" t="s">
        <v>31</v>
      </c>
      <c r="T593">
        <v>0</v>
      </c>
      <c r="U593" t="s">
        <v>31</v>
      </c>
      <c r="V593">
        <v>0</v>
      </c>
    </row>
    <row r="594" spans="1:22" x14ac:dyDescent="0.25">
      <c r="A594" t="s">
        <v>690</v>
      </c>
      <c r="B594" t="s">
        <v>71</v>
      </c>
      <c r="C594" t="s">
        <v>72</v>
      </c>
      <c r="D594" t="s">
        <v>73</v>
      </c>
      <c r="E594" t="s">
        <v>45</v>
      </c>
      <c r="F594" t="s">
        <v>92</v>
      </c>
      <c r="G594" s="1">
        <v>45987</v>
      </c>
      <c r="H594" s="1">
        <v>46017</v>
      </c>
      <c r="I594">
        <v>30</v>
      </c>
      <c r="J594">
        <v>29602.09</v>
      </c>
      <c r="K594">
        <v>29602.09</v>
      </c>
      <c r="L594">
        <v>0</v>
      </c>
      <c r="M594" s="1">
        <v>46010</v>
      </c>
      <c r="N594" t="s">
        <v>28</v>
      </c>
      <c r="O594" t="s">
        <v>77</v>
      </c>
      <c r="P594">
        <v>23</v>
      </c>
      <c r="Q594">
        <v>7</v>
      </c>
      <c r="R594" t="s">
        <v>30</v>
      </c>
      <c r="S594" t="s">
        <v>31</v>
      </c>
      <c r="T594">
        <v>0</v>
      </c>
      <c r="U594" t="s">
        <v>31</v>
      </c>
      <c r="V594">
        <v>0</v>
      </c>
    </row>
    <row r="595" spans="1:22" x14ac:dyDescent="0.25">
      <c r="A595" t="s">
        <v>691</v>
      </c>
      <c r="B595" t="s">
        <v>66</v>
      </c>
      <c r="C595" t="s">
        <v>67</v>
      </c>
      <c r="D595" t="s">
        <v>35</v>
      </c>
      <c r="E595" t="s">
        <v>40</v>
      </c>
      <c r="F595" t="s">
        <v>92</v>
      </c>
      <c r="G595" s="1">
        <v>45938</v>
      </c>
      <c r="H595" s="1">
        <v>45968</v>
      </c>
      <c r="I595">
        <v>30</v>
      </c>
      <c r="J595">
        <v>15592.76</v>
      </c>
      <c r="K595">
        <v>15592.76</v>
      </c>
      <c r="L595">
        <v>0</v>
      </c>
      <c r="M595" s="1">
        <v>45960</v>
      </c>
      <c r="N595" t="s">
        <v>28</v>
      </c>
      <c r="O595" t="s">
        <v>77</v>
      </c>
      <c r="P595">
        <v>22</v>
      </c>
      <c r="Q595">
        <v>8</v>
      </c>
      <c r="R595" t="s">
        <v>30</v>
      </c>
      <c r="S595" t="s">
        <v>30</v>
      </c>
      <c r="T595">
        <v>0.01</v>
      </c>
      <c r="U595" t="s">
        <v>31</v>
      </c>
      <c r="V595">
        <v>0</v>
      </c>
    </row>
    <row r="596" spans="1:22" x14ac:dyDescent="0.25">
      <c r="A596" t="s">
        <v>692</v>
      </c>
      <c r="B596" t="s">
        <v>66</v>
      </c>
      <c r="C596" t="s">
        <v>67</v>
      </c>
      <c r="D596" t="s">
        <v>35</v>
      </c>
      <c r="E596" t="s">
        <v>26</v>
      </c>
      <c r="F596" t="s">
        <v>64</v>
      </c>
      <c r="G596" s="1">
        <v>45819</v>
      </c>
      <c r="H596" s="1">
        <v>45879</v>
      </c>
      <c r="I596">
        <v>60</v>
      </c>
      <c r="J596">
        <v>6172.27</v>
      </c>
      <c r="K596">
        <v>6172.27</v>
      </c>
      <c r="L596">
        <v>0</v>
      </c>
      <c r="M596" s="1">
        <v>45877</v>
      </c>
      <c r="N596" t="s">
        <v>28</v>
      </c>
      <c r="O596" t="s">
        <v>77</v>
      </c>
      <c r="P596">
        <v>58</v>
      </c>
      <c r="Q596">
        <v>2</v>
      </c>
      <c r="R596" t="s">
        <v>30</v>
      </c>
      <c r="S596" t="s">
        <v>30</v>
      </c>
      <c r="T596">
        <v>0.01</v>
      </c>
      <c r="U596" t="s">
        <v>31</v>
      </c>
      <c r="V596">
        <v>0</v>
      </c>
    </row>
    <row r="597" spans="1:22" x14ac:dyDescent="0.25">
      <c r="A597" t="s">
        <v>693</v>
      </c>
      <c r="B597" t="s">
        <v>120</v>
      </c>
      <c r="C597" t="s">
        <v>121</v>
      </c>
      <c r="D597" t="s">
        <v>54</v>
      </c>
      <c r="E597" t="s">
        <v>26</v>
      </c>
      <c r="F597" t="s">
        <v>50</v>
      </c>
      <c r="G597" s="1">
        <v>46145</v>
      </c>
      <c r="H597" s="1">
        <v>46205</v>
      </c>
      <c r="I597">
        <v>60</v>
      </c>
      <c r="J597">
        <v>10539.2</v>
      </c>
      <c r="K597">
        <v>10539.2</v>
      </c>
      <c r="L597">
        <v>0</v>
      </c>
      <c r="M597" s="1">
        <v>46173</v>
      </c>
      <c r="N597" t="s">
        <v>28</v>
      </c>
      <c r="O597" t="s">
        <v>29</v>
      </c>
      <c r="P597">
        <v>28</v>
      </c>
      <c r="Q597">
        <v>32</v>
      </c>
      <c r="R597" t="s">
        <v>30</v>
      </c>
      <c r="S597" t="s">
        <v>30</v>
      </c>
      <c r="T597">
        <v>0.01</v>
      </c>
      <c r="U597" t="s">
        <v>31</v>
      </c>
      <c r="V597">
        <v>0</v>
      </c>
    </row>
    <row r="598" spans="1:22" x14ac:dyDescent="0.25">
      <c r="A598" t="s">
        <v>694</v>
      </c>
      <c r="B598" t="s">
        <v>187</v>
      </c>
      <c r="C598" t="s">
        <v>188</v>
      </c>
      <c r="D598" t="s">
        <v>73</v>
      </c>
      <c r="E598" t="s">
        <v>26</v>
      </c>
      <c r="F598" t="s">
        <v>50</v>
      </c>
      <c r="G598" s="1">
        <v>45748</v>
      </c>
      <c r="H598" s="1">
        <v>45838</v>
      </c>
      <c r="I598">
        <v>90</v>
      </c>
      <c r="J598">
        <v>22697.32</v>
      </c>
      <c r="K598">
        <v>22697.32</v>
      </c>
      <c r="L598">
        <v>0</v>
      </c>
      <c r="M598" s="1">
        <v>45847</v>
      </c>
      <c r="N598" t="s">
        <v>28</v>
      </c>
      <c r="O598" t="s">
        <v>36</v>
      </c>
      <c r="P598">
        <v>99</v>
      </c>
      <c r="Q598">
        <v>-9</v>
      </c>
      <c r="R598" t="s">
        <v>31</v>
      </c>
      <c r="S598" t="s">
        <v>31</v>
      </c>
      <c r="T598">
        <v>0</v>
      </c>
      <c r="U598" t="s">
        <v>31</v>
      </c>
      <c r="V598">
        <v>0</v>
      </c>
    </row>
    <row r="599" spans="1:22" x14ac:dyDescent="0.25">
      <c r="A599" t="s">
        <v>695</v>
      </c>
      <c r="B599" t="s">
        <v>95</v>
      </c>
      <c r="C599" t="s">
        <v>96</v>
      </c>
      <c r="D599" t="s">
        <v>49</v>
      </c>
      <c r="E599" t="s">
        <v>63</v>
      </c>
      <c r="F599" t="s">
        <v>64</v>
      </c>
      <c r="G599" s="1">
        <v>45755</v>
      </c>
      <c r="H599" s="1">
        <v>45785</v>
      </c>
      <c r="I599">
        <v>30</v>
      </c>
      <c r="J599">
        <v>31708.21</v>
      </c>
      <c r="K599">
        <v>0</v>
      </c>
      <c r="L599">
        <v>31708.21</v>
      </c>
      <c r="N599" t="s">
        <v>59</v>
      </c>
      <c r="O599" t="s">
        <v>36</v>
      </c>
      <c r="Q599">
        <v>-388</v>
      </c>
      <c r="R599" t="s">
        <v>31</v>
      </c>
      <c r="S599" t="s">
        <v>31</v>
      </c>
      <c r="T599">
        <v>0</v>
      </c>
      <c r="U599" t="s">
        <v>31</v>
      </c>
      <c r="V599">
        <v>0</v>
      </c>
    </row>
    <row r="600" spans="1:22" x14ac:dyDescent="0.25">
      <c r="A600" t="s">
        <v>696</v>
      </c>
      <c r="B600" t="s">
        <v>82</v>
      </c>
      <c r="C600" t="s">
        <v>83</v>
      </c>
      <c r="D600" t="s">
        <v>58</v>
      </c>
      <c r="E600" t="s">
        <v>40</v>
      </c>
      <c r="F600" t="s">
        <v>41</v>
      </c>
      <c r="G600" s="1">
        <v>45712</v>
      </c>
      <c r="H600" s="1">
        <v>45757</v>
      </c>
      <c r="I600">
        <v>45</v>
      </c>
      <c r="J600">
        <v>10167.6</v>
      </c>
      <c r="K600">
        <v>10167.6</v>
      </c>
      <c r="L600">
        <v>0</v>
      </c>
      <c r="M600" s="1">
        <v>45765</v>
      </c>
      <c r="N600" t="s">
        <v>28</v>
      </c>
      <c r="O600" t="s">
        <v>36</v>
      </c>
      <c r="P600">
        <v>53</v>
      </c>
      <c r="Q600">
        <v>-8</v>
      </c>
      <c r="R600" t="s">
        <v>31</v>
      </c>
      <c r="S600" t="s">
        <v>31</v>
      </c>
      <c r="T600">
        <v>0</v>
      </c>
      <c r="U600" t="s">
        <v>31</v>
      </c>
      <c r="V600">
        <v>0</v>
      </c>
    </row>
    <row r="601" spans="1:22" x14ac:dyDescent="0.25">
      <c r="A601" t="s">
        <v>697</v>
      </c>
      <c r="B601" t="s">
        <v>120</v>
      </c>
      <c r="C601" t="s">
        <v>121</v>
      </c>
      <c r="D601" t="s">
        <v>54</v>
      </c>
      <c r="E601" t="s">
        <v>40</v>
      </c>
      <c r="F601" t="s">
        <v>27</v>
      </c>
      <c r="G601" s="1">
        <v>45949</v>
      </c>
      <c r="H601" s="1">
        <v>46009</v>
      </c>
      <c r="I601">
        <v>60</v>
      </c>
      <c r="J601">
        <v>3539.05</v>
      </c>
      <c r="K601">
        <v>3539.05</v>
      </c>
      <c r="L601">
        <v>0</v>
      </c>
      <c r="M601" s="1">
        <v>46008</v>
      </c>
      <c r="N601" t="s">
        <v>28</v>
      </c>
      <c r="O601" t="s">
        <v>77</v>
      </c>
      <c r="P601">
        <v>59</v>
      </c>
      <c r="Q601">
        <v>1</v>
      </c>
      <c r="R601" t="s">
        <v>30</v>
      </c>
      <c r="S601" t="s">
        <v>30</v>
      </c>
      <c r="T601">
        <v>0.01</v>
      </c>
      <c r="U601" t="s">
        <v>31</v>
      </c>
      <c r="V601">
        <v>0</v>
      </c>
    </row>
    <row r="602" spans="1:22" x14ac:dyDescent="0.25">
      <c r="A602" t="s">
        <v>698</v>
      </c>
      <c r="B602" t="s">
        <v>85</v>
      </c>
      <c r="C602" t="s">
        <v>86</v>
      </c>
      <c r="D602" t="s">
        <v>25</v>
      </c>
      <c r="E602" t="s">
        <v>45</v>
      </c>
      <c r="F602" t="s">
        <v>27</v>
      </c>
      <c r="G602" s="1">
        <v>45838</v>
      </c>
      <c r="H602" s="1">
        <v>45853</v>
      </c>
      <c r="I602">
        <v>15</v>
      </c>
      <c r="J602">
        <v>4002.87</v>
      </c>
      <c r="K602">
        <v>4002.87</v>
      </c>
      <c r="L602">
        <v>0</v>
      </c>
      <c r="M602" s="1">
        <v>45858</v>
      </c>
      <c r="N602" t="s">
        <v>28</v>
      </c>
      <c r="O602" t="s">
        <v>77</v>
      </c>
      <c r="P602">
        <v>20</v>
      </c>
      <c r="Q602">
        <v>-5</v>
      </c>
      <c r="R602" t="s">
        <v>31</v>
      </c>
      <c r="S602" t="s">
        <v>30</v>
      </c>
      <c r="T602">
        <v>0.02</v>
      </c>
      <c r="U602" t="s">
        <v>31</v>
      </c>
      <c r="V602">
        <v>0</v>
      </c>
    </row>
    <row r="603" spans="1:22" x14ac:dyDescent="0.25">
      <c r="A603" t="s">
        <v>699</v>
      </c>
      <c r="B603" t="s">
        <v>113</v>
      </c>
      <c r="C603" t="s">
        <v>114</v>
      </c>
      <c r="D603" t="s">
        <v>25</v>
      </c>
      <c r="E603" t="s">
        <v>63</v>
      </c>
      <c r="F603" t="s">
        <v>50</v>
      </c>
      <c r="G603" s="1">
        <v>45861</v>
      </c>
      <c r="H603" s="1">
        <v>45921</v>
      </c>
      <c r="I603">
        <v>60</v>
      </c>
      <c r="J603">
        <v>15194.65</v>
      </c>
      <c r="K603">
        <v>15194.65</v>
      </c>
      <c r="L603">
        <v>0</v>
      </c>
      <c r="M603" s="1">
        <v>45923</v>
      </c>
      <c r="N603" t="s">
        <v>28</v>
      </c>
      <c r="O603" t="s">
        <v>29</v>
      </c>
      <c r="P603">
        <v>62</v>
      </c>
      <c r="Q603">
        <v>-2</v>
      </c>
      <c r="R603" t="s">
        <v>31</v>
      </c>
      <c r="S603" t="s">
        <v>31</v>
      </c>
      <c r="T603">
        <v>0</v>
      </c>
      <c r="U603" t="s">
        <v>31</v>
      </c>
      <c r="V603">
        <v>0</v>
      </c>
    </row>
    <row r="604" spans="1:22" x14ac:dyDescent="0.25">
      <c r="A604" t="s">
        <v>700</v>
      </c>
      <c r="B604" t="s">
        <v>109</v>
      </c>
      <c r="C604" t="s">
        <v>110</v>
      </c>
      <c r="D604" t="s">
        <v>49</v>
      </c>
      <c r="E604" t="s">
        <v>68</v>
      </c>
      <c r="F604" t="s">
        <v>64</v>
      </c>
      <c r="G604" s="1">
        <v>46080</v>
      </c>
      <c r="H604" s="1">
        <v>46110</v>
      </c>
      <c r="I604">
        <v>30</v>
      </c>
      <c r="J604">
        <v>43754.54</v>
      </c>
      <c r="K604">
        <v>43754.54</v>
      </c>
      <c r="L604">
        <v>0</v>
      </c>
      <c r="M604" s="1">
        <v>46101</v>
      </c>
      <c r="N604" t="s">
        <v>28</v>
      </c>
      <c r="O604" t="s">
        <v>77</v>
      </c>
      <c r="P604">
        <v>21</v>
      </c>
      <c r="Q604">
        <v>9</v>
      </c>
      <c r="R604" t="s">
        <v>30</v>
      </c>
      <c r="S604" t="s">
        <v>30</v>
      </c>
      <c r="T604">
        <v>0.01</v>
      </c>
      <c r="U604" t="s">
        <v>31</v>
      </c>
      <c r="V604">
        <v>0</v>
      </c>
    </row>
    <row r="605" spans="1:22" x14ac:dyDescent="0.25">
      <c r="A605" t="s">
        <v>701</v>
      </c>
      <c r="B605" t="s">
        <v>38</v>
      </c>
      <c r="C605" t="s">
        <v>39</v>
      </c>
      <c r="D605" t="s">
        <v>35</v>
      </c>
      <c r="E605" t="s">
        <v>40</v>
      </c>
      <c r="F605" t="s">
        <v>64</v>
      </c>
      <c r="G605" s="1">
        <v>46054</v>
      </c>
      <c r="H605" s="1">
        <v>46084</v>
      </c>
      <c r="I605">
        <v>30</v>
      </c>
      <c r="J605">
        <v>33011.379999999997</v>
      </c>
      <c r="K605">
        <v>33011.379999999997</v>
      </c>
      <c r="L605">
        <v>0</v>
      </c>
      <c r="M605" s="1">
        <v>46085</v>
      </c>
      <c r="N605" t="s">
        <v>28</v>
      </c>
      <c r="O605" t="s">
        <v>69</v>
      </c>
      <c r="P605">
        <v>31</v>
      </c>
      <c r="Q605">
        <v>-1</v>
      </c>
      <c r="R605" t="s">
        <v>31</v>
      </c>
      <c r="S605" t="s">
        <v>30</v>
      </c>
      <c r="T605">
        <v>0.01</v>
      </c>
      <c r="U605" t="s">
        <v>31</v>
      </c>
      <c r="V605">
        <v>0</v>
      </c>
    </row>
    <row r="606" spans="1:22" x14ac:dyDescent="0.25">
      <c r="A606" t="s">
        <v>702</v>
      </c>
      <c r="B606" t="s">
        <v>128</v>
      </c>
      <c r="C606" t="s">
        <v>129</v>
      </c>
      <c r="D606" t="s">
        <v>73</v>
      </c>
      <c r="E606" t="s">
        <v>68</v>
      </c>
      <c r="F606" t="s">
        <v>64</v>
      </c>
      <c r="G606" s="1">
        <v>45690</v>
      </c>
      <c r="H606" s="1">
        <v>45720</v>
      </c>
      <c r="I606">
        <v>30</v>
      </c>
      <c r="J606">
        <v>24842.95</v>
      </c>
      <c r="K606">
        <v>24842.95</v>
      </c>
      <c r="L606">
        <v>0</v>
      </c>
      <c r="M606" s="1">
        <v>45725</v>
      </c>
      <c r="N606" t="s">
        <v>28</v>
      </c>
      <c r="O606" t="s">
        <v>29</v>
      </c>
      <c r="P606">
        <v>35</v>
      </c>
      <c r="Q606">
        <v>-5</v>
      </c>
      <c r="R606" t="s">
        <v>31</v>
      </c>
      <c r="S606" t="s">
        <v>30</v>
      </c>
      <c r="T606">
        <v>0.01</v>
      </c>
      <c r="U606" t="s">
        <v>31</v>
      </c>
      <c r="V606">
        <v>0</v>
      </c>
    </row>
    <row r="607" spans="1:22" x14ac:dyDescent="0.25">
      <c r="A607" t="s">
        <v>703</v>
      </c>
      <c r="B607" t="s">
        <v>120</v>
      </c>
      <c r="C607" t="s">
        <v>121</v>
      </c>
      <c r="D607" t="s">
        <v>54</v>
      </c>
      <c r="E607" t="s">
        <v>68</v>
      </c>
      <c r="F607" t="s">
        <v>64</v>
      </c>
      <c r="G607" s="1">
        <v>45832</v>
      </c>
      <c r="H607" s="1">
        <v>45862</v>
      </c>
      <c r="I607">
        <v>30</v>
      </c>
      <c r="J607">
        <v>8882.76</v>
      </c>
      <c r="K607">
        <v>8882.76</v>
      </c>
      <c r="L607">
        <v>0</v>
      </c>
      <c r="M607" s="1">
        <v>45855</v>
      </c>
      <c r="N607" t="s">
        <v>28</v>
      </c>
      <c r="O607" t="s">
        <v>29</v>
      </c>
      <c r="P607">
        <v>23</v>
      </c>
      <c r="Q607">
        <v>7</v>
      </c>
      <c r="R607" t="s">
        <v>30</v>
      </c>
      <c r="S607" t="s">
        <v>30</v>
      </c>
      <c r="T607">
        <v>0.01</v>
      </c>
      <c r="U607" t="s">
        <v>31</v>
      </c>
      <c r="V607">
        <v>0</v>
      </c>
    </row>
    <row r="608" spans="1:22" x14ac:dyDescent="0.25">
      <c r="A608" t="s">
        <v>704</v>
      </c>
      <c r="B608" t="s">
        <v>38</v>
      </c>
      <c r="C608" t="s">
        <v>39</v>
      </c>
      <c r="D608" t="s">
        <v>35</v>
      </c>
      <c r="E608" t="s">
        <v>63</v>
      </c>
      <c r="F608" t="s">
        <v>41</v>
      </c>
      <c r="G608" s="1">
        <v>46131</v>
      </c>
      <c r="H608" s="1">
        <v>46221</v>
      </c>
      <c r="I608">
        <v>90</v>
      </c>
      <c r="J608">
        <v>25937.82</v>
      </c>
      <c r="K608">
        <v>0</v>
      </c>
      <c r="L608">
        <v>25937.82</v>
      </c>
      <c r="N608" t="s">
        <v>93</v>
      </c>
      <c r="O608" t="s">
        <v>36</v>
      </c>
      <c r="S608" t="s">
        <v>31</v>
      </c>
      <c r="T608">
        <v>0</v>
      </c>
      <c r="U608" t="s">
        <v>31</v>
      </c>
      <c r="V608">
        <v>0</v>
      </c>
    </row>
    <row r="609" spans="1:22" x14ac:dyDescent="0.25">
      <c r="A609" t="s">
        <v>705</v>
      </c>
      <c r="B609" t="s">
        <v>143</v>
      </c>
      <c r="C609" t="s">
        <v>144</v>
      </c>
      <c r="D609" t="s">
        <v>25</v>
      </c>
      <c r="E609" t="s">
        <v>45</v>
      </c>
      <c r="F609" t="s">
        <v>50</v>
      </c>
      <c r="G609" s="1">
        <v>45663</v>
      </c>
      <c r="H609" s="1">
        <v>45693</v>
      </c>
      <c r="I609">
        <v>30</v>
      </c>
      <c r="J609">
        <v>8937.67</v>
      </c>
      <c r="K609">
        <v>0</v>
      </c>
      <c r="L609">
        <v>8937.67</v>
      </c>
      <c r="N609" t="s">
        <v>59</v>
      </c>
      <c r="O609" t="s">
        <v>36</v>
      </c>
      <c r="Q609">
        <v>-480</v>
      </c>
      <c r="R609" t="s">
        <v>31</v>
      </c>
      <c r="S609" t="s">
        <v>30</v>
      </c>
      <c r="T609">
        <v>0.01</v>
      </c>
      <c r="U609" t="s">
        <v>31</v>
      </c>
      <c r="V609">
        <v>0</v>
      </c>
    </row>
    <row r="610" spans="1:22" x14ac:dyDescent="0.25">
      <c r="A610" t="s">
        <v>706</v>
      </c>
      <c r="B610" t="s">
        <v>71</v>
      </c>
      <c r="C610" t="s">
        <v>72</v>
      </c>
      <c r="D610" t="s">
        <v>73</v>
      </c>
      <c r="E610" t="s">
        <v>63</v>
      </c>
      <c r="F610" t="s">
        <v>27</v>
      </c>
      <c r="G610" s="1">
        <v>46148</v>
      </c>
      <c r="H610" s="1">
        <v>46208</v>
      </c>
      <c r="I610">
        <v>60</v>
      </c>
      <c r="J610">
        <v>28720.65</v>
      </c>
      <c r="K610">
        <v>28720.65</v>
      </c>
      <c r="L610">
        <v>0</v>
      </c>
      <c r="M610" s="1">
        <v>46173</v>
      </c>
      <c r="N610" t="s">
        <v>28</v>
      </c>
      <c r="O610" t="s">
        <v>69</v>
      </c>
      <c r="P610">
        <v>25</v>
      </c>
      <c r="Q610">
        <v>35</v>
      </c>
      <c r="R610" t="s">
        <v>30</v>
      </c>
      <c r="S610" t="s">
        <v>30</v>
      </c>
      <c r="T610">
        <v>0.01</v>
      </c>
      <c r="U610" t="s">
        <v>31</v>
      </c>
      <c r="V610">
        <v>0</v>
      </c>
    </row>
    <row r="611" spans="1:22" x14ac:dyDescent="0.25">
      <c r="A611" t="s">
        <v>707</v>
      </c>
      <c r="B611" t="s">
        <v>61</v>
      </c>
      <c r="C611" t="s">
        <v>62</v>
      </c>
      <c r="D611" t="s">
        <v>35</v>
      </c>
      <c r="E611" t="s">
        <v>45</v>
      </c>
      <c r="F611" t="s">
        <v>64</v>
      </c>
      <c r="G611" s="1">
        <v>45960</v>
      </c>
      <c r="H611" s="1">
        <v>46020</v>
      </c>
      <c r="I611">
        <v>60</v>
      </c>
      <c r="J611">
        <v>22929.68</v>
      </c>
      <c r="K611">
        <v>22929.68</v>
      </c>
      <c r="L611">
        <v>0</v>
      </c>
      <c r="M611" s="1">
        <v>46026</v>
      </c>
      <c r="N611" t="s">
        <v>28</v>
      </c>
      <c r="O611" t="s">
        <v>36</v>
      </c>
      <c r="P611">
        <v>66</v>
      </c>
      <c r="Q611">
        <v>-6</v>
      </c>
      <c r="R611" t="s">
        <v>31</v>
      </c>
      <c r="S611" t="s">
        <v>31</v>
      </c>
      <c r="T611">
        <v>0</v>
      </c>
      <c r="U611" t="s">
        <v>31</v>
      </c>
      <c r="V611">
        <v>0</v>
      </c>
    </row>
    <row r="612" spans="1:22" x14ac:dyDescent="0.25">
      <c r="A612" t="s">
        <v>708</v>
      </c>
      <c r="B612" t="s">
        <v>56</v>
      </c>
      <c r="C612" t="s">
        <v>57</v>
      </c>
      <c r="D612" t="s">
        <v>58</v>
      </c>
      <c r="E612" t="s">
        <v>68</v>
      </c>
      <c r="F612" t="s">
        <v>64</v>
      </c>
      <c r="G612" s="1">
        <v>46123</v>
      </c>
      <c r="H612" s="1">
        <v>46138</v>
      </c>
      <c r="I612">
        <v>15</v>
      </c>
      <c r="J612">
        <v>20159.14</v>
      </c>
      <c r="K612">
        <v>0</v>
      </c>
      <c r="L612">
        <v>20159.14</v>
      </c>
      <c r="N612" t="s">
        <v>93</v>
      </c>
      <c r="O612" t="s">
        <v>69</v>
      </c>
      <c r="S612" t="s">
        <v>30</v>
      </c>
      <c r="T612">
        <v>0.02</v>
      </c>
      <c r="U612" t="s">
        <v>31</v>
      </c>
      <c r="V612">
        <v>0</v>
      </c>
    </row>
    <row r="613" spans="1:22" x14ac:dyDescent="0.25">
      <c r="A613" t="s">
        <v>709</v>
      </c>
      <c r="B613" t="s">
        <v>128</v>
      </c>
      <c r="C613" t="s">
        <v>129</v>
      </c>
      <c r="D613" t="s">
        <v>73</v>
      </c>
      <c r="E613" t="s">
        <v>45</v>
      </c>
      <c r="F613" t="s">
        <v>27</v>
      </c>
      <c r="G613" s="1">
        <v>45998</v>
      </c>
      <c r="H613" s="1">
        <v>46058</v>
      </c>
      <c r="I613">
        <v>60</v>
      </c>
      <c r="J613">
        <v>19520.37</v>
      </c>
      <c r="K613">
        <v>19520.37</v>
      </c>
      <c r="L613">
        <v>0</v>
      </c>
      <c r="M613" s="1">
        <v>46055</v>
      </c>
      <c r="N613" t="s">
        <v>28</v>
      </c>
      <c r="O613" t="s">
        <v>77</v>
      </c>
      <c r="P613">
        <v>57</v>
      </c>
      <c r="Q613">
        <v>3</v>
      </c>
      <c r="R613" t="s">
        <v>30</v>
      </c>
      <c r="S613" t="s">
        <v>30</v>
      </c>
      <c r="T613">
        <v>0.01</v>
      </c>
      <c r="U613" t="s">
        <v>31</v>
      </c>
      <c r="V613">
        <v>0</v>
      </c>
    </row>
    <row r="614" spans="1:22" x14ac:dyDescent="0.25">
      <c r="A614" t="s">
        <v>710</v>
      </c>
      <c r="B614" t="s">
        <v>66</v>
      </c>
      <c r="C614" t="s">
        <v>67</v>
      </c>
      <c r="D614" t="s">
        <v>35</v>
      </c>
      <c r="E614" t="s">
        <v>40</v>
      </c>
      <c r="F614" t="s">
        <v>27</v>
      </c>
      <c r="G614" s="1">
        <v>46030</v>
      </c>
      <c r="H614" s="1">
        <v>46045</v>
      </c>
      <c r="I614">
        <v>15</v>
      </c>
      <c r="J614">
        <v>71598.34</v>
      </c>
      <c r="K614">
        <v>71598.34</v>
      </c>
      <c r="L614">
        <v>0</v>
      </c>
      <c r="M614" s="1">
        <v>46035</v>
      </c>
      <c r="N614" t="s">
        <v>28</v>
      </c>
      <c r="O614" t="s">
        <v>29</v>
      </c>
      <c r="P614">
        <v>5</v>
      </c>
      <c r="Q614">
        <v>10</v>
      </c>
      <c r="R614" t="s">
        <v>30</v>
      </c>
      <c r="S614" t="s">
        <v>30</v>
      </c>
      <c r="T614">
        <v>0.02</v>
      </c>
      <c r="U614" t="s">
        <v>30</v>
      </c>
      <c r="V614">
        <v>1431.97</v>
      </c>
    </row>
    <row r="615" spans="1:22" x14ac:dyDescent="0.25">
      <c r="A615" t="s">
        <v>711</v>
      </c>
      <c r="B615" t="s">
        <v>187</v>
      </c>
      <c r="C615" t="s">
        <v>188</v>
      </c>
      <c r="D615" t="s">
        <v>73</v>
      </c>
      <c r="E615" t="s">
        <v>26</v>
      </c>
      <c r="F615" t="s">
        <v>92</v>
      </c>
      <c r="G615" s="1">
        <v>45726</v>
      </c>
      <c r="H615" s="1">
        <v>45756</v>
      </c>
      <c r="I615">
        <v>30</v>
      </c>
      <c r="J615">
        <v>20505.02</v>
      </c>
      <c r="K615">
        <v>20505.02</v>
      </c>
      <c r="L615">
        <v>0</v>
      </c>
      <c r="M615" s="1">
        <v>45751</v>
      </c>
      <c r="N615" t="s">
        <v>28</v>
      </c>
      <c r="O615" t="s">
        <v>29</v>
      </c>
      <c r="P615">
        <v>25</v>
      </c>
      <c r="Q615">
        <v>5</v>
      </c>
      <c r="R615" t="s">
        <v>30</v>
      </c>
      <c r="S615" t="s">
        <v>31</v>
      </c>
      <c r="T615">
        <v>0</v>
      </c>
      <c r="U615" t="s">
        <v>31</v>
      </c>
      <c r="V615">
        <v>0</v>
      </c>
    </row>
    <row r="616" spans="1:22" x14ac:dyDescent="0.25">
      <c r="A616" t="s">
        <v>712</v>
      </c>
      <c r="B616" t="s">
        <v>23</v>
      </c>
      <c r="C616" t="s">
        <v>24</v>
      </c>
      <c r="D616" t="s">
        <v>25</v>
      </c>
      <c r="E616" t="s">
        <v>45</v>
      </c>
      <c r="F616" t="s">
        <v>50</v>
      </c>
      <c r="G616" s="1">
        <v>45986</v>
      </c>
      <c r="H616" s="1">
        <v>46016</v>
      </c>
      <c r="I616">
        <v>30</v>
      </c>
      <c r="J616">
        <v>7701.52</v>
      </c>
      <c r="K616">
        <v>7701.52</v>
      </c>
      <c r="L616">
        <v>0</v>
      </c>
      <c r="M616" s="1">
        <v>46024</v>
      </c>
      <c r="N616" t="s">
        <v>28</v>
      </c>
      <c r="O616" t="s">
        <v>36</v>
      </c>
      <c r="P616">
        <v>38</v>
      </c>
      <c r="Q616">
        <v>-8</v>
      </c>
      <c r="R616" t="s">
        <v>31</v>
      </c>
      <c r="S616" t="s">
        <v>30</v>
      </c>
      <c r="T616">
        <v>0.01</v>
      </c>
      <c r="U616" t="s">
        <v>31</v>
      </c>
      <c r="V616">
        <v>0</v>
      </c>
    </row>
    <row r="617" spans="1:22" x14ac:dyDescent="0.25">
      <c r="A617" t="s">
        <v>713</v>
      </c>
      <c r="B617" t="s">
        <v>131</v>
      </c>
      <c r="C617" t="s">
        <v>132</v>
      </c>
      <c r="D617" t="s">
        <v>49</v>
      </c>
      <c r="E617" t="s">
        <v>26</v>
      </c>
      <c r="F617" t="s">
        <v>27</v>
      </c>
      <c r="G617" s="1">
        <v>46121</v>
      </c>
      <c r="H617" s="1">
        <v>46181</v>
      </c>
      <c r="I617">
        <v>60</v>
      </c>
      <c r="J617">
        <v>25338.89</v>
      </c>
      <c r="K617">
        <v>25338.89</v>
      </c>
      <c r="L617">
        <v>0</v>
      </c>
      <c r="M617" s="1">
        <v>46173</v>
      </c>
      <c r="N617" t="s">
        <v>28</v>
      </c>
      <c r="O617" t="s">
        <v>29</v>
      </c>
      <c r="P617">
        <v>52</v>
      </c>
      <c r="Q617">
        <v>8</v>
      </c>
      <c r="R617" t="s">
        <v>30</v>
      </c>
      <c r="S617" t="s">
        <v>30</v>
      </c>
      <c r="T617">
        <v>0.01</v>
      </c>
      <c r="U617" t="s">
        <v>31</v>
      </c>
      <c r="V617">
        <v>0</v>
      </c>
    </row>
    <row r="618" spans="1:22" x14ac:dyDescent="0.25">
      <c r="A618" t="s">
        <v>714</v>
      </c>
      <c r="B618" t="s">
        <v>88</v>
      </c>
      <c r="C618" t="s">
        <v>89</v>
      </c>
      <c r="D618" t="s">
        <v>35</v>
      </c>
      <c r="E618" t="s">
        <v>45</v>
      </c>
      <c r="F618" t="s">
        <v>50</v>
      </c>
      <c r="G618" s="1">
        <v>45850</v>
      </c>
      <c r="H618" s="1">
        <v>45880</v>
      </c>
      <c r="I618">
        <v>30</v>
      </c>
      <c r="J618">
        <v>71892.740000000005</v>
      </c>
      <c r="K618">
        <v>71892.740000000005</v>
      </c>
      <c r="L618">
        <v>0</v>
      </c>
      <c r="M618" s="1">
        <v>45872</v>
      </c>
      <c r="N618" t="s">
        <v>28</v>
      </c>
      <c r="O618" t="s">
        <v>29</v>
      </c>
      <c r="P618">
        <v>22</v>
      </c>
      <c r="Q618">
        <v>8</v>
      </c>
      <c r="R618" t="s">
        <v>30</v>
      </c>
      <c r="S618" t="s">
        <v>30</v>
      </c>
      <c r="T618">
        <v>0.01</v>
      </c>
      <c r="U618" t="s">
        <v>31</v>
      </c>
      <c r="V618">
        <v>0</v>
      </c>
    </row>
    <row r="619" spans="1:22" x14ac:dyDescent="0.25">
      <c r="A619" t="s">
        <v>715</v>
      </c>
      <c r="B619" t="s">
        <v>120</v>
      </c>
      <c r="C619" t="s">
        <v>121</v>
      </c>
      <c r="D619" t="s">
        <v>54</v>
      </c>
      <c r="E619" t="s">
        <v>68</v>
      </c>
      <c r="F619" t="s">
        <v>27</v>
      </c>
      <c r="G619" s="1">
        <v>45940</v>
      </c>
      <c r="H619" s="1">
        <v>45970</v>
      </c>
      <c r="I619">
        <v>30</v>
      </c>
      <c r="J619">
        <v>2124.36</v>
      </c>
      <c r="K619">
        <v>2124.36</v>
      </c>
      <c r="L619">
        <v>0</v>
      </c>
      <c r="M619" s="1">
        <v>45975</v>
      </c>
      <c r="N619" t="s">
        <v>28</v>
      </c>
      <c r="O619" t="s">
        <v>77</v>
      </c>
      <c r="P619">
        <v>35</v>
      </c>
      <c r="Q619">
        <v>-5</v>
      </c>
      <c r="R619" t="s">
        <v>31</v>
      </c>
      <c r="S619" t="s">
        <v>30</v>
      </c>
      <c r="T619">
        <v>0.01</v>
      </c>
      <c r="U619" t="s">
        <v>31</v>
      </c>
      <c r="V619">
        <v>0</v>
      </c>
    </row>
    <row r="620" spans="1:22" x14ac:dyDescent="0.25">
      <c r="A620" t="s">
        <v>716</v>
      </c>
      <c r="B620" t="s">
        <v>95</v>
      </c>
      <c r="C620" t="s">
        <v>96</v>
      </c>
      <c r="D620" t="s">
        <v>49</v>
      </c>
      <c r="E620" t="s">
        <v>68</v>
      </c>
      <c r="F620" t="s">
        <v>41</v>
      </c>
      <c r="G620" s="1">
        <v>46013</v>
      </c>
      <c r="H620" s="1">
        <v>46103</v>
      </c>
      <c r="I620">
        <v>90</v>
      </c>
      <c r="J620">
        <v>22166.240000000002</v>
      </c>
      <c r="K620">
        <v>22166.240000000002</v>
      </c>
      <c r="L620">
        <v>0</v>
      </c>
      <c r="M620" s="1">
        <v>46121</v>
      </c>
      <c r="N620" t="s">
        <v>28</v>
      </c>
      <c r="O620" t="s">
        <v>36</v>
      </c>
      <c r="P620">
        <v>108</v>
      </c>
      <c r="Q620">
        <v>-18</v>
      </c>
      <c r="R620" t="s">
        <v>31</v>
      </c>
      <c r="S620" t="s">
        <v>31</v>
      </c>
      <c r="T620">
        <v>0</v>
      </c>
      <c r="U620" t="s">
        <v>31</v>
      </c>
      <c r="V620">
        <v>0</v>
      </c>
    </row>
    <row r="621" spans="1:22" x14ac:dyDescent="0.25">
      <c r="A621" t="s">
        <v>717</v>
      </c>
      <c r="B621" t="s">
        <v>153</v>
      </c>
      <c r="C621" t="s">
        <v>154</v>
      </c>
      <c r="D621" t="s">
        <v>58</v>
      </c>
      <c r="E621" t="s">
        <v>26</v>
      </c>
      <c r="F621" t="s">
        <v>27</v>
      </c>
      <c r="G621" s="1">
        <v>46079</v>
      </c>
      <c r="H621" s="1">
        <v>46139</v>
      </c>
      <c r="I621">
        <v>60</v>
      </c>
      <c r="J621">
        <v>24412.07</v>
      </c>
      <c r="K621">
        <v>15451.07</v>
      </c>
      <c r="L621">
        <v>8961</v>
      </c>
      <c r="M621" s="1">
        <v>46150</v>
      </c>
      <c r="N621" t="s">
        <v>98</v>
      </c>
      <c r="O621" t="s">
        <v>36</v>
      </c>
      <c r="P621">
        <v>71</v>
      </c>
      <c r="Q621">
        <v>-11</v>
      </c>
      <c r="R621" t="s">
        <v>31</v>
      </c>
      <c r="S621" t="s">
        <v>30</v>
      </c>
      <c r="T621">
        <v>0.01</v>
      </c>
      <c r="U621" t="s">
        <v>31</v>
      </c>
      <c r="V621">
        <v>0</v>
      </c>
    </row>
    <row r="622" spans="1:22" x14ac:dyDescent="0.25">
      <c r="A622" t="s">
        <v>718</v>
      </c>
      <c r="B622" t="s">
        <v>79</v>
      </c>
      <c r="C622" t="s">
        <v>80</v>
      </c>
      <c r="D622" t="s">
        <v>49</v>
      </c>
      <c r="E622" t="s">
        <v>45</v>
      </c>
      <c r="F622" t="s">
        <v>41</v>
      </c>
      <c r="G622" s="1">
        <v>45971</v>
      </c>
      <c r="H622" s="1">
        <v>46001</v>
      </c>
      <c r="I622">
        <v>30</v>
      </c>
      <c r="J622">
        <v>10243.379999999999</v>
      </c>
      <c r="K622">
        <v>10243.379999999999</v>
      </c>
      <c r="L622">
        <v>0</v>
      </c>
      <c r="M622" s="1">
        <v>46014</v>
      </c>
      <c r="N622" t="s">
        <v>28</v>
      </c>
      <c r="O622" t="s">
        <v>29</v>
      </c>
      <c r="P622">
        <v>43</v>
      </c>
      <c r="Q622">
        <v>-13</v>
      </c>
      <c r="R622" t="s">
        <v>31</v>
      </c>
      <c r="S622" t="s">
        <v>30</v>
      </c>
      <c r="T622">
        <v>0.01</v>
      </c>
      <c r="U622" t="s">
        <v>31</v>
      </c>
      <c r="V622">
        <v>0</v>
      </c>
    </row>
    <row r="623" spans="1:22" x14ac:dyDescent="0.25">
      <c r="A623" t="s">
        <v>719</v>
      </c>
      <c r="B623" t="s">
        <v>33</v>
      </c>
      <c r="C623" t="s">
        <v>34</v>
      </c>
      <c r="D623" t="s">
        <v>35</v>
      </c>
      <c r="E623" t="s">
        <v>40</v>
      </c>
      <c r="F623" t="s">
        <v>92</v>
      </c>
      <c r="G623" s="1">
        <v>45828</v>
      </c>
      <c r="H623" s="1">
        <v>45918</v>
      </c>
      <c r="I623">
        <v>90</v>
      </c>
      <c r="J623">
        <v>51397.27</v>
      </c>
      <c r="K623">
        <v>51397.27</v>
      </c>
      <c r="L623">
        <v>0</v>
      </c>
      <c r="M623" s="1">
        <v>45916</v>
      </c>
      <c r="N623" t="s">
        <v>28</v>
      </c>
      <c r="O623" t="s">
        <v>29</v>
      </c>
      <c r="P623">
        <v>88</v>
      </c>
      <c r="Q623">
        <v>2</v>
      </c>
      <c r="R623" t="s">
        <v>30</v>
      </c>
      <c r="S623" t="s">
        <v>30</v>
      </c>
      <c r="T623">
        <v>5.0000000000000001E-3</v>
      </c>
      <c r="U623" t="s">
        <v>31</v>
      </c>
      <c r="V623">
        <v>0</v>
      </c>
    </row>
    <row r="624" spans="1:22" x14ac:dyDescent="0.25">
      <c r="A624" t="s">
        <v>720</v>
      </c>
      <c r="B624" t="s">
        <v>120</v>
      </c>
      <c r="C624" t="s">
        <v>121</v>
      </c>
      <c r="D624" t="s">
        <v>54</v>
      </c>
      <c r="E624" t="s">
        <v>40</v>
      </c>
      <c r="F624" t="s">
        <v>64</v>
      </c>
      <c r="G624" s="1">
        <v>45777</v>
      </c>
      <c r="H624" s="1">
        <v>45807</v>
      </c>
      <c r="I624">
        <v>30</v>
      </c>
      <c r="J624">
        <v>1096.7</v>
      </c>
      <c r="K624">
        <v>1096.7</v>
      </c>
      <c r="L624">
        <v>0</v>
      </c>
      <c r="M624" s="1">
        <v>45807</v>
      </c>
      <c r="N624" t="s">
        <v>28</v>
      </c>
      <c r="O624" t="s">
        <v>36</v>
      </c>
      <c r="P624">
        <v>30</v>
      </c>
      <c r="Q624">
        <v>0</v>
      </c>
      <c r="R624" t="s">
        <v>30</v>
      </c>
      <c r="S624" t="s">
        <v>30</v>
      </c>
      <c r="T624">
        <v>0.01</v>
      </c>
      <c r="U624" t="s">
        <v>31</v>
      </c>
      <c r="V624">
        <v>0</v>
      </c>
    </row>
    <row r="625" spans="1:22" x14ac:dyDescent="0.25">
      <c r="A625" t="s">
        <v>721</v>
      </c>
      <c r="B625" t="s">
        <v>79</v>
      </c>
      <c r="C625" t="s">
        <v>80</v>
      </c>
      <c r="D625" t="s">
        <v>49</v>
      </c>
      <c r="E625" t="s">
        <v>26</v>
      </c>
      <c r="F625" t="s">
        <v>92</v>
      </c>
      <c r="G625" s="1">
        <v>46039</v>
      </c>
      <c r="H625" s="1">
        <v>46069</v>
      </c>
      <c r="I625">
        <v>30</v>
      </c>
      <c r="J625">
        <v>23524.6</v>
      </c>
      <c r="K625">
        <v>23524.6</v>
      </c>
      <c r="L625">
        <v>0</v>
      </c>
      <c r="M625" s="1">
        <v>46074</v>
      </c>
      <c r="N625" t="s">
        <v>28</v>
      </c>
      <c r="O625" t="s">
        <v>29</v>
      </c>
      <c r="P625">
        <v>35</v>
      </c>
      <c r="Q625">
        <v>-5</v>
      </c>
      <c r="R625" t="s">
        <v>31</v>
      </c>
      <c r="S625" t="s">
        <v>31</v>
      </c>
      <c r="T625">
        <v>0</v>
      </c>
      <c r="U625" t="s">
        <v>31</v>
      </c>
      <c r="V625">
        <v>0</v>
      </c>
    </row>
    <row r="626" spans="1:22" x14ac:dyDescent="0.25">
      <c r="A626" t="s">
        <v>722</v>
      </c>
      <c r="B626" t="s">
        <v>109</v>
      </c>
      <c r="C626" t="s">
        <v>110</v>
      </c>
      <c r="D626" t="s">
        <v>49</v>
      </c>
      <c r="E626" t="s">
        <v>26</v>
      </c>
      <c r="F626" t="s">
        <v>41</v>
      </c>
      <c r="G626" s="1">
        <v>46127</v>
      </c>
      <c r="H626" s="1">
        <v>46157</v>
      </c>
      <c r="I626">
        <v>30</v>
      </c>
      <c r="J626">
        <v>46534.94</v>
      </c>
      <c r="K626">
        <v>0</v>
      </c>
      <c r="L626">
        <v>46534.94</v>
      </c>
      <c r="N626" t="s">
        <v>59</v>
      </c>
      <c r="O626" t="s">
        <v>69</v>
      </c>
      <c r="Q626">
        <v>-16</v>
      </c>
      <c r="R626" t="s">
        <v>31</v>
      </c>
      <c r="S626" t="s">
        <v>30</v>
      </c>
      <c r="T626">
        <v>0.01</v>
      </c>
      <c r="U626" t="s">
        <v>31</v>
      </c>
      <c r="V626">
        <v>0</v>
      </c>
    </row>
    <row r="627" spans="1:22" x14ac:dyDescent="0.25">
      <c r="A627" t="s">
        <v>723</v>
      </c>
      <c r="B627" t="s">
        <v>82</v>
      </c>
      <c r="C627" t="s">
        <v>83</v>
      </c>
      <c r="D627" t="s">
        <v>58</v>
      </c>
      <c r="E627" t="s">
        <v>68</v>
      </c>
      <c r="F627" t="s">
        <v>92</v>
      </c>
      <c r="G627" s="1">
        <v>45808</v>
      </c>
      <c r="H627" s="1">
        <v>45853</v>
      </c>
      <c r="I627">
        <v>45</v>
      </c>
      <c r="J627">
        <v>32584.32</v>
      </c>
      <c r="K627">
        <v>0</v>
      </c>
      <c r="L627">
        <v>32584.32</v>
      </c>
      <c r="N627" t="s">
        <v>59</v>
      </c>
      <c r="O627" t="s">
        <v>69</v>
      </c>
      <c r="Q627">
        <v>-320</v>
      </c>
      <c r="R627" t="s">
        <v>31</v>
      </c>
      <c r="S627" t="s">
        <v>31</v>
      </c>
      <c r="T627">
        <v>0</v>
      </c>
      <c r="U627" t="s">
        <v>31</v>
      </c>
      <c r="V627">
        <v>0</v>
      </c>
    </row>
    <row r="628" spans="1:22" x14ac:dyDescent="0.25">
      <c r="A628" t="s">
        <v>724</v>
      </c>
      <c r="B628" t="s">
        <v>143</v>
      </c>
      <c r="C628" t="s">
        <v>144</v>
      </c>
      <c r="D628" t="s">
        <v>25</v>
      </c>
      <c r="E628" t="s">
        <v>26</v>
      </c>
      <c r="F628" t="s">
        <v>41</v>
      </c>
      <c r="G628" s="1">
        <v>45777</v>
      </c>
      <c r="H628" s="1">
        <v>45807</v>
      </c>
      <c r="I628">
        <v>30</v>
      </c>
      <c r="J628">
        <v>6853.56</v>
      </c>
      <c r="K628">
        <v>3584.32</v>
      </c>
      <c r="L628">
        <v>3269.24</v>
      </c>
      <c r="M628" s="1">
        <v>45804</v>
      </c>
      <c r="N628" t="s">
        <v>98</v>
      </c>
      <c r="O628" t="s">
        <v>77</v>
      </c>
      <c r="P628">
        <v>27</v>
      </c>
      <c r="Q628">
        <v>3</v>
      </c>
      <c r="R628" t="s">
        <v>30</v>
      </c>
      <c r="S628" t="s">
        <v>30</v>
      </c>
      <c r="T628">
        <v>0.01</v>
      </c>
      <c r="U628" t="s">
        <v>31</v>
      </c>
      <c r="V628">
        <v>0</v>
      </c>
    </row>
    <row r="629" spans="1:22" x14ac:dyDescent="0.25">
      <c r="A629" t="s">
        <v>725</v>
      </c>
      <c r="B629" t="s">
        <v>143</v>
      </c>
      <c r="C629" t="s">
        <v>144</v>
      </c>
      <c r="D629" t="s">
        <v>25</v>
      </c>
      <c r="E629" t="s">
        <v>26</v>
      </c>
      <c r="F629" t="s">
        <v>50</v>
      </c>
      <c r="G629" s="1">
        <v>45942</v>
      </c>
      <c r="H629" s="1">
        <v>45972</v>
      </c>
      <c r="I629">
        <v>30</v>
      </c>
      <c r="J629">
        <v>4718.6000000000004</v>
      </c>
      <c r="K629">
        <v>3012.98</v>
      </c>
      <c r="L629">
        <v>1705.62</v>
      </c>
      <c r="M629" s="1">
        <v>45969</v>
      </c>
      <c r="N629" t="s">
        <v>98</v>
      </c>
      <c r="O629" t="s">
        <v>36</v>
      </c>
      <c r="P629">
        <v>27</v>
      </c>
      <c r="Q629">
        <v>3</v>
      </c>
      <c r="R629" t="s">
        <v>30</v>
      </c>
      <c r="S629" t="s">
        <v>30</v>
      </c>
      <c r="T629">
        <v>0.01</v>
      </c>
      <c r="U629" t="s">
        <v>31</v>
      </c>
      <c r="V629">
        <v>0</v>
      </c>
    </row>
    <row r="630" spans="1:22" x14ac:dyDescent="0.25">
      <c r="A630" t="s">
        <v>726</v>
      </c>
      <c r="B630" t="s">
        <v>82</v>
      </c>
      <c r="C630" t="s">
        <v>83</v>
      </c>
      <c r="D630" t="s">
        <v>58</v>
      </c>
      <c r="E630" t="s">
        <v>45</v>
      </c>
      <c r="F630" t="s">
        <v>64</v>
      </c>
      <c r="G630" s="1">
        <v>45715</v>
      </c>
      <c r="H630" s="1">
        <v>45775</v>
      </c>
      <c r="I630">
        <v>60</v>
      </c>
      <c r="J630">
        <v>36612.54</v>
      </c>
      <c r="K630">
        <v>36612.54</v>
      </c>
      <c r="L630">
        <v>0</v>
      </c>
      <c r="M630" s="1">
        <v>45779</v>
      </c>
      <c r="N630" t="s">
        <v>28</v>
      </c>
      <c r="O630" t="s">
        <v>69</v>
      </c>
      <c r="P630">
        <v>64</v>
      </c>
      <c r="Q630">
        <v>-4</v>
      </c>
      <c r="R630" t="s">
        <v>31</v>
      </c>
      <c r="S630" t="s">
        <v>30</v>
      </c>
      <c r="T630">
        <v>0.01</v>
      </c>
      <c r="U630" t="s">
        <v>31</v>
      </c>
      <c r="V630">
        <v>0</v>
      </c>
    </row>
    <row r="631" spans="1:22" x14ac:dyDescent="0.25">
      <c r="A631" t="s">
        <v>727</v>
      </c>
      <c r="B631" t="s">
        <v>128</v>
      </c>
      <c r="C631" t="s">
        <v>129</v>
      </c>
      <c r="D631" t="s">
        <v>73</v>
      </c>
      <c r="E631" t="s">
        <v>26</v>
      </c>
      <c r="F631" t="s">
        <v>92</v>
      </c>
      <c r="G631" s="1">
        <v>45973</v>
      </c>
      <c r="H631" s="1">
        <v>46033</v>
      </c>
      <c r="I631">
        <v>60</v>
      </c>
      <c r="J631">
        <v>34258.28</v>
      </c>
      <c r="K631">
        <v>34258.28</v>
      </c>
      <c r="L631">
        <v>0</v>
      </c>
      <c r="M631" s="1">
        <v>46027</v>
      </c>
      <c r="N631" t="s">
        <v>28</v>
      </c>
      <c r="O631" t="s">
        <v>29</v>
      </c>
      <c r="P631">
        <v>54</v>
      </c>
      <c r="Q631">
        <v>6</v>
      </c>
      <c r="R631" t="s">
        <v>30</v>
      </c>
      <c r="S631" t="s">
        <v>31</v>
      </c>
      <c r="T631">
        <v>0</v>
      </c>
      <c r="U631" t="s">
        <v>31</v>
      </c>
      <c r="V631">
        <v>0</v>
      </c>
    </row>
    <row r="632" spans="1:22" x14ac:dyDescent="0.25">
      <c r="A632" t="s">
        <v>728</v>
      </c>
      <c r="B632" t="s">
        <v>71</v>
      </c>
      <c r="C632" t="s">
        <v>72</v>
      </c>
      <c r="D632" t="s">
        <v>73</v>
      </c>
      <c r="E632" t="s">
        <v>45</v>
      </c>
      <c r="F632" t="s">
        <v>41</v>
      </c>
      <c r="G632" s="1">
        <v>45825</v>
      </c>
      <c r="H632" s="1">
        <v>45870</v>
      </c>
      <c r="I632">
        <v>45</v>
      </c>
      <c r="J632">
        <v>28587.200000000001</v>
      </c>
      <c r="K632">
        <v>28587.200000000001</v>
      </c>
      <c r="L632">
        <v>0</v>
      </c>
      <c r="M632" s="1">
        <v>45873</v>
      </c>
      <c r="N632" t="s">
        <v>28</v>
      </c>
      <c r="O632" t="s">
        <v>69</v>
      </c>
      <c r="P632">
        <v>48</v>
      </c>
      <c r="Q632">
        <v>-3</v>
      </c>
      <c r="R632" t="s">
        <v>31</v>
      </c>
      <c r="S632" t="s">
        <v>31</v>
      </c>
      <c r="T632">
        <v>0</v>
      </c>
      <c r="U632" t="s">
        <v>31</v>
      </c>
      <c r="V632">
        <v>0</v>
      </c>
    </row>
    <row r="633" spans="1:22" x14ac:dyDescent="0.25">
      <c r="A633" t="s">
        <v>729</v>
      </c>
      <c r="B633" t="s">
        <v>66</v>
      </c>
      <c r="C633" t="s">
        <v>67</v>
      </c>
      <c r="D633" t="s">
        <v>35</v>
      </c>
      <c r="E633" t="s">
        <v>63</v>
      </c>
      <c r="F633" t="s">
        <v>27</v>
      </c>
      <c r="G633" s="1">
        <v>45968</v>
      </c>
      <c r="H633" s="1">
        <v>45998</v>
      </c>
      <c r="I633">
        <v>30</v>
      </c>
      <c r="J633">
        <v>40595.980000000003</v>
      </c>
      <c r="K633">
        <v>0</v>
      </c>
      <c r="L633">
        <v>40595.980000000003</v>
      </c>
      <c r="N633" t="s">
        <v>59</v>
      </c>
      <c r="O633" t="s">
        <v>36</v>
      </c>
      <c r="Q633">
        <v>-175</v>
      </c>
      <c r="R633" t="s">
        <v>31</v>
      </c>
      <c r="S633" t="s">
        <v>31</v>
      </c>
      <c r="T633">
        <v>0</v>
      </c>
      <c r="U633" t="s">
        <v>31</v>
      </c>
      <c r="V633">
        <v>0</v>
      </c>
    </row>
    <row r="634" spans="1:22" x14ac:dyDescent="0.25">
      <c r="A634" t="s">
        <v>730</v>
      </c>
      <c r="B634" t="s">
        <v>43</v>
      </c>
      <c r="C634" t="s">
        <v>44</v>
      </c>
      <c r="D634" t="s">
        <v>25</v>
      </c>
      <c r="E634" t="s">
        <v>63</v>
      </c>
      <c r="F634" t="s">
        <v>41</v>
      </c>
      <c r="G634" s="1">
        <v>46077</v>
      </c>
      <c r="H634" s="1">
        <v>46092</v>
      </c>
      <c r="I634">
        <v>15</v>
      </c>
      <c r="J634">
        <v>13137.31</v>
      </c>
      <c r="K634">
        <v>13137.31</v>
      </c>
      <c r="L634">
        <v>0</v>
      </c>
      <c r="M634" s="1">
        <v>46090</v>
      </c>
      <c r="N634" t="s">
        <v>28</v>
      </c>
      <c r="O634" t="s">
        <v>77</v>
      </c>
      <c r="P634">
        <v>13</v>
      </c>
      <c r="Q634">
        <v>2</v>
      </c>
      <c r="R634" t="s">
        <v>30</v>
      </c>
      <c r="S634" t="s">
        <v>30</v>
      </c>
      <c r="T634">
        <v>0.02</v>
      </c>
      <c r="U634" t="s">
        <v>31</v>
      </c>
      <c r="V634">
        <v>0</v>
      </c>
    </row>
    <row r="635" spans="1:22" x14ac:dyDescent="0.25">
      <c r="A635" t="s">
        <v>731</v>
      </c>
      <c r="B635" t="s">
        <v>113</v>
      </c>
      <c r="C635" t="s">
        <v>114</v>
      </c>
      <c r="D635" t="s">
        <v>25</v>
      </c>
      <c r="E635" t="s">
        <v>63</v>
      </c>
      <c r="F635" t="s">
        <v>64</v>
      </c>
      <c r="G635" s="1">
        <v>46048</v>
      </c>
      <c r="H635" s="1">
        <v>46078</v>
      </c>
      <c r="I635">
        <v>30</v>
      </c>
      <c r="J635">
        <v>6499.8</v>
      </c>
      <c r="K635">
        <v>2931.39</v>
      </c>
      <c r="L635">
        <v>3568.41</v>
      </c>
      <c r="M635" s="1">
        <v>46091</v>
      </c>
      <c r="N635" t="s">
        <v>98</v>
      </c>
      <c r="O635" t="s">
        <v>36</v>
      </c>
      <c r="P635">
        <v>43</v>
      </c>
      <c r="Q635">
        <v>-13</v>
      </c>
      <c r="R635" t="s">
        <v>31</v>
      </c>
      <c r="S635" t="s">
        <v>30</v>
      </c>
      <c r="T635">
        <v>0.01</v>
      </c>
      <c r="U635" t="s">
        <v>31</v>
      </c>
      <c r="V635">
        <v>0</v>
      </c>
    </row>
    <row r="636" spans="1:22" x14ac:dyDescent="0.25">
      <c r="A636" t="s">
        <v>732</v>
      </c>
      <c r="B636" t="s">
        <v>88</v>
      </c>
      <c r="C636" t="s">
        <v>89</v>
      </c>
      <c r="D636" t="s">
        <v>35</v>
      </c>
      <c r="E636" t="s">
        <v>45</v>
      </c>
      <c r="F636" t="s">
        <v>50</v>
      </c>
      <c r="G636" s="1">
        <v>45685</v>
      </c>
      <c r="H636" s="1">
        <v>45715</v>
      </c>
      <c r="I636">
        <v>30</v>
      </c>
      <c r="J636">
        <v>64341.47</v>
      </c>
      <c r="K636">
        <v>64341.47</v>
      </c>
      <c r="L636">
        <v>0</v>
      </c>
      <c r="M636" s="1">
        <v>45708</v>
      </c>
      <c r="N636" t="s">
        <v>28</v>
      </c>
      <c r="O636" t="s">
        <v>69</v>
      </c>
      <c r="P636">
        <v>23</v>
      </c>
      <c r="Q636">
        <v>7</v>
      </c>
      <c r="R636" t="s">
        <v>30</v>
      </c>
      <c r="S636" t="s">
        <v>30</v>
      </c>
      <c r="T636">
        <v>0.01</v>
      </c>
      <c r="U636" t="s">
        <v>31</v>
      </c>
      <c r="V636">
        <v>0</v>
      </c>
    </row>
    <row r="637" spans="1:22" x14ac:dyDescent="0.25">
      <c r="A637" t="s">
        <v>733</v>
      </c>
      <c r="B637" t="s">
        <v>109</v>
      </c>
      <c r="C637" t="s">
        <v>110</v>
      </c>
      <c r="D637" t="s">
        <v>49</v>
      </c>
      <c r="E637" t="s">
        <v>68</v>
      </c>
      <c r="F637" t="s">
        <v>41</v>
      </c>
      <c r="G637" s="1">
        <v>45908</v>
      </c>
      <c r="H637" s="1">
        <v>45998</v>
      </c>
      <c r="I637">
        <v>90</v>
      </c>
      <c r="J637">
        <v>3365.24</v>
      </c>
      <c r="K637">
        <v>3365.24</v>
      </c>
      <c r="L637">
        <v>0</v>
      </c>
      <c r="M637" s="1">
        <v>45990</v>
      </c>
      <c r="N637" t="s">
        <v>28</v>
      </c>
      <c r="O637" t="s">
        <v>36</v>
      </c>
      <c r="P637">
        <v>82</v>
      </c>
      <c r="Q637">
        <v>8</v>
      </c>
      <c r="R637" t="s">
        <v>30</v>
      </c>
      <c r="S637" t="s">
        <v>31</v>
      </c>
      <c r="T637">
        <v>0</v>
      </c>
      <c r="U637" t="s">
        <v>31</v>
      </c>
      <c r="V637">
        <v>0</v>
      </c>
    </row>
    <row r="638" spans="1:22" x14ac:dyDescent="0.25">
      <c r="A638" t="s">
        <v>734</v>
      </c>
      <c r="B638" t="s">
        <v>43</v>
      </c>
      <c r="C638" t="s">
        <v>44</v>
      </c>
      <c r="D638" t="s">
        <v>25</v>
      </c>
      <c r="E638" t="s">
        <v>63</v>
      </c>
      <c r="F638" t="s">
        <v>92</v>
      </c>
      <c r="G638" s="1">
        <v>45922</v>
      </c>
      <c r="H638" s="1">
        <v>45982</v>
      </c>
      <c r="I638">
        <v>60</v>
      </c>
      <c r="J638">
        <v>12931.92</v>
      </c>
      <c r="K638">
        <v>12931.92</v>
      </c>
      <c r="L638">
        <v>0</v>
      </c>
      <c r="M638" s="1">
        <v>45989</v>
      </c>
      <c r="N638" t="s">
        <v>28</v>
      </c>
      <c r="O638" t="s">
        <v>69</v>
      </c>
      <c r="P638">
        <v>67</v>
      </c>
      <c r="Q638">
        <v>-7</v>
      </c>
      <c r="R638" t="s">
        <v>31</v>
      </c>
      <c r="S638" t="s">
        <v>30</v>
      </c>
      <c r="T638">
        <v>0.01</v>
      </c>
      <c r="U638" t="s">
        <v>31</v>
      </c>
      <c r="V638">
        <v>0</v>
      </c>
    </row>
    <row r="639" spans="1:22" x14ac:dyDescent="0.25">
      <c r="A639" t="s">
        <v>735</v>
      </c>
      <c r="B639" t="s">
        <v>66</v>
      </c>
      <c r="C639" t="s">
        <v>67</v>
      </c>
      <c r="D639" t="s">
        <v>35</v>
      </c>
      <c r="E639" t="s">
        <v>26</v>
      </c>
      <c r="F639" t="s">
        <v>92</v>
      </c>
      <c r="G639" s="1">
        <v>45807</v>
      </c>
      <c r="H639" s="1">
        <v>45822</v>
      </c>
      <c r="I639">
        <v>15</v>
      </c>
      <c r="J639">
        <v>28976.080000000002</v>
      </c>
      <c r="K639">
        <v>28976.080000000002</v>
      </c>
      <c r="L639">
        <v>0</v>
      </c>
      <c r="M639" s="1">
        <v>45828</v>
      </c>
      <c r="N639" t="s">
        <v>28</v>
      </c>
      <c r="O639" t="s">
        <v>36</v>
      </c>
      <c r="P639">
        <v>21</v>
      </c>
      <c r="Q639">
        <v>-6</v>
      </c>
      <c r="R639" t="s">
        <v>31</v>
      </c>
      <c r="S639" t="s">
        <v>31</v>
      </c>
      <c r="T639">
        <v>0</v>
      </c>
      <c r="U639" t="s">
        <v>31</v>
      </c>
      <c r="V639">
        <v>0</v>
      </c>
    </row>
    <row r="640" spans="1:22" x14ac:dyDescent="0.25">
      <c r="A640" t="s">
        <v>736</v>
      </c>
      <c r="B640" t="s">
        <v>120</v>
      </c>
      <c r="C640" t="s">
        <v>121</v>
      </c>
      <c r="D640" t="s">
        <v>54</v>
      </c>
      <c r="E640" t="s">
        <v>26</v>
      </c>
      <c r="F640" t="s">
        <v>92</v>
      </c>
      <c r="G640" s="1">
        <v>46022</v>
      </c>
      <c r="H640" s="1">
        <v>46082</v>
      </c>
      <c r="I640">
        <v>60</v>
      </c>
      <c r="J640">
        <v>1206.3699999999999</v>
      </c>
      <c r="K640">
        <v>1206.3699999999999</v>
      </c>
      <c r="L640">
        <v>0</v>
      </c>
      <c r="M640" s="1">
        <v>46086</v>
      </c>
      <c r="N640" t="s">
        <v>28</v>
      </c>
      <c r="O640" t="s">
        <v>29</v>
      </c>
      <c r="P640">
        <v>64</v>
      </c>
      <c r="Q640">
        <v>-4</v>
      </c>
      <c r="R640" t="s">
        <v>31</v>
      </c>
      <c r="S640" t="s">
        <v>30</v>
      </c>
      <c r="T640">
        <v>0.01</v>
      </c>
      <c r="U640" t="s">
        <v>31</v>
      </c>
      <c r="V640">
        <v>0</v>
      </c>
    </row>
    <row r="641" spans="1:22" x14ac:dyDescent="0.25">
      <c r="A641" t="s">
        <v>737</v>
      </c>
      <c r="B641" t="s">
        <v>23</v>
      </c>
      <c r="C641" t="s">
        <v>24</v>
      </c>
      <c r="D641" t="s">
        <v>25</v>
      </c>
      <c r="E641" t="s">
        <v>40</v>
      </c>
      <c r="F641" t="s">
        <v>27</v>
      </c>
      <c r="G641" s="1">
        <v>45981</v>
      </c>
      <c r="H641" s="1">
        <v>46041</v>
      </c>
      <c r="I641">
        <v>60</v>
      </c>
      <c r="J641">
        <v>16709.62</v>
      </c>
      <c r="K641">
        <v>16709.62</v>
      </c>
      <c r="L641">
        <v>0</v>
      </c>
      <c r="M641" s="1">
        <v>46043</v>
      </c>
      <c r="N641" t="s">
        <v>28</v>
      </c>
      <c r="O641" t="s">
        <v>36</v>
      </c>
      <c r="P641">
        <v>62</v>
      </c>
      <c r="Q641">
        <v>-2</v>
      </c>
      <c r="R641" t="s">
        <v>31</v>
      </c>
      <c r="S641" t="s">
        <v>30</v>
      </c>
      <c r="T641">
        <v>0.01</v>
      </c>
      <c r="U641" t="s">
        <v>31</v>
      </c>
      <c r="V641">
        <v>0</v>
      </c>
    </row>
    <row r="642" spans="1:22" x14ac:dyDescent="0.25">
      <c r="A642" t="s">
        <v>738</v>
      </c>
      <c r="B642" t="s">
        <v>56</v>
      </c>
      <c r="C642" t="s">
        <v>57</v>
      </c>
      <c r="D642" t="s">
        <v>58</v>
      </c>
      <c r="E642" t="s">
        <v>68</v>
      </c>
      <c r="F642" t="s">
        <v>27</v>
      </c>
      <c r="G642" s="1">
        <v>45671</v>
      </c>
      <c r="H642" s="1">
        <v>45701</v>
      </c>
      <c r="I642">
        <v>30</v>
      </c>
      <c r="J642">
        <v>8067.13</v>
      </c>
      <c r="K642">
        <v>8067.13</v>
      </c>
      <c r="L642">
        <v>0</v>
      </c>
      <c r="M642" s="1">
        <v>45686</v>
      </c>
      <c r="N642" t="s">
        <v>28</v>
      </c>
      <c r="O642" t="s">
        <v>29</v>
      </c>
      <c r="P642">
        <v>15</v>
      </c>
      <c r="Q642">
        <v>15</v>
      </c>
      <c r="R642" t="s">
        <v>30</v>
      </c>
      <c r="S642" t="s">
        <v>30</v>
      </c>
      <c r="T642">
        <v>0.01</v>
      </c>
      <c r="U642" t="s">
        <v>31</v>
      </c>
      <c r="V642">
        <v>0</v>
      </c>
    </row>
    <row r="643" spans="1:22" x14ac:dyDescent="0.25">
      <c r="A643" t="s">
        <v>739</v>
      </c>
      <c r="B643" t="s">
        <v>120</v>
      </c>
      <c r="C643" t="s">
        <v>121</v>
      </c>
      <c r="D643" t="s">
        <v>54</v>
      </c>
      <c r="E643" t="s">
        <v>26</v>
      </c>
      <c r="F643" t="s">
        <v>64</v>
      </c>
      <c r="G643" s="1">
        <v>45850</v>
      </c>
      <c r="H643" s="1">
        <v>45880</v>
      </c>
      <c r="I643">
        <v>30</v>
      </c>
      <c r="J643">
        <v>12029.05</v>
      </c>
      <c r="K643">
        <v>12029.05</v>
      </c>
      <c r="L643">
        <v>0</v>
      </c>
      <c r="M643" s="1">
        <v>45889</v>
      </c>
      <c r="N643" t="s">
        <v>28</v>
      </c>
      <c r="O643" t="s">
        <v>36</v>
      </c>
      <c r="P643">
        <v>39</v>
      </c>
      <c r="Q643">
        <v>-9</v>
      </c>
      <c r="R643" t="s">
        <v>31</v>
      </c>
      <c r="S643" t="s">
        <v>30</v>
      </c>
      <c r="T643">
        <v>0.01</v>
      </c>
      <c r="U643" t="s">
        <v>31</v>
      </c>
      <c r="V643">
        <v>0</v>
      </c>
    </row>
    <row r="644" spans="1:22" x14ac:dyDescent="0.25">
      <c r="A644" t="s">
        <v>740</v>
      </c>
      <c r="B644" t="s">
        <v>82</v>
      </c>
      <c r="C644" t="s">
        <v>83</v>
      </c>
      <c r="D644" t="s">
        <v>58</v>
      </c>
      <c r="E644" t="s">
        <v>63</v>
      </c>
      <c r="F644" t="s">
        <v>50</v>
      </c>
      <c r="G644" s="1">
        <v>46129</v>
      </c>
      <c r="H644" s="1">
        <v>46189</v>
      </c>
      <c r="I644">
        <v>60</v>
      </c>
      <c r="J644">
        <v>36893.15</v>
      </c>
      <c r="K644">
        <v>0</v>
      </c>
      <c r="L644">
        <v>36893.15</v>
      </c>
      <c r="N644" t="s">
        <v>93</v>
      </c>
      <c r="O644" t="s">
        <v>77</v>
      </c>
      <c r="S644" t="s">
        <v>30</v>
      </c>
      <c r="T644">
        <v>0.01</v>
      </c>
      <c r="U644" t="s">
        <v>31</v>
      </c>
      <c r="V644">
        <v>0</v>
      </c>
    </row>
    <row r="645" spans="1:22" x14ac:dyDescent="0.25">
      <c r="A645" t="s">
        <v>741</v>
      </c>
      <c r="B645" t="s">
        <v>128</v>
      </c>
      <c r="C645" t="s">
        <v>129</v>
      </c>
      <c r="D645" t="s">
        <v>73</v>
      </c>
      <c r="E645" t="s">
        <v>68</v>
      </c>
      <c r="F645" t="s">
        <v>92</v>
      </c>
      <c r="G645" s="1">
        <v>46008</v>
      </c>
      <c r="H645" s="1">
        <v>46098</v>
      </c>
      <c r="I645">
        <v>90</v>
      </c>
      <c r="J645">
        <v>7682.84</v>
      </c>
      <c r="K645">
        <v>7682.84</v>
      </c>
      <c r="L645">
        <v>0</v>
      </c>
      <c r="M645" s="1">
        <v>46101</v>
      </c>
      <c r="N645" t="s">
        <v>28</v>
      </c>
      <c r="O645" t="s">
        <v>36</v>
      </c>
      <c r="P645">
        <v>93</v>
      </c>
      <c r="Q645">
        <v>-3</v>
      </c>
      <c r="R645" t="s">
        <v>31</v>
      </c>
      <c r="S645" t="s">
        <v>30</v>
      </c>
      <c r="T645">
        <v>5.0000000000000001E-3</v>
      </c>
      <c r="U645" t="s">
        <v>31</v>
      </c>
      <c r="V645">
        <v>0</v>
      </c>
    </row>
    <row r="646" spans="1:22" x14ac:dyDescent="0.25">
      <c r="A646" t="s">
        <v>742</v>
      </c>
      <c r="B646" t="s">
        <v>61</v>
      </c>
      <c r="C646" t="s">
        <v>62</v>
      </c>
      <c r="D646" t="s">
        <v>35</v>
      </c>
      <c r="E646" t="s">
        <v>40</v>
      </c>
      <c r="F646" t="s">
        <v>64</v>
      </c>
      <c r="G646" s="1">
        <v>45872</v>
      </c>
      <c r="H646" s="1">
        <v>45902</v>
      </c>
      <c r="I646">
        <v>30</v>
      </c>
      <c r="J646">
        <v>14766.37</v>
      </c>
      <c r="K646">
        <v>14766.37</v>
      </c>
      <c r="L646">
        <v>0</v>
      </c>
      <c r="M646" s="1">
        <v>45904</v>
      </c>
      <c r="N646" t="s">
        <v>28</v>
      </c>
      <c r="O646" t="s">
        <v>29</v>
      </c>
      <c r="P646">
        <v>32</v>
      </c>
      <c r="Q646">
        <v>-2</v>
      </c>
      <c r="R646" t="s">
        <v>31</v>
      </c>
      <c r="S646" t="s">
        <v>30</v>
      </c>
      <c r="T646">
        <v>0.01</v>
      </c>
      <c r="U646" t="s">
        <v>31</v>
      </c>
      <c r="V646">
        <v>0</v>
      </c>
    </row>
    <row r="647" spans="1:22" x14ac:dyDescent="0.25">
      <c r="A647" t="s">
        <v>743</v>
      </c>
      <c r="B647" t="s">
        <v>109</v>
      </c>
      <c r="C647" t="s">
        <v>110</v>
      </c>
      <c r="D647" t="s">
        <v>49</v>
      </c>
      <c r="E647" t="s">
        <v>26</v>
      </c>
      <c r="F647" t="s">
        <v>27</v>
      </c>
      <c r="G647" s="1">
        <v>45701</v>
      </c>
      <c r="H647" s="1">
        <v>45761</v>
      </c>
      <c r="I647">
        <v>60</v>
      </c>
      <c r="J647">
        <v>11424.85</v>
      </c>
      <c r="K647">
        <v>11424.85</v>
      </c>
      <c r="L647">
        <v>0</v>
      </c>
      <c r="M647" s="1">
        <v>45754</v>
      </c>
      <c r="N647" t="s">
        <v>28</v>
      </c>
      <c r="O647" t="s">
        <v>69</v>
      </c>
      <c r="P647">
        <v>53</v>
      </c>
      <c r="Q647">
        <v>7</v>
      </c>
      <c r="R647" t="s">
        <v>30</v>
      </c>
      <c r="S647" t="s">
        <v>30</v>
      </c>
      <c r="T647">
        <v>0.01</v>
      </c>
      <c r="U647" t="s">
        <v>31</v>
      </c>
      <c r="V647">
        <v>0</v>
      </c>
    </row>
    <row r="648" spans="1:22" x14ac:dyDescent="0.25">
      <c r="A648" t="s">
        <v>744</v>
      </c>
      <c r="B648" t="s">
        <v>131</v>
      </c>
      <c r="C648" t="s">
        <v>132</v>
      </c>
      <c r="D648" t="s">
        <v>49</v>
      </c>
      <c r="E648" t="s">
        <v>26</v>
      </c>
      <c r="F648" t="s">
        <v>27</v>
      </c>
      <c r="G648" s="1">
        <v>45756</v>
      </c>
      <c r="H648" s="1">
        <v>45771</v>
      </c>
      <c r="I648">
        <v>15</v>
      </c>
      <c r="J648">
        <v>39553.800000000003</v>
      </c>
      <c r="K648">
        <v>39553.800000000003</v>
      </c>
      <c r="L648">
        <v>0</v>
      </c>
      <c r="M648" s="1">
        <v>45767</v>
      </c>
      <c r="N648" t="s">
        <v>28</v>
      </c>
      <c r="O648" t="s">
        <v>29</v>
      </c>
      <c r="P648">
        <v>11</v>
      </c>
      <c r="Q648">
        <v>4</v>
      </c>
      <c r="R648" t="s">
        <v>30</v>
      </c>
      <c r="S648" t="s">
        <v>31</v>
      </c>
      <c r="T648">
        <v>0</v>
      </c>
      <c r="U648" t="s">
        <v>31</v>
      </c>
      <c r="V648">
        <v>0</v>
      </c>
    </row>
    <row r="649" spans="1:22" x14ac:dyDescent="0.25">
      <c r="A649" t="s">
        <v>745</v>
      </c>
      <c r="B649" t="s">
        <v>153</v>
      </c>
      <c r="C649" t="s">
        <v>154</v>
      </c>
      <c r="D649" t="s">
        <v>58</v>
      </c>
      <c r="E649" t="s">
        <v>40</v>
      </c>
      <c r="F649" t="s">
        <v>92</v>
      </c>
      <c r="G649" s="1">
        <v>45807</v>
      </c>
      <c r="H649" s="1">
        <v>45837</v>
      </c>
      <c r="I649">
        <v>30</v>
      </c>
      <c r="J649">
        <v>34296.879999999997</v>
      </c>
      <c r="K649">
        <v>0</v>
      </c>
      <c r="L649">
        <v>34296.879999999997</v>
      </c>
      <c r="N649" t="s">
        <v>59</v>
      </c>
      <c r="O649" t="s">
        <v>77</v>
      </c>
      <c r="Q649">
        <v>-336</v>
      </c>
      <c r="R649" t="s">
        <v>31</v>
      </c>
      <c r="S649" t="s">
        <v>31</v>
      </c>
      <c r="T649">
        <v>0</v>
      </c>
      <c r="U649" t="s">
        <v>31</v>
      </c>
      <c r="V649">
        <v>0</v>
      </c>
    </row>
    <row r="650" spans="1:22" x14ac:dyDescent="0.25">
      <c r="A650" t="s">
        <v>746</v>
      </c>
      <c r="B650" t="s">
        <v>128</v>
      </c>
      <c r="C650" t="s">
        <v>129</v>
      </c>
      <c r="D650" t="s">
        <v>73</v>
      </c>
      <c r="E650" t="s">
        <v>68</v>
      </c>
      <c r="F650" t="s">
        <v>64</v>
      </c>
      <c r="G650" s="1">
        <v>45759</v>
      </c>
      <c r="H650" s="1">
        <v>45789</v>
      </c>
      <c r="I650">
        <v>30</v>
      </c>
      <c r="J650">
        <v>29046.35</v>
      </c>
      <c r="K650">
        <v>29046.35</v>
      </c>
      <c r="L650">
        <v>0</v>
      </c>
      <c r="M650" s="1">
        <v>45785</v>
      </c>
      <c r="N650" t="s">
        <v>28</v>
      </c>
      <c r="O650" t="s">
        <v>36</v>
      </c>
      <c r="P650">
        <v>26</v>
      </c>
      <c r="Q650">
        <v>4</v>
      </c>
      <c r="R650" t="s">
        <v>30</v>
      </c>
      <c r="S650" t="s">
        <v>31</v>
      </c>
      <c r="T650">
        <v>0</v>
      </c>
      <c r="U650" t="s">
        <v>31</v>
      </c>
      <c r="V650">
        <v>0</v>
      </c>
    </row>
    <row r="651" spans="1:22" x14ac:dyDescent="0.25">
      <c r="A651" t="s">
        <v>747</v>
      </c>
      <c r="B651" t="s">
        <v>120</v>
      </c>
      <c r="C651" t="s">
        <v>121</v>
      </c>
      <c r="D651" t="s">
        <v>54</v>
      </c>
      <c r="E651" t="s">
        <v>63</v>
      </c>
      <c r="F651" t="s">
        <v>27</v>
      </c>
      <c r="G651" s="1">
        <v>46144</v>
      </c>
      <c r="H651" s="1">
        <v>46174</v>
      </c>
      <c r="I651">
        <v>30</v>
      </c>
      <c r="J651">
        <v>5813.71</v>
      </c>
      <c r="K651">
        <v>5813.71</v>
      </c>
      <c r="L651">
        <v>0</v>
      </c>
      <c r="M651" s="1">
        <v>46154</v>
      </c>
      <c r="N651" t="s">
        <v>28</v>
      </c>
      <c r="O651" t="s">
        <v>77</v>
      </c>
      <c r="P651">
        <v>10</v>
      </c>
      <c r="Q651">
        <v>20</v>
      </c>
      <c r="R651" t="s">
        <v>30</v>
      </c>
      <c r="S651" t="s">
        <v>30</v>
      </c>
      <c r="T651">
        <v>0.01</v>
      </c>
      <c r="U651" t="s">
        <v>30</v>
      </c>
      <c r="V651">
        <v>58.14</v>
      </c>
    </row>
    <row r="652" spans="1:22" x14ac:dyDescent="0.25">
      <c r="A652" t="s">
        <v>748</v>
      </c>
      <c r="B652" t="s">
        <v>120</v>
      </c>
      <c r="C652" t="s">
        <v>121</v>
      </c>
      <c r="D652" t="s">
        <v>54</v>
      </c>
      <c r="E652" t="s">
        <v>68</v>
      </c>
      <c r="F652" t="s">
        <v>41</v>
      </c>
      <c r="G652" s="1">
        <v>45891</v>
      </c>
      <c r="H652" s="1">
        <v>45921</v>
      </c>
      <c r="I652">
        <v>30</v>
      </c>
      <c r="J652">
        <v>6409.88</v>
      </c>
      <c r="K652">
        <v>6409.88</v>
      </c>
      <c r="L652">
        <v>0</v>
      </c>
      <c r="M652" s="1">
        <v>45912</v>
      </c>
      <c r="N652" t="s">
        <v>28</v>
      </c>
      <c r="O652" t="s">
        <v>69</v>
      </c>
      <c r="P652">
        <v>21</v>
      </c>
      <c r="Q652">
        <v>9</v>
      </c>
      <c r="R652" t="s">
        <v>30</v>
      </c>
      <c r="S652" t="s">
        <v>31</v>
      </c>
      <c r="T652">
        <v>0</v>
      </c>
      <c r="U652" t="s">
        <v>31</v>
      </c>
      <c r="V652">
        <v>0</v>
      </c>
    </row>
    <row r="653" spans="1:22" x14ac:dyDescent="0.25">
      <c r="A653" t="s">
        <v>749</v>
      </c>
      <c r="B653" t="s">
        <v>100</v>
      </c>
      <c r="C653" t="s">
        <v>101</v>
      </c>
      <c r="D653" t="s">
        <v>54</v>
      </c>
      <c r="E653" t="s">
        <v>68</v>
      </c>
      <c r="F653" t="s">
        <v>92</v>
      </c>
      <c r="G653" s="1">
        <v>45993</v>
      </c>
      <c r="H653" s="1">
        <v>46023</v>
      </c>
      <c r="I653">
        <v>30</v>
      </c>
      <c r="J653">
        <v>7658.84</v>
      </c>
      <c r="K653">
        <v>7658.84</v>
      </c>
      <c r="L653">
        <v>0</v>
      </c>
      <c r="M653" s="1">
        <v>46025</v>
      </c>
      <c r="N653" t="s">
        <v>28</v>
      </c>
      <c r="O653" t="s">
        <v>77</v>
      </c>
      <c r="P653">
        <v>32</v>
      </c>
      <c r="Q653">
        <v>-2</v>
      </c>
      <c r="R653" t="s">
        <v>31</v>
      </c>
      <c r="S653" t="s">
        <v>30</v>
      </c>
      <c r="T653">
        <v>0.01</v>
      </c>
      <c r="U653" t="s">
        <v>31</v>
      </c>
      <c r="V653">
        <v>0</v>
      </c>
    </row>
    <row r="654" spans="1:22" x14ac:dyDescent="0.25">
      <c r="A654" t="s">
        <v>750</v>
      </c>
      <c r="B654" t="s">
        <v>71</v>
      </c>
      <c r="C654" t="s">
        <v>72</v>
      </c>
      <c r="D654" t="s">
        <v>73</v>
      </c>
      <c r="E654" t="s">
        <v>68</v>
      </c>
      <c r="F654" t="s">
        <v>41</v>
      </c>
      <c r="G654" s="1">
        <v>45955</v>
      </c>
      <c r="H654" s="1">
        <v>46015</v>
      </c>
      <c r="I654">
        <v>60</v>
      </c>
      <c r="J654">
        <v>34503.760000000002</v>
      </c>
      <c r="K654">
        <v>25787.33</v>
      </c>
      <c r="L654">
        <v>8716.43</v>
      </c>
      <c r="M654" s="1">
        <v>46035</v>
      </c>
      <c r="N654" t="s">
        <v>98</v>
      </c>
      <c r="O654" t="s">
        <v>36</v>
      </c>
      <c r="P654">
        <v>80</v>
      </c>
      <c r="Q654">
        <v>-20</v>
      </c>
      <c r="R654" t="s">
        <v>31</v>
      </c>
      <c r="S654" t="s">
        <v>30</v>
      </c>
      <c r="T654">
        <v>0.01</v>
      </c>
      <c r="U654" t="s">
        <v>31</v>
      </c>
      <c r="V654">
        <v>0</v>
      </c>
    </row>
    <row r="655" spans="1:22" x14ac:dyDescent="0.25">
      <c r="A655" t="s">
        <v>751</v>
      </c>
      <c r="B655" t="s">
        <v>100</v>
      </c>
      <c r="C655" t="s">
        <v>101</v>
      </c>
      <c r="D655" t="s">
        <v>54</v>
      </c>
      <c r="E655" t="s">
        <v>68</v>
      </c>
      <c r="F655" t="s">
        <v>64</v>
      </c>
      <c r="G655" s="1">
        <v>45765</v>
      </c>
      <c r="H655" s="1">
        <v>45855</v>
      </c>
      <c r="I655">
        <v>90</v>
      </c>
      <c r="J655">
        <v>6247.36</v>
      </c>
      <c r="K655">
        <v>6247.36</v>
      </c>
      <c r="L655">
        <v>0</v>
      </c>
      <c r="M655" s="1">
        <v>45860</v>
      </c>
      <c r="N655" t="s">
        <v>28</v>
      </c>
      <c r="O655" t="s">
        <v>77</v>
      </c>
      <c r="P655">
        <v>95</v>
      </c>
      <c r="Q655">
        <v>-5</v>
      </c>
      <c r="R655" t="s">
        <v>31</v>
      </c>
      <c r="S655" t="s">
        <v>30</v>
      </c>
      <c r="T655">
        <v>5.0000000000000001E-3</v>
      </c>
      <c r="U655" t="s">
        <v>31</v>
      </c>
      <c r="V655">
        <v>0</v>
      </c>
    </row>
    <row r="656" spans="1:22" x14ac:dyDescent="0.25">
      <c r="A656" t="s">
        <v>752</v>
      </c>
      <c r="B656" t="s">
        <v>61</v>
      </c>
      <c r="C656" t="s">
        <v>62</v>
      </c>
      <c r="D656" t="s">
        <v>35</v>
      </c>
      <c r="E656" t="s">
        <v>63</v>
      </c>
      <c r="F656" t="s">
        <v>27</v>
      </c>
      <c r="G656" s="1">
        <v>46030</v>
      </c>
      <c r="H656" s="1">
        <v>46060</v>
      </c>
      <c r="I656">
        <v>30</v>
      </c>
      <c r="J656">
        <v>78140.56</v>
      </c>
      <c r="K656">
        <v>78140.56</v>
      </c>
      <c r="L656">
        <v>0</v>
      </c>
      <c r="M656" s="1">
        <v>46065</v>
      </c>
      <c r="N656" t="s">
        <v>28</v>
      </c>
      <c r="O656" t="s">
        <v>36</v>
      </c>
      <c r="P656">
        <v>35</v>
      </c>
      <c r="Q656">
        <v>-5</v>
      </c>
      <c r="R656" t="s">
        <v>31</v>
      </c>
      <c r="S656" t="s">
        <v>30</v>
      </c>
      <c r="T656">
        <v>0.01</v>
      </c>
      <c r="U656" t="s">
        <v>31</v>
      </c>
      <c r="V656">
        <v>0</v>
      </c>
    </row>
    <row r="657" spans="1:22" x14ac:dyDescent="0.25">
      <c r="A657" t="s">
        <v>753</v>
      </c>
      <c r="B657" t="s">
        <v>47</v>
      </c>
      <c r="C657" t="s">
        <v>48</v>
      </c>
      <c r="D657" t="s">
        <v>49</v>
      </c>
      <c r="E657" t="s">
        <v>26</v>
      </c>
      <c r="F657" t="s">
        <v>64</v>
      </c>
      <c r="G657" s="1">
        <v>45943</v>
      </c>
      <c r="H657" s="1">
        <v>46033</v>
      </c>
      <c r="I657">
        <v>90</v>
      </c>
      <c r="J657">
        <v>38711.22</v>
      </c>
      <c r="K657">
        <v>38711.22</v>
      </c>
      <c r="L657">
        <v>0</v>
      </c>
      <c r="M657" s="1">
        <v>46033</v>
      </c>
      <c r="N657" t="s">
        <v>28</v>
      </c>
      <c r="O657" t="s">
        <v>69</v>
      </c>
      <c r="P657">
        <v>90</v>
      </c>
      <c r="Q657">
        <v>0</v>
      </c>
      <c r="R657" t="s">
        <v>30</v>
      </c>
      <c r="S657" t="s">
        <v>31</v>
      </c>
      <c r="T657">
        <v>0</v>
      </c>
      <c r="U657" t="s">
        <v>31</v>
      </c>
      <c r="V657">
        <v>0</v>
      </c>
    </row>
    <row r="658" spans="1:22" x14ac:dyDescent="0.25">
      <c r="A658" t="s">
        <v>754</v>
      </c>
      <c r="B658" t="s">
        <v>47</v>
      </c>
      <c r="C658" t="s">
        <v>48</v>
      </c>
      <c r="D658" t="s">
        <v>49</v>
      </c>
      <c r="E658" t="s">
        <v>68</v>
      </c>
      <c r="F658" t="s">
        <v>41</v>
      </c>
      <c r="G658" s="1">
        <v>45943</v>
      </c>
      <c r="H658" s="1">
        <v>46033</v>
      </c>
      <c r="I658">
        <v>90</v>
      </c>
      <c r="J658">
        <v>9073.9599999999991</v>
      </c>
      <c r="K658">
        <v>9073.9599999999991</v>
      </c>
      <c r="L658">
        <v>0</v>
      </c>
      <c r="M658" s="1">
        <v>46019</v>
      </c>
      <c r="N658" t="s">
        <v>28</v>
      </c>
      <c r="O658" t="s">
        <v>69</v>
      </c>
      <c r="P658">
        <v>76</v>
      </c>
      <c r="Q658">
        <v>14</v>
      </c>
      <c r="R658" t="s">
        <v>30</v>
      </c>
      <c r="S658" t="s">
        <v>30</v>
      </c>
      <c r="T658">
        <v>5.0000000000000001E-3</v>
      </c>
      <c r="U658" t="s">
        <v>31</v>
      </c>
      <c r="V658">
        <v>0</v>
      </c>
    </row>
    <row r="659" spans="1:22" x14ac:dyDescent="0.25">
      <c r="A659" t="s">
        <v>755</v>
      </c>
      <c r="B659" t="s">
        <v>100</v>
      </c>
      <c r="C659" t="s">
        <v>101</v>
      </c>
      <c r="D659" t="s">
        <v>54</v>
      </c>
      <c r="E659" t="s">
        <v>45</v>
      </c>
      <c r="F659" t="s">
        <v>64</v>
      </c>
      <c r="G659" s="1">
        <v>45759</v>
      </c>
      <c r="H659" s="1">
        <v>45774</v>
      </c>
      <c r="I659">
        <v>15</v>
      </c>
      <c r="J659">
        <v>11198.08</v>
      </c>
      <c r="K659">
        <v>11198.08</v>
      </c>
      <c r="L659">
        <v>0</v>
      </c>
      <c r="M659" s="1">
        <v>45778</v>
      </c>
      <c r="N659" t="s">
        <v>28</v>
      </c>
      <c r="O659" t="s">
        <v>36</v>
      </c>
      <c r="P659">
        <v>19</v>
      </c>
      <c r="Q659">
        <v>-4</v>
      </c>
      <c r="R659" t="s">
        <v>31</v>
      </c>
      <c r="S659" t="s">
        <v>31</v>
      </c>
      <c r="T659">
        <v>0</v>
      </c>
      <c r="U659" t="s">
        <v>31</v>
      </c>
      <c r="V659">
        <v>0</v>
      </c>
    </row>
    <row r="660" spans="1:22" x14ac:dyDescent="0.25">
      <c r="A660" t="s">
        <v>756</v>
      </c>
      <c r="B660" t="s">
        <v>187</v>
      </c>
      <c r="C660" t="s">
        <v>188</v>
      </c>
      <c r="D660" t="s">
        <v>73</v>
      </c>
      <c r="E660" t="s">
        <v>68</v>
      </c>
      <c r="F660" t="s">
        <v>64</v>
      </c>
      <c r="G660" s="1">
        <v>45736</v>
      </c>
      <c r="H660" s="1">
        <v>45766</v>
      </c>
      <c r="I660">
        <v>30</v>
      </c>
      <c r="J660">
        <v>23815.66</v>
      </c>
      <c r="K660">
        <v>23815.66</v>
      </c>
      <c r="L660">
        <v>0</v>
      </c>
      <c r="M660" s="1">
        <v>45766</v>
      </c>
      <c r="N660" t="s">
        <v>28</v>
      </c>
      <c r="O660" t="s">
        <v>29</v>
      </c>
      <c r="P660">
        <v>30</v>
      </c>
      <c r="Q660">
        <v>0</v>
      </c>
      <c r="R660" t="s">
        <v>30</v>
      </c>
      <c r="S660" t="s">
        <v>30</v>
      </c>
      <c r="T660">
        <v>0.01</v>
      </c>
      <c r="U660" t="s">
        <v>31</v>
      </c>
      <c r="V660">
        <v>0</v>
      </c>
    </row>
    <row r="661" spans="1:22" x14ac:dyDescent="0.25">
      <c r="A661" t="s">
        <v>757</v>
      </c>
      <c r="B661" t="s">
        <v>113</v>
      </c>
      <c r="C661" t="s">
        <v>114</v>
      </c>
      <c r="D661" t="s">
        <v>25</v>
      </c>
      <c r="E661" t="s">
        <v>40</v>
      </c>
      <c r="F661" t="s">
        <v>92</v>
      </c>
      <c r="G661" s="1">
        <v>45925</v>
      </c>
      <c r="H661" s="1">
        <v>46015</v>
      </c>
      <c r="I661">
        <v>90</v>
      </c>
      <c r="J661">
        <v>11306.32</v>
      </c>
      <c r="K661">
        <v>11306.32</v>
      </c>
      <c r="L661">
        <v>0</v>
      </c>
      <c r="M661" s="1">
        <v>46028</v>
      </c>
      <c r="N661" t="s">
        <v>28</v>
      </c>
      <c r="O661" t="s">
        <v>69</v>
      </c>
      <c r="P661">
        <v>103</v>
      </c>
      <c r="Q661">
        <v>-13</v>
      </c>
      <c r="R661" t="s">
        <v>31</v>
      </c>
      <c r="S661" t="s">
        <v>31</v>
      </c>
      <c r="T661">
        <v>0</v>
      </c>
      <c r="U661" t="s">
        <v>31</v>
      </c>
      <c r="V661">
        <v>0</v>
      </c>
    </row>
    <row r="662" spans="1:22" x14ac:dyDescent="0.25">
      <c r="A662" t="s">
        <v>758</v>
      </c>
      <c r="B662" t="s">
        <v>38</v>
      </c>
      <c r="C662" t="s">
        <v>39</v>
      </c>
      <c r="D662" t="s">
        <v>35</v>
      </c>
      <c r="E662" t="s">
        <v>26</v>
      </c>
      <c r="F662" t="s">
        <v>41</v>
      </c>
      <c r="G662" s="1">
        <v>46043</v>
      </c>
      <c r="H662" s="1">
        <v>46103</v>
      </c>
      <c r="I662">
        <v>60</v>
      </c>
      <c r="J662">
        <v>38191.71</v>
      </c>
      <c r="K662">
        <v>38191.71</v>
      </c>
      <c r="L662">
        <v>0</v>
      </c>
      <c r="M662" s="1">
        <v>46104</v>
      </c>
      <c r="N662" t="s">
        <v>28</v>
      </c>
      <c r="O662" t="s">
        <v>69</v>
      </c>
      <c r="P662">
        <v>61</v>
      </c>
      <c r="Q662">
        <v>-1</v>
      </c>
      <c r="R662" t="s">
        <v>31</v>
      </c>
      <c r="S662" t="s">
        <v>30</v>
      </c>
      <c r="T662">
        <v>0.01</v>
      </c>
      <c r="U662" t="s">
        <v>31</v>
      </c>
      <c r="V662">
        <v>0</v>
      </c>
    </row>
    <row r="663" spans="1:22" x14ac:dyDescent="0.25">
      <c r="A663" t="s">
        <v>759</v>
      </c>
      <c r="B663" t="s">
        <v>56</v>
      </c>
      <c r="C663" t="s">
        <v>57</v>
      </c>
      <c r="D663" t="s">
        <v>58</v>
      </c>
      <c r="E663" t="s">
        <v>68</v>
      </c>
      <c r="F663" t="s">
        <v>64</v>
      </c>
      <c r="G663" s="1">
        <v>45795</v>
      </c>
      <c r="H663" s="1">
        <v>45855</v>
      </c>
      <c r="I663">
        <v>60</v>
      </c>
      <c r="J663">
        <v>14561.01</v>
      </c>
      <c r="K663">
        <v>14561.01</v>
      </c>
      <c r="L663">
        <v>0</v>
      </c>
      <c r="M663" s="1">
        <v>45847</v>
      </c>
      <c r="N663" t="s">
        <v>28</v>
      </c>
      <c r="O663" t="s">
        <v>69</v>
      </c>
      <c r="P663">
        <v>52</v>
      </c>
      <c r="Q663">
        <v>8</v>
      </c>
      <c r="R663" t="s">
        <v>30</v>
      </c>
      <c r="S663" t="s">
        <v>30</v>
      </c>
      <c r="T663">
        <v>0.01</v>
      </c>
      <c r="U663" t="s">
        <v>31</v>
      </c>
      <c r="V663">
        <v>0</v>
      </c>
    </row>
    <row r="664" spans="1:22" x14ac:dyDescent="0.25">
      <c r="A664" t="s">
        <v>760</v>
      </c>
      <c r="B664" t="s">
        <v>79</v>
      </c>
      <c r="C664" t="s">
        <v>80</v>
      </c>
      <c r="D664" t="s">
        <v>49</v>
      </c>
      <c r="E664" t="s">
        <v>63</v>
      </c>
      <c r="F664" t="s">
        <v>50</v>
      </c>
      <c r="G664" s="1">
        <v>45818</v>
      </c>
      <c r="H664" s="1">
        <v>45908</v>
      </c>
      <c r="I664">
        <v>90</v>
      </c>
      <c r="J664">
        <v>26320.880000000001</v>
      </c>
      <c r="K664">
        <v>26320.880000000001</v>
      </c>
      <c r="L664">
        <v>0</v>
      </c>
      <c r="M664" s="1">
        <v>45905</v>
      </c>
      <c r="N664" t="s">
        <v>28</v>
      </c>
      <c r="O664" t="s">
        <v>69</v>
      </c>
      <c r="P664">
        <v>87</v>
      </c>
      <c r="Q664">
        <v>3</v>
      </c>
      <c r="R664" t="s">
        <v>30</v>
      </c>
      <c r="S664" t="s">
        <v>30</v>
      </c>
      <c r="T664">
        <v>5.0000000000000001E-3</v>
      </c>
      <c r="U664" t="s">
        <v>31</v>
      </c>
      <c r="V664">
        <v>0</v>
      </c>
    </row>
    <row r="665" spans="1:22" x14ac:dyDescent="0.25">
      <c r="A665" t="s">
        <v>761</v>
      </c>
      <c r="B665" t="s">
        <v>47</v>
      </c>
      <c r="C665" t="s">
        <v>48</v>
      </c>
      <c r="D665" t="s">
        <v>49</v>
      </c>
      <c r="E665" t="s">
        <v>63</v>
      </c>
      <c r="F665" t="s">
        <v>92</v>
      </c>
      <c r="G665" s="1">
        <v>45720</v>
      </c>
      <c r="H665" s="1">
        <v>45780</v>
      </c>
      <c r="I665">
        <v>60</v>
      </c>
      <c r="J665">
        <v>3351.06</v>
      </c>
      <c r="K665">
        <v>1589.87</v>
      </c>
      <c r="L665">
        <v>1761.19</v>
      </c>
      <c r="M665" s="1">
        <v>45798</v>
      </c>
      <c r="N665" t="s">
        <v>98</v>
      </c>
      <c r="O665" t="s">
        <v>29</v>
      </c>
      <c r="P665">
        <v>78</v>
      </c>
      <c r="Q665">
        <v>-18</v>
      </c>
      <c r="R665" t="s">
        <v>31</v>
      </c>
      <c r="S665" t="s">
        <v>30</v>
      </c>
      <c r="T665">
        <v>0.01</v>
      </c>
      <c r="U665" t="s">
        <v>31</v>
      </c>
      <c r="V665">
        <v>0</v>
      </c>
    </row>
    <row r="666" spans="1:22" x14ac:dyDescent="0.25">
      <c r="A666" t="s">
        <v>762</v>
      </c>
      <c r="B666" t="s">
        <v>66</v>
      </c>
      <c r="C666" t="s">
        <v>67</v>
      </c>
      <c r="D666" t="s">
        <v>35</v>
      </c>
      <c r="E666" t="s">
        <v>26</v>
      </c>
      <c r="F666" t="s">
        <v>92</v>
      </c>
      <c r="G666" s="1">
        <v>46096</v>
      </c>
      <c r="H666" s="1">
        <v>46126</v>
      </c>
      <c r="I666">
        <v>30</v>
      </c>
      <c r="J666">
        <v>30885.73</v>
      </c>
      <c r="K666">
        <v>30885.73</v>
      </c>
      <c r="L666">
        <v>0</v>
      </c>
      <c r="M666" s="1">
        <v>46126</v>
      </c>
      <c r="N666" t="s">
        <v>28</v>
      </c>
      <c r="O666" t="s">
        <v>69</v>
      </c>
      <c r="P666">
        <v>30</v>
      </c>
      <c r="Q666">
        <v>0</v>
      </c>
      <c r="R666" t="s">
        <v>30</v>
      </c>
      <c r="S666" t="s">
        <v>30</v>
      </c>
      <c r="T666">
        <v>0.01</v>
      </c>
      <c r="U666" t="s">
        <v>31</v>
      </c>
      <c r="V666">
        <v>0</v>
      </c>
    </row>
    <row r="667" spans="1:22" x14ac:dyDescent="0.25">
      <c r="A667" t="s">
        <v>763</v>
      </c>
      <c r="B667" t="s">
        <v>66</v>
      </c>
      <c r="C667" t="s">
        <v>67</v>
      </c>
      <c r="D667" t="s">
        <v>35</v>
      </c>
      <c r="E667" t="s">
        <v>26</v>
      </c>
      <c r="F667" t="s">
        <v>27</v>
      </c>
      <c r="G667" s="1">
        <v>46003</v>
      </c>
      <c r="H667" s="1">
        <v>46033</v>
      </c>
      <c r="I667">
        <v>30</v>
      </c>
      <c r="J667">
        <v>17733.439999999999</v>
      </c>
      <c r="K667">
        <v>17733.439999999999</v>
      </c>
      <c r="L667">
        <v>0</v>
      </c>
      <c r="M667" s="1">
        <v>46044</v>
      </c>
      <c r="N667" t="s">
        <v>28</v>
      </c>
      <c r="O667" t="s">
        <v>29</v>
      </c>
      <c r="P667">
        <v>41</v>
      </c>
      <c r="Q667">
        <v>-11</v>
      </c>
      <c r="R667" t="s">
        <v>31</v>
      </c>
      <c r="S667" t="s">
        <v>30</v>
      </c>
      <c r="T667">
        <v>0.01</v>
      </c>
      <c r="U667" t="s">
        <v>31</v>
      </c>
      <c r="V667">
        <v>0</v>
      </c>
    </row>
    <row r="668" spans="1:22" x14ac:dyDescent="0.25">
      <c r="A668" t="s">
        <v>764</v>
      </c>
      <c r="B668" t="s">
        <v>56</v>
      </c>
      <c r="C668" t="s">
        <v>57</v>
      </c>
      <c r="D668" t="s">
        <v>58</v>
      </c>
      <c r="E668" t="s">
        <v>45</v>
      </c>
      <c r="F668" t="s">
        <v>50</v>
      </c>
      <c r="G668" s="1">
        <v>45678</v>
      </c>
      <c r="H668" s="1">
        <v>45723</v>
      </c>
      <c r="I668">
        <v>45</v>
      </c>
      <c r="J668">
        <v>28750.46</v>
      </c>
      <c r="K668">
        <v>0</v>
      </c>
      <c r="L668">
        <v>28750.46</v>
      </c>
      <c r="N668" t="s">
        <v>59</v>
      </c>
      <c r="O668" t="s">
        <v>69</v>
      </c>
      <c r="Q668">
        <v>-450</v>
      </c>
      <c r="R668" t="s">
        <v>31</v>
      </c>
      <c r="S668" t="s">
        <v>30</v>
      </c>
      <c r="T668">
        <v>1.4999999999999999E-2</v>
      </c>
      <c r="U668" t="s">
        <v>31</v>
      </c>
      <c r="V668">
        <v>0</v>
      </c>
    </row>
    <row r="669" spans="1:22" x14ac:dyDescent="0.25">
      <c r="A669" t="s">
        <v>765</v>
      </c>
      <c r="B669" t="s">
        <v>47</v>
      </c>
      <c r="C669" t="s">
        <v>48</v>
      </c>
      <c r="D669" t="s">
        <v>49</v>
      </c>
      <c r="E669" t="s">
        <v>63</v>
      </c>
      <c r="F669" t="s">
        <v>41</v>
      </c>
      <c r="G669" s="1">
        <v>46158</v>
      </c>
      <c r="H669" s="1">
        <v>46188</v>
      </c>
      <c r="I669">
        <v>30</v>
      </c>
      <c r="J669">
        <v>6802.72</v>
      </c>
      <c r="K669">
        <v>6802.72</v>
      </c>
      <c r="L669">
        <v>0</v>
      </c>
      <c r="M669" s="1">
        <v>46173</v>
      </c>
      <c r="N669" t="s">
        <v>28</v>
      </c>
      <c r="O669" t="s">
        <v>29</v>
      </c>
      <c r="P669">
        <v>15</v>
      </c>
      <c r="Q669">
        <v>15</v>
      </c>
      <c r="R669" t="s">
        <v>30</v>
      </c>
      <c r="S669" t="s">
        <v>30</v>
      </c>
      <c r="T669">
        <v>0.01</v>
      </c>
      <c r="U669" t="s">
        <v>31</v>
      </c>
      <c r="V669">
        <v>0</v>
      </c>
    </row>
    <row r="670" spans="1:22" x14ac:dyDescent="0.25">
      <c r="A670" t="s">
        <v>766</v>
      </c>
      <c r="B670" t="s">
        <v>187</v>
      </c>
      <c r="C670" t="s">
        <v>188</v>
      </c>
      <c r="D670" t="s">
        <v>73</v>
      </c>
      <c r="E670" t="s">
        <v>68</v>
      </c>
      <c r="F670" t="s">
        <v>92</v>
      </c>
      <c r="G670" s="1">
        <v>46166</v>
      </c>
      <c r="H670" s="1">
        <v>46196</v>
      </c>
      <c r="I670">
        <v>30</v>
      </c>
      <c r="J670">
        <v>22969.66</v>
      </c>
      <c r="K670">
        <v>22969.66</v>
      </c>
      <c r="L670">
        <v>0</v>
      </c>
      <c r="M670" s="1">
        <v>46173</v>
      </c>
      <c r="N670" t="s">
        <v>28</v>
      </c>
      <c r="O670" t="s">
        <v>69</v>
      </c>
      <c r="P670">
        <v>7</v>
      </c>
      <c r="Q670">
        <v>23</v>
      </c>
      <c r="R670" t="s">
        <v>30</v>
      </c>
      <c r="S670" t="s">
        <v>31</v>
      </c>
      <c r="T670">
        <v>0</v>
      </c>
      <c r="U670" t="s">
        <v>31</v>
      </c>
      <c r="V670">
        <v>0</v>
      </c>
    </row>
    <row r="671" spans="1:22" x14ac:dyDescent="0.25">
      <c r="A671" t="s">
        <v>767</v>
      </c>
      <c r="B671" t="s">
        <v>153</v>
      </c>
      <c r="C671" t="s">
        <v>154</v>
      </c>
      <c r="D671" t="s">
        <v>58</v>
      </c>
      <c r="E671" t="s">
        <v>68</v>
      </c>
      <c r="F671" t="s">
        <v>92</v>
      </c>
      <c r="G671" s="1">
        <v>46069</v>
      </c>
      <c r="H671" s="1">
        <v>46114</v>
      </c>
      <c r="I671">
        <v>45</v>
      </c>
      <c r="J671">
        <v>32770.31</v>
      </c>
      <c r="K671">
        <v>0</v>
      </c>
      <c r="L671">
        <v>32770.31</v>
      </c>
      <c r="N671" t="s">
        <v>59</v>
      </c>
      <c r="O671" t="s">
        <v>77</v>
      </c>
      <c r="Q671">
        <v>-59</v>
      </c>
      <c r="R671" t="s">
        <v>31</v>
      </c>
      <c r="S671" t="s">
        <v>30</v>
      </c>
      <c r="T671">
        <v>1.4999999999999999E-2</v>
      </c>
      <c r="U671" t="s">
        <v>31</v>
      </c>
      <c r="V671">
        <v>0</v>
      </c>
    </row>
    <row r="672" spans="1:22" x14ac:dyDescent="0.25">
      <c r="A672" t="s">
        <v>768</v>
      </c>
      <c r="B672" t="s">
        <v>66</v>
      </c>
      <c r="C672" t="s">
        <v>67</v>
      </c>
      <c r="D672" t="s">
        <v>35</v>
      </c>
      <c r="E672" t="s">
        <v>26</v>
      </c>
      <c r="F672" t="s">
        <v>50</v>
      </c>
      <c r="G672" s="1">
        <v>45726</v>
      </c>
      <c r="H672" s="1">
        <v>45771</v>
      </c>
      <c r="I672">
        <v>45</v>
      </c>
      <c r="J672">
        <v>47482.12</v>
      </c>
      <c r="K672">
        <v>47482.12</v>
      </c>
      <c r="L672">
        <v>0</v>
      </c>
      <c r="M672" s="1">
        <v>45770</v>
      </c>
      <c r="N672" t="s">
        <v>28</v>
      </c>
      <c r="O672" t="s">
        <v>29</v>
      </c>
      <c r="P672">
        <v>44</v>
      </c>
      <c r="Q672">
        <v>1</v>
      </c>
      <c r="R672" t="s">
        <v>30</v>
      </c>
      <c r="S672" t="s">
        <v>30</v>
      </c>
      <c r="T672">
        <v>1.4999999999999999E-2</v>
      </c>
      <c r="U672" t="s">
        <v>31</v>
      </c>
      <c r="V672">
        <v>0</v>
      </c>
    </row>
    <row r="673" spans="1:22" x14ac:dyDescent="0.25">
      <c r="A673" t="s">
        <v>769</v>
      </c>
      <c r="B673" t="s">
        <v>88</v>
      </c>
      <c r="C673" t="s">
        <v>89</v>
      </c>
      <c r="D673" t="s">
        <v>35</v>
      </c>
      <c r="E673" t="s">
        <v>63</v>
      </c>
      <c r="F673" t="s">
        <v>92</v>
      </c>
      <c r="G673" s="1">
        <v>45862</v>
      </c>
      <c r="H673" s="1">
        <v>45922</v>
      </c>
      <c r="I673">
        <v>60</v>
      </c>
      <c r="J673">
        <v>36073.57</v>
      </c>
      <c r="K673">
        <v>36073.57</v>
      </c>
      <c r="L673">
        <v>0</v>
      </c>
      <c r="M673" s="1">
        <v>45924</v>
      </c>
      <c r="N673" t="s">
        <v>28</v>
      </c>
      <c r="O673" t="s">
        <v>69</v>
      </c>
      <c r="P673">
        <v>62</v>
      </c>
      <c r="Q673">
        <v>-2</v>
      </c>
      <c r="R673" t="s">
        <v>31</v>
      </c>
      <c r="S673" t="s">
        <v>30</v>
      </c>
      <c r="T673">
        <v>0.01</v>
      </c>
      <c r="U673" t="s">
        <v>31</v>
      </c>
      <c r="V673">
        <v>0</v>
      </c>
    </row>
    <row r="674" spans="1:22" x14ac:dyDescent="0.25">
      <c r="A674" t="s">
        <v>770</v>
      </c>
      <c r="B674" t="s">
        <v>56</v>
      </c>
      <c r="C674" t="s">
        <v>57</v>
      </c>
      <c r="D674" t="s">
        <v>58</v>
      </c>
      <c r="E674" t="s">
        <v>63</v>
      </c>
      <c r="F674" t="s">
        <v>64</v>
      </c>
      <c r="G674" s="1">
        <v>46169</v>
      </c>
      <c r="H674" s="1">
        <v>46199</v>
      </c>
      <c r="I674">
        <v>30</v>
      </c>
      <c r="J674">
        <v>10879.25</v>
      </c>
      <c r="K674">
        <v>10879.25</v>
      </c>
      <c r="L674">
        <v>0</v>
      </c>
      <c r="M674" s="1">
        <v>46173</v>
      </c>
      <c r="N674" t="s">
        <v>28</v>
      </c>
      <c r="O674" t="s">
        <v>77</v>
      </c>
      <c r="P674">
        <v>4</v>
      </c>
      <c r="Q674">
        <v>26</v>
      </c>
      <c r="R674" t="s">
        <v>30</v>
      </c>
      <c r="S674" t="s">
        <v>31</v>
      </c>
      <c r="T674">
        <v>0</v>
      </c>
      <c r="U674" t="s">
        <v>31</v>
      </c>
      <c r="V674">
        <v>0</v>
      </c>
    </row>
    <row r="675" spans="1:22" x14ac:dyDescent="0.25">
      <c r="A675" t="s">
        <v>771</v>
      </c>
      <c r="B675" t="s">
        <v>187</v>
      </c>
      <c r="C675" t="s">
        <v>188</v>
      </c>
      <c r="D675" t="s">
        <v>73</v>
      </c>
      <c r="E675" t="s">
        <v>45</v>
      </c>
      <c r="F675" t="s">
        <v>50</v>
      </c>
      <c r="G675" s="1">
        <v>46031</v>
      </c>
      <c r="H675" s="1">
        <v>46061</v>
      </c>
      <c r="I675">
        <v>30</v>
      </c>
      <c r="J675">
        <v>17262.060000000001</v>
      </c>
      <c r="K675">
        <v>17262.060000000001</v>
      </c>
      <c r="L675">
        <v>0</v>
      </c>
      <c r="M675" s="1">
        <v>46058</v>
      </c>
      <c r="N675" t="s">
        <v>28</v>
      </c>
      <c r="O675" t="s">
        <v>77</v>
      </c>
      <c r="P675">
        <v>27</v>
      </c>
      <c r="Q675">
        <v>3</v>
      </c>
      <c r="R675" t="s">
        <v>30</v>
      </c>
      <c r="S675" t="s">
        <v>30</v>
      </c>
      <c r="T675">
        <v>0.01</v>
      </c>
      <c r="U675" t="s">
        <v>31</v>
      </c>
      <c r="V675">
        <v>0</v>
      </c>
    </row>
    <row r="676" spans="1:22" x14ac:dyDescent="0.25">
      <c r="A676" t="s">
        <v>772</v>
      </c>
      <c r="B676" t="s">
        <v>85</v>
      </c>
      <c r="C676" t="s">
        <v>86</v>
      </c>
      <c r="D676" t="s">
        <v>25</v>
      </c>
      <c r="E676" t="s">
        <v>68</v>
      </c>
      <c r="F676" t="s">
        <v>41</v>
      </c>
      <c r="G676" s="1">
        <v>45723</v>
      </c>
      <c r="H676" s="1">
        <v>45783</v>
      </c>
      <c r="I676">
        <v>60</v>
      </c>
      <c r="J676">
        <v>13044.62</v>
      </c>
      <c r="K676">
        <v>13044.62</v>
      </c>
      <c r="L676">
        <v>0</v>
      </c>
      <c r="M676" s="1">
        <v>45782</v>
      </c>
      <c r="N676" t="s">
        <v>28</v>
      </c>
      <c r="O676" t="s">
        <v>69</v>
      </c>
      <c r="P676">
        <v>59</v>
      </c>
      <c r="Q676">
        <v>1</v>
      </c>
      <c r="R676" t="s">
        <v>30</v>
      </c>
      <c r="S676" t="s">
        <v>31</v>
      </c>
      <c r="T676">
        <v>0</v>
      </c>
      <c r="U676" t="s">
        <v>31</v>
      </c>
      <c r="V676">
        <v>0</v>
      </c>
    </row>
    <row r="677" spans="1:22" x14ac:dyDescent="0.25">
      <c r="A677" t="s">
        <v>773</v>
      </c>
      <c r="B677" t="s">
        <v>56</v>
      </c>
      <c r="C677" t="s">
        <v>57</v>
      </c>
      <c r="D677" t="s">
        <v>58</v>
      </c>
      <c r="E677" t="s">
        <v>63</v>
      </c>
      <c r="F677" t="s">
        <v>64</v>
      </c>
      <c r="G677" s="1">
        <v>45774</v>
      </c>
      <c r="H677" s="1">
        <v>45804</v>
      </c>
      <c r="I677">
        <v>30</v>
      </c>
      <c r="J677">
        <v>8548.6</v>
      </c>
      <c r="K677">
        <v>3891.92</v>
      </c>
      <c r="L677">
        <v>4656.68</v>
      </c>
      <c r="M677" s="1">
        <v>45814</v>
      </c>
      <c r="N677" t="s">
        <v>98</v>
      </c>
      <c r="O677" t="s">
        <v>69</v>
      </c>
      <c r="P677">
        <v>40</v>
      </c>
      <c r="Q677">
        <v>-10</v>
      </c>
      <c r="R677" t="s">
        <v>31</v>
      </c>
      <c r="S677" t="s">
        <v>30</v>
      </c>
      <c r="T677">
        <v>0.01</v>
      </c>
      <c r="U677" t="s">
        <v>31</v>
      </c>
      <c r="V677">
        <v>0</v>
      </c>
    </row>
    <row r="678" spans="1:22" x14ac:dyDescent="0.25">
      <c r="A678" t="s">
        <v>774</v>
      </c>
      <c r="B678" t="s">
        <v>79</v>
      </c>
      <c r="C678" t="s">
        <v>80</v>
      </c>
      <c r="D678" t="s">
        <v>49</v>
      </c>
      <c r="E678" t="s">
        <v>45</v>
      </c>
      <c r="F678" t="s">
        <v>41</v>
      </c>
      <c r="G678" s="1">
        <v>45821</v>
      </c>
      <c r="H678" s="1">
        <v>45851</v>
      </c>
      <c r="I678">
        <v>30</v>
      </c>
      <c r="J678">
        <v>15090.17</v>
      </c>
      <c r="K678">
        <v>6622.86</v>
      </c>
      <c r="L678">
        <v>8467.31</v>
      </c>
      <c r="M678" s="1">
        <v>45863</v>
      </c>
      <c r="N678" t="s">
        <v>98</v>
      </c>
      <c r="O678" t="s">
        <v>77</v>
      </c>
      <c r="P678">
        <v>42</v>
      </c>
      <c r="Q678">
        <v>-12</v>
      </c>
      <c r="R678" t="s">
        <v>31</v>
      </c>
      <c r="S678" t="s">
        <v>30</v>
      </c>
      <c r="T678">
        <v>0.01</v>
      </c>
      <c r="U678" t="s">
        <v>31</v>
      </c>
      <c r="V678">
        <v>0</v>
      </c>
    </row>
    <row r="679" spans="1:22" x14ac:dyDescent="0.25">
      <c r="A679" t="s">
        <v>775</v>
      </c>
      <c r="B679" t="s">
        <v>120</v>
      </c>
      <c r="C679" t="s">
        <v>121</v>
      </c>
      <c r="D679" t="s">
        <v>54</v>
      </c>
      <c r="E679" t="s">
        <v>26</v>
      </c>
      <c r="F679" t="s">
        <v>41</v>
      </c>
      <c r="G679" s="1">
        <v>45743</v>
      </c>
      <c r="H679" s="1">
        <v>45758</v>
      </c>
      <c r="I679">
        <v>15</v>
      </c>
      <c r="J679">
        <v>5051.62</v>
      </c>
      <c r="K679">
        <v>5051.62</v>
      </c>
      <c r="L679">
        <v>0</v>
      </c>
      <c r="M679" s="1">
        <v>45762</v>
      </c>
      <c r="N679" t="s">
        <v>28</v>
      </c>
      <c r="O679" t="s">
        <v>77</v>
      </c>
      <c r="P679">
        <v>19</v>
      </c>
      <c r="Q679">
        <v>-4</v>
      </c>
      <c r="R679" t="s">
        <v>31</v>
      </c>
      <c r="S679" t="s">
        <v>30</v>
      </c>
      <c r="T679">
        <v>0.02</v>
      </c>
      <c r="U679" t="s">
        <v>31</v>
      </c>
      <c r="V679">
        <v>0</v>
      </c>
    </row>
    <row r="680" spans="1:22" x14ac:dyDescent="0.25">
      <c r="A680" t="s">
        <v>776</v>
      </c>
      <c r="B680" t="s">
        <v>38</v>
      </c>
      <c r="C680" t="s">
        <v>39</v>
      </c>
      <c r="D680" t="s">
        <v>35</v>
      </c>
      <c r="E680" t="s">
        <v>68</v>
      </c>
      <c r="F680" t="s">
        <v>27</v>
      </c>
      <c r="G680" s="1">
        <v>45899</v>
      </c>
      <c r="H680" s="1">
        <v>45929</v>
      </c>
      <c r="I680">
        <v>30</v>
      </c>
      <c r="J680">
        <v>13394.93</v>
      </c>
      <c r="K680">
        <v>0</v>
      </c>
      <c r="L680">
        <v>13394.93</v>
      </c>
      <c r="N680" t="s">
        <v>59</v>
      </c>
      <c r="O680" t="s">
        <v>69</v>
      </c>
      <c r="Q680">
        <v>-244</v>
      </c>
      <c r="R680" t="s">
        <v>31</v>
      </c>
      <c r="S680" t="s">
        <v>31</v>
      </c>
      <c r="T680">
        <v>0</v>
      </c>
      <c r="U680" t="s">
        <v>31</v>
      </c>
      <c r="V680">
        <v>0</v>
      </c>
    </row>
    <row r="681" spans="1:22" x14ac:dyDescent="0.25">
      <c r="A681" t="s">
        <v>777</v>
      </c>
      <c r="B681" t="s">
        <v>82</v>
      </c>
      <c r="C681" t="s">
        <v>83</v>
      </c>
      <c r="D681" t="s">
        <v>58</v>
      </c>
      <c r="E681" t="s">
        <v>63</v>
      </c>
      <c r="F681" t="s">
        <v>50</v>
      </c>
      <c r="G681" s="1">
        <v>45750</v>
      </c>
      <c r="H681" s="1">
        <v>45840</v>
      </c>
      <c r="I681">
        <v>90</v>
      </c>
      <c r="J681">
        <v>11808.84</v>
      </c>
      <c r="K681">
        <v>5486.89</v>
      </c>
      <c r="L681">
        <v>6321.95</v>
      </c>
      <c r="M681" s="1">
        <v>45853</v>
      </c>
      <c r="N681" t="s">
        <v>98</v>
      </c>
      <c r="O681" t="s">
        <v>29</v>
      </c>
      <c r="P681">
        <v>103</v>
      </c>
      <c r="Q681">
        <v>-13</v>
      </c>
      <c r="R681" t="s">
        <v>31</v>
      </c>
      <c r="S681" t="s">
        <v>30</v>
      </c>
      <c r="T681">
        <v>5.0000000000000001E-3</v>
      </c>
      <c r="U681" t="s">
        <v>31</v>
      </c>
      <c r="V681">
        <v>0</v>
      </c>
    </row>
    <row r="682" spans="1:22" x14ac:dyDescent="0.25">
      <c r="A682" t="s">
        <v>778</v>
      </c>
      <c r="B682" t="s">
        <v>71</v>
      </c>
      <c r="C682" t="s">
        <v>72</v>
      </c>
      <c r="D682" t="s">
        <v>73</v>
      </c>
      <c r="E682" t="s">
        <v>45</v>
      </c>
      <c r="F682" t="s">
        <v>64</v>
      </c>
      <c r="G682" s="1">
        <v>45805</v>
      </c>
      <c r="H682" s="1">
        <v>45835</v>
      </c>
      <c r="I682">
        <v>30</v>
      </c>
      <c r="J682">
        <v>5524.86</v>
      </c>
      <c r="K682">
        <v>5524.86</v>
      </c>
      <c r="L682">
        <v>0</v>
      </c>
      <c r="M682" s="1">
        <v>45822</v>
      </c>
      <c r="N682" t="s">
        <v>28</v>
      </c>
      <c r="O682" t="s">
        <v>69</v>
      </c>
      <c r="P682">
        <v>17</v>
      </c>
      <c r="Q682">
        <v>13</v>
      </c>
      <c r="R682" t="s">
        <v>30</v>
      </c>
      <c r="S682" t="s">
        <v>30</v>
      </c>
      <c r="T682">
        <v>0.01</v>
      </c>
      <c r="U682" t="s">
        <v>31</v>
      </c>
      <c r="V682">
        <v>0</v>
      </c>
    </row>
    <row r="683" spans="1:22" x14ac:dyDescent="0.25">
      <c r="A683" t="s">
        <v>779</v>
      </c>
      <c r="B683" t="s">
        <v>33</v>
      </c>
      <c r="C683" t="s">
        <v>34</v>
      </c>
      <c r="D683" t="s">
        <v>35</v>
      </c>
      <c r="E683" t="s">
        <v>45</v>
      </c>
      <c r="F683" t="s">
        <v>50</v>
      </c>
      <c r="G683" s="1">
        <v>45982</v>
      </c>
      <c r="H683" s="1">
        <v>46012</v>
      </c>
      <c r="I683">
        <v>30</v>
      </c>
      <c r="J683">
        <v>45930.879999999997</v>
      </c>
      <c r="K683">
        <v>45930.879999999997</v>
      </c>
      <c r="L683">
        <v>0</v>
      </c>
      <c r="M683" s="1">
        <v>46020</v>
      </c>
      <c r="N683" t="s">
        <v>28</v>
      </c>
      <c r="O683" t="s">
        <v>29</v>
      </c>
      <c r="P683">
        <v>38</v>
      </c>
      <c r="Q683">
        <v>-8</v>
      </c>
      <c r="R683" t="s">
        <v>31</v>
      </c>
      <c r="S683" t="s">
        <v>30</v>
      </c>
      <c r="T683">
        <v>0.01</v>
      </c>
      <c r="U683" t="s">
        <v>31</v>
      </c>
      <c r="V683">
        <v>0</v>
      </c>
    </row>
    <row r="684" spans="1:22" x14ac:dyDescent="0.25">
      <c r="A684" t="s">
        <v>780</v>
      </c>
      <c r="B684" t="s">
        <v>131</v>
      </c>
      <c r="C684" t="s">
        <v>132</v>
      </c>
      <c r="D684" t="s">
        <v>49</v>
      </c>
      <c r="E684" t="s">
        <v>40</v>
      </c>
      <c r="F684" t="s">
        <v>92</v>
      </c>
      <c r="G684" s="1">
        <v>45973</v>
      </c>
      <c r="H684" s="1">
        <v>46033</v>
      </c>
      <c r="I684">
        <v>60</v>
      </c>
      <c r="J684">
        <v>3011.56</v>
      </c>
      <c r="K684">
        <v>3011.56</v>
      </c>
      <c r="L684">
        <v>0</v>
      </c>
      <c r="M684" s="1">
        <v>46039</v>
      </c>
      <c r="N684" t="s">
        <v>28</v>
      </c>
      <c r="O684" t="s">
        <v>69</v>
      </c>
      <c r="P684">
        <v>66</v>
      </c>
      <c r="Q684">
        <v>-6</v>
      </c>
      <c r="R684" t="s">
        <v>31</v>
      </c>
      <c r="S684" t="s">
        <v>31</v>
      </c>
      <c r="T684">
        <v>0</v>
      </c>
      <c r="U684" t="s">
        <v>31</v>
      </c>
      <c r="V684">
        <v>0</v>
      </c>
    </row>
    <row r="685" spans="1:22" x14ac:dyDescent="0.25">
      <c r="A685" t="s">
        <v>781</v>
      </c>
      <c r="B685" t="s">
        <v>33</v>
      </c>
      <c r="C685" t="s">
        <v>34</v>
      </c>
      <c r="D685" t="s">
        <v>35</v>
      </c>
      <c r="E685" t="s">
        <v>40</v>
      </c>
      <c r="F685" t="s">
        <v>92</v>
      </c>
      <c r="G685" s="1">
        <v>46029</v>
      </c>
      <c r="H685" s="1">
        <v>46074</v>
      </c>
      <c r="I685">
        <v>45</v>
      </c>
      <c r="J685">
        <v>72736.78</v>
      </c>
      <c r="K685">
        <v>72736.78</v>
      </c>
      <c r="L685">
        <v>0</v>
      </c>
      <c r="M685" s="1">
        <v>46065</v>
      </c>
      <c r="N685" t="s">
        <v>28</v>
      </c>
      <c r="O685" t="s">
        <v>69</v>
      </c>
      <c r="P685">
        <v>36</v>
      </c>
      <c r="Q685">
        <v>9</v>
      </c>
      <c r="R685" t="s">
        <v>30</v>
      </c>
      <c r="S685" t="s">
        <v>30</v>
      </c>
      <c r="T685">
        <v>1.4999999999999999E-2</v>
      </c>
      <c r="U685" t="s">
        <v>31</v>
      </c>
      <c r="V685">
        <v>0</v>
      </c>
    </row>
    <row r="686" spans="1:22" x14ac:dyDescent="0.25">
      <c r="A686" t="s">
        <v>782</v>
      </c>
      <c r="B686" t="s">
        <v>52</v>
      </c>
      <c r="C686" t="s">
        <v>53</v>
      </c>
      <c r="D686" t="s">
        <v>54</v>
      </c>
      <c r="E686" t="s">
        <v>45</v>
      </c>
      <c r="F686" t="s">
        <v>41</v>
      </c>
      <c r="G686" s="1">
        <v>45919</v>
      </c>
      <c r="H686" s="1">
        <v>45979</v>
      </c>
      <c r="I686">
        <v>60</v>
      </c>
      <c r="J686">
        <v>4862.88</v>
      </c>
      <c r="K686">
        <v>4862.88</v>
      </c>
      <c r="L686">
        <v>0</v>
      </c>
      <c r="M686" s="1">
        <v>45975</v>
      </c>
      <c r="N686" t="s">
        <v>28</v>
      </c>
      <c r="O686" t="s">
        <v>77</v>
      </c>
      <c r="P686">
        <v>56</v>
      </c>
      <c r="Q686">
        <v>4</v>
      </c>
      <c r="R686" t="s">
        <v>30</v>
      </c>
      <c r="S686" t="s">
        <v>31</v>
      </c>
      <c r="T686">
        <v>0</v>
      </c>
      <c r="U686" t="s">
        <v>31</v>
      </c>
      <c r="V686">
        <v>0</v>
      </c>
    </row>
    <row r="687" spans="1:22" x14ac:dyDescent="0.25">
      <c r="A687" t="s">
        <v>783</v>
      </c>
      <c r="B687" t="s">
        <v>120</v>
      </c>
      <c r="C687" t="s">
        <v>121</v>
      </c>
      <c r="D687" t="s">
        <v>54</v>
      </c>
      <c r="E687" t="s">
        <v>45</v>
      </c>
      <c r="F687" t="s">
        <v>92</v>
      </c>
      <c r="G687" s="1">
        <v>45938</v>
      </c>
      <c r="H687" s="1">
        <v>45953</v>
      </c>
      <c r="I687">
        <v>15</v>
      </c>
      <c r="J687">
        <v>13063.45</v>
      </c>
      <c r="K687">
        <v>0</v>
      </c>
      <c r="L687">
        <v>13063.45</v>
      </c>
      <c r="N687" t="s">
        <v>59</v>
      </c>
      <c r="O687" t="s">
        <v>69</v>
      </c>
      <c r="Q687">
        <v>-220</v>
      </c>
      <c r="R687" t="s">
        <v>31</v>
      </c>
      <c r="S687" t="s">
        <v>31</v>
      </c>
      <c r="T687">
        <v>0</v>
      </c>
      <c r="U687" t="s">
        <v>31</v>
      </c>
      <c r="V687">
        <v>0</v>
      </c>
    </row>
    <row r="688" spans="1:22" x14ac:dyDescent="0.25">
      <c r="A688" t="s">
        <v>784</v>
      </c>
      <c r="B688" t="s">
        <v>100</v>
      </c>
      <c r="C688" t="s">
        <v>101</v>
      </c>
      <c r="D688" t="s">
        <v>54</v>
      </c>
      <c r="E688" t="s">
        <v>45</v>
      </c>
      <c r="F688" t="s">
        <v>92</v>
      </c>
      <c r="G688" s="1">
        <v>45822</v>
      </c>
      <c r="H688" s="1">
        <v>45852</v>
      </c>
      <c r="I688">
        <v>30</v>
      </c>
      <c r="J688">
        <v>10627.99</v>
      </c>
      <c r="K688">
        <v>10627.99</v>
      </c>
      <c r="L688">
        <v>0</v>
      </c>
      <c r="M688" s="1">
        <v>45867</v>
      </c>
      <c r="N688" t="s">
        <v>28</v>
      </c>
      <c r="O688" t="s">
        <v>69</v>
      </c>
      <c r="P688">
        <v>45</v>
      </c>
      <c r="Q688">
        <v>-15</v>
      </c>
      <c r="R688" t="s">
        <v>31</v>
      </c>
      <c r="S688" t="s">
        <v>30</v>
      </c>
      <c r="T688">
        <v>0.01</v>
      </c>
      <c r="U688" t="s">
        <v>31</v>
      </c>
      <c r="V688">
        <v>0</v>
      </c>
    </row>
    <row r="689" spans="1:22" x14ac:dyDescent="0.25">
      <c r="A689" t="s">
        <v>785</v>
      </c>
      <c r="B689" t="s">
        <v>187</v>
      </c>
      <c r="C689" t="s">
        <v>188</v>
      </c>
      <c r="D689" t="s">
        <v>73</v>
      </c>
      <c r="E689" t="s">
        <v>63</v>
      </c>
      <c r="F689" t="s">
        <v>92</v>
      </c>
      <c r="G689" s="1">
        <v>45711</v>
      </c>
      <c r="H689" s="1">
        <v>45726</v>
      </c>
      <c r="I689">
        <v>15</v>
      </c>
      <c r="J689">
        <v>23165.3</v>
      </c>
      <c r="K689">
        <v>23165.3</v>
      </c>
      <c r="L689">
        <v>0</v>
      </c>
      <c r="M689" s="1">
        <v>45726</v>
      </c>
      <c r="N689" t="s">
        <v>28</v>
      </c>
      <c r="O689" t="s">
        <v>69</v>
      </c>
      <c r="P689">
        <v>15</v>
      </c>
      <c r="Q689">
        <v>0</v>
      </c>
      <c r="R689" t="s">
        <v>30</v>
      </c>
      <c r="S689" t="s">
        <v>30</v>
      </c>
      <c r="T689">
        <v>0.02</v>
      </c>
      <c r="U689" t="s">
        <v>31</v>
      </c>
      <c r="V689">
        <v>0</v>
      </c>
    </row>
    <row r="690" spans="1:22" x14ac:dyDescent="0.25">
      <c r="A690" t="s">
        <v>786</v>
      </c>
      <c r="B690" t="s">
        <v>153</v>
      </c>
      <c r="C690" t="s">
        <v>154</v>
      </c>
      <c r="D690" t="s">
        <v>58</v>
      </c>
      <c r="E690" t="s">
        <v>68</v>
      </c>
      <c r="F690" t="s">
        <v>92</v>
      </c>
      <c r="G690" s="1">
        <v>45819</v>
      </c>
      <c r="H690" s="1">
        <v>45849</v>
      </c>
      <c r="I690">
        <v>30</v>
      </c>
      <c r="J690">
        <v>12235.33</v>
      </c>
      <c r="K690">
        <v>12235.33</v>
      </c>
      <c r="L690">
        <v>0</v>
      </c>
      <c r="M690" s="1">
        <v>45849</v>
      </c>
      <c r="N690" t="s">
        <v>28</v>
      </c>
      <c r="O690" t="s">
        <v>77</v>
      </c>
      <c r="P690">
        <v>30</v>
      </c>
      <c r="Q690">
        <v>0</v>
      </c>
      <c r="R690" t="s">
        <v>30</v>
      </c>
      <c r="S690" t="s">
        <v>31</v>
      </c>
      <c r="T690">
        <v>0</v>
      </c>
      <c r="U690" t="s">
        <v>31</v>
      </c>
      <c r="V690">
        <v>0</v>
      </c>
    </row>
    <row r="691" spans="1:22" x14ac:dyDescent="0.25">
      <c r="A691" t="s">
        <v>787</v>
      </c>
      <c r="B691" t="s">
        <v>23</v>
      </c>
      <c r="C691" t="s">
        <v>24</v>
      </c>
      <c r="D691" t="s">
        <v>25</v>
      </c>
      <c r="E691" t="s">
        <v>40</v>
      </c>
      <c r="F691" t="s">
        <v>50</v>
      </c>
      <c r="G691" s="1">
        <v>46120</v>
      </c>
      <c r="H691" s="1">
        <v>46180</v>
      </c>
      <c r="I691">
        <v>60</v>
      </c>
      <c r="J691">
        <v>10088.94</v>
      </c>
      <c r="K691">
        <v>10088.94</v>
      </c>
      <c r="L691">
        <v>0</v>
      </c>
      <c r="M691" s="1">
        <v>46173</v>
      </c>
      <c r="N691" t="s">
        <v>28</v>
      </c>
      <c r="O691" t="s">
        <v>69</v>
      </c>
      <c r="P691">
        <v>53</v>
      </c>
      <c r="Q691">
        <v>7</v>
      </c>
      <c r="R691" t="s">
        <v>30</v>
      </c>
      <c r="S691" t="s">
        <v>31</v>
      </c>
      <c r="T691">
        <v>0</v>
      </c>
      <c r="U691" t="s">
        <v>31</v>
      </c>
      <c r="V691">
        <v>0</v>
      </c>
    </row>
    <row r="692" spans="1:22" x14ac:dyDescent="0.25">
      <c r="A692" t="s">
        <v>788</v>
      </c>
      <c r="B692" t="s">
        <v>153</v>
      </c>
      <c r="C692" t="s">
        <v>154</v>
      </c>
      <c r="D692" t="s">
        <v>58</v>
      </c>
      <c r="E692" t="s">
        <v>26</v>
      </c>
      <c r="F692" t="s">
        <v>41</v>
      </c>
      <c r="G692" s="1">
        <v>46060</v>
      </c>
      <c r="H692" s="1">
        <v>46090</v>
      </c>
      <c r="I692">
        <v>30</v>
      </c>
      <c r="J692">
        <v>35426.43</v>
      </c>
      <c r="K692">
        <v>14604.32</v>
      </c>
      <c r="L692">
        <v>20822.11</v>
      </c>
      <c r="M692" s="1">
        <v>46085</v>
      </c>
      <c r="N692" t="s">
        <v>98</v>
      </c>
      <c r="O692" t="s">
        <v>29</v>
      </c>
      <c r="P692">
        <v>25</v>
      </c>
      <c r="Q692">
        <v>5</v>
      </c>
      <c r="R692" t="s">
        <v>30</v>
      </c>
      <c r="S692" t="s">
        <v>31</v>
      </c>
      <c r="T692">
        <v>0</v>
      </c>
      <c r="U692" t="s">
        <v>31</v>
      </c>
      <c r="V692">
        <v>0</v>
      </c>
    </row>
    <row r="693" spans="1:22" x14ac:dyDescent="0.25">
      <c r="A693" t="s">
        <v>789</v>
      </c>
      <c r="B693" t="s">
        <v>79</v>
      </c>
      <c r="C693" t="s">
        <v>80</v>
      </c>
      <c r="D693" t="s">
        <v>49</v>
      </c>
      <c r="E693" t="s">
        <v>63</v>
      </c>
      <c r="F693" t="s">
        <v>64</v>
      </c>
      <c r="G693" s="1">
        <v>45861</v>
      </c>
      <c r="H693" s="1">
        <v>45951</v>
      </c>
      <c r="I693">
        <v>90</v>
      </c>
      <c r="J693">
        <v>14565.59</v>
      </c>
      <c r="K693">
        <v>14565.59</v>
      </c>
      <c r="L693">
        <v>0</v>
      </c>
      <c r="M693" s="1">
        <v>45939</v>
      </c>
      <c r="N693" t="s">
        <v>28</v>
      </c>
      <c r="O693" t="s">
        <v>77</v>
      </c>
      <c r="P693">
        <v>78</v>
      </c>
      <c r="Q693">
        <v>12</v>
      </c>
      <c r="R693" t="s">
        <v>30</v>
      </c>
      <c r="S693" t="s">
        <v>31</v>
      </c>
      <c r="T693">
        <v>0</v>
      </c>
      <c r="U693" t="s">
        <v>31</v>
      </c>
      <c r="V693">
        <v>0</v>
      </c>
    </row>
    <row r="694" spans="1:22" x14ac:dyDescent="0.25">
      <c r="A694" t="s">
        <v>790</v>
      </c>
      <c r="B694" t="s">
        <v>187</v>
      </c>
      <c r="C694" t="s">
        <v>188</v>
      </c>
      <c r="D694" t="s">
        <v>73</v>
      </c>
      <c r="E694" t="s">
        <v>45</v>
      </c>
      <c r="F694" t="s">
        <v>50</v>
      </c>
      <c r="G694" s="1">
        <v>45749</v>
      </c>
      <c r="H694" s="1">
        <v>45779</v>
      </c>
      <c r="I694">
        <v>30</v>
      </c>
      <c r="J694">
        <v>33615.08</v>
      </c>
      <c r="K694">
        <v>33615.08</v>
      </c>
      <c r="L694">
        <v>0</v>
      </c>
      <c r="M694" s="1">
        <v>45788</v>
      </c>
      <c r="N694" t="s">
        <v>28</v>
      </c>
      <c r="O694" t="s">
        <v>29</v>
      </c>
      <c r="P694">
        <v>39</v>
      </c>
      <c r="Q694">
        <v>-9</v>
      </c>
      <c r="R694" t="s">
        <v>31</v>
      </c>
      <c r="S694" t="s">
        <v>30</v>
      </c>
      <c r="T694">
        <v>0.01</v>
      </c>
      <c r="U694" t="s">
        <v>31</v>
      </c>
      <c r="V694">
        <v>0</v>
      </c>
    </row>
    <row r="695" spans="1:22" x14ac:dyDescent="0.25">
      <c r="A695" t="s">
        <v>791</v>
      </c>
      <c r="B695" t="s">
        <v>85</v>
      </c>
      <c r="C695" t="s">
        <v>86</v>
      </c>
      <c r="D695" t="s">
        <v>25</v>
      </c>
      <c r="E695" t="s">
        <v>45</v>
      </c>
      <c r="F695" t="s">
        <v>41</v>
      </c>
      <c r="G695" s="1">
        <v>45866</v>
      </c>
      <c r="H695" s="1">
        <v>45896</v>
      </c>
      <c r="I695">
        <v>30</v>
      </c>
      <c r="J695">
        <v>4620.34</v>
      </c>
      <c r="K695">
        <v>2051.34</v>
      </c>
      <c r="L695">
        <v>2569</v>
      </c>
      <c r="M695" s="1">
        <v>45906</v>
      </c>
      <c r="N695" t="s">
        <v>98</v>
      </c>
      <c r="O695" t="s">
        <v>77</v>
      </c>
      <c r="P695">
        <v>40</v>
      </c>
      <c r="Q695">
        <v>-10</v>
      </c>
      <c r="R695" t="s">
        <v>31</v>
      </c>
      <c r="S695" t="s">
        <v>31</v>
      </c>
      <c r="T695">
        <v>0</v>
      </c>
      <c r="U695" t="s">
        <v>31</v>
      </c>
      <c r="V695">
        <v>0</v>
      </c>
    </row>
    <row r="696" spans="1:22" x14ac:dyDescent="0.25">
      <c r="A696" t="s">
        <v>792</v>
      </c>
      <c r="B696" t="s">
        <v>47</v>
      </c>
      <c r="C696" t="s">
        <v>48</v>
      </c>
      <c r="D696" t="s">
        <v>49</v>
      </c>
      <c r="E696" t="s">
        <v>40</v>
      </c>
      <c r="F696" t="s">
        <v>41</v>
      </c>
      <c r="G696" s="1">
        <v>45947</v>
      </c>
      <c r="H696" s="1">
        <v>45977</v>
      </c>
      <c r="I696">
        <v>30</v>
      </c>
      <c r="J696">
        <v>36881.99</v>
      </c>
      <c r="K696">
        <v>36881.99</v>
      </c>
      <c r="L696">
        <v>0</v>
      </c>
      <c r="M696" s="1">
        <v>45977</v>
      </c>
      <c r="N696" t="s">
        <v>28</v>
      </c>
      <c r="O696" t="s">
        <v>36</v>
      </c>
      <c r="P696">
        <v>30</v>
      </c>
      <c r="Q696">
        <v>0</v>
      </c>
      <c r="R696" t="s">
        <v>30</v>
      </c>
      <c r="S696" t="s">
        <v>30</v>
      </c>
      <c r="T696">
        <v>0.01</v>
      </c>
      <c r="U696" t="s">
        <v>31</v>
      </c>
      <c r="V696">
        <v>0</v>
      </c>
    </row>
    <row r="697" spans="1:22" x14ac:dyDescent="0.25">
      <c r="A697" t="s">
        <v>793</v>
      </c>
      <c r="B697" t="s">
        <v>75</v>
      </c>
      <c r="C697" t="s">
        <v>76</v>
      </c>
      <c r="D697" t="s">
        <v>35</v>
      </c>
      <c r="E697" t="s">
        <v>26</v>
      </c>
      <c r="F697" t="s">
        <v>92</v>
      </c>
      <c r="G697" s="1">
        <v>46119</v>
      </c>
      <c r="H697" s="1">
        <v>46149</v>
      </c>
      <c r="I697">
        <v>30</v>
      </c>
      <c r="J697">
        <v>73049.62</v>
      </c>
      <c r="K697">
        <v>73049.62</v>
      </c>
      <c r="L697">
        <v>0</v>
      </c>
      <c r="M697" s="1">
        <v>46153</v>
      </c>
      <c r="N697" t="s">
        <v>28</v>
      </c>
      <c r="O697" t="s">
        <v>29</v>
      </c>
      <c r="P697">
        <v>34</v>
      </c>
      <c r="Q697">
        <v>-4</v>
      </c>
      <c r="R697" t="s">
        <v>31</v>
      </c>
      <c r="S697" t="s">
        <v>30</v>
      </c>
      <c r="T697">
        <v>0.01</v>
      </c>
      <c r="U697" t="s">
        <v>31</v>
      </c>
      <c r="V697">
        <v>0</v>
      </c>
    </row>
    <row r="698" spans="1:22" x14ac:dyDescent="0.25">
      <c r="A698" t="s">
        <v>794</v>
      </c>
      <c r="B698" t="s">
        <v>143</v>
      </c>
      <c r="C698" t="s">
        <v>144</v>
      </c>
      <c r="D698" t="s">
        <v>25</v>
      </c>
      <c r="E698" t="s">
        <v>45</v>
      </c>
      <c r="F698" t="s">
        <v>64</v>
      </c>
      <c r="G698" s="1">
        <v>45920</v>
      </c>
      <c r="H698" s="1">
        <v>45980</v>
      </c>
      <c r="I698">
        <v>60</v>
      </c>
      <c r="J698">
        <v>2388.06</v>
      </c>
      <c r="K698">
        <v>2388.06</v>
      </c>
      <c r="L698">
        <v>0</v>
      </c>
      <c r="M698" s="1">
        <v>45980</v>
      </c>
      <c r="N698" t="s">
        <v>28</v>
      </c>
      <c r="O698" t="s">
        <v>69</v>
      </c>
      <c r="P698">
        <v>60</v>
      </c>
      <c r="Q698">
        <v>0</v>
      </c>
      <c r="R698" t="s">
        <v>30</v>
      </c>
      <c r="S698" t="s">
        <v>30</v>
      </c>
      <c r="T698">
        <v>0.01</v>
      </c>
      <c r="U698" t="s">
        <v>31</v>
      </c>
      <c r="V698">
        <v>0</v>
      </c>
    </row>
    <row r="699" spans="1:22" x14ac:dyDescent="0.25">
      <c r="A699" t="s">
        <v>795</v>
      </c>
      <c r="B699" t="s">
        <v>52</v>
      </c>
      <c r="C699" t="s">
        <v>53</v>
      </c>
      <c r="D699" t="s">
        <v>54</v>
      </c>
      <c r="E699" t="s">
        <v>45</v>
      </c>
      <c r="F699" t="s">
        <v>92</v>
      </c>
      <c r="G699" s="1">
        <v>45917</v>
      </c>
      <c r="H699" s="1">
        <v>45932</v>
      </c>
      <c r="I699">
        <v>15</v>
      </c>
      <c r="J699">
        <v>7815.86</v>
      </c>
      <c r="K699">
        <v>0</v>
      </c>
      <c r="L699">
        <v>7815.86</v>
      </c>
      <c r="N699" t="s">
        <v>59</v>
      </c>
      <c r="O699" t="s">
        <v>77</v>
      </c>
      <c r="Q699">
        <v>-241</v>
      </c>
      <c r="R699" t="s">
        <v>31</v>
      </c>
      <c r="S699" t="s">
        <v>30</v>
      </c>
      <c r="T699">
        <v>0.02</v>
      </c>
      <c r="U699" t="s">
        <v>31</v>
      </c>
      <c r="V699">
        <v>0</v>
      </c>
    </row>
    <row r="700" spans="1:22" x14ac:dyDescent="0.25">
      <c r="A700" t="s">
        <v>796</v>
      </c>
      <c r="B700" t="s">
        <v>56</v>
      </c>
      <c r="C700" t="s">
        <v>57</v>
      </c>
      <c r="D700" t="s">
        <v>58</v>
      </c>
      <c r="E700" t="s">
        <v>68</v>
      </c>
      <c r="F700" t="s">
        <v>64</v>
      </c>
      <c r="G700" s="1">
        <v>45924</v>
      </c>
      <c r="H700" s="1">
        <v>45954</v>
      </c>
      <c r="I700">
        <v>30</v>
      </c>
      <c r="J700">
        <v>9285.06</v>
      </c>
      <c r="K700">
        <v>9285.06</v>
      </c>
      <c r="L700">
        <v>0</v>
      </c>
      <c r="M700" s="1">
        <v>45951</v>
      </c>
      <c r="N700" t="s">
        <v>28</v>
      </c>
      <c r="O700" t="s">
        <v>77</v>
      </c>
      <c r="P700">
        <v>27</v>
      </c>
      <c r="Q700">
        <v>3</v>
      </c>
      <c r="R700" t="s">
        <v>30</v>
      </c>
      <c r="S700" t="s">
        <v>30</v>
      </c>
      <c r="T700">
        <v>0.01</v>
      </c>
      <c r="U700" t="s">
        <v>31</v>
      </c>
      <c r="V700">
        <v>0</v>
      </c>
    </row>
    <row r="701" spans="1:22" x14ac:dyDescent="0.25">
      <c r="A701" t="s">
        <v>797</v>
      </c>
      <c r="B701" t="s">
        <v>61</v>
      </c>
      <c r="C701" t="s">
        <v>62</v>
      </c>
      <c r="D701" t="s">
        <v>35</v>
      </c>
      <c r="E701" t="s">
        <v>63</v>
      </c>
      <c r="F701" t="s">
        <v>41</v>
      </c>
      <c r="G701" s="1">
        <v>45777</v>
      </c>
      <c r="H701" s="1">
        <v>45822</v>
      </c>
      <c r="I701">
        <v>45</v>
      </c>
      <c r="J701">
        <v>28495.22</v>
      </c>
      <c r="K701">
        <v>28495.22</v>
      </c>
      <c r="L701">
        <v>0</v>
      </c>
      <c r="M701" s="1">
        <v>45822</v>
      </c>
      <c r="N701" t="s">
        <v>28</v>
      </c>
      <c r="O701" t="s">
        <v>36</v>
      </c>
      <c r="P701">
        <v>45</v>
      </c>
      <c r="Q701">
        <v>0</v>
      </c>
      <c r="R701" t="s">
        <v>30</v>
      </c>
      <c r="S701" t="s">
        <v>31</v>
      </c>
      <c r="T701">
        <v>0</v>
      </c>
      <c r="U701" t="s">
        <v>31</v>
      </c>
      <c r="V701">
        <v>0</v>
      </c>
    </row>
    <row r="702" spans="1:22" x14ac:dyDescent="0.25">
      <c r="A702" t="s">
        <v>798</v>
      </c>
      <c r="B702" t="s">
        <v>131</v>
      </c>
      <c r="C702" t="s">
        <v>132</v>
      </c>
      <c r="D702" t="s">
        <v>49</v>
      </c>
      <c r="E702" t="s">
        <v>68</v>
      </c>
      <c r="F702" t="s">
        <v>41</v>
      </c>
      <c r="G702" s="1">
        <v>45928</v>
      </c>
      <c r="H702" s="1">
        <v>45973</v>
      </c>
      <c r="I702">
        <v>45</v>
      </c>
      <c r="J702">
        <v>26814.69</v>
      </c>
      <c r="K702">
        <v>26814.69</v>
      </c>
      <c r="L702">
        <v>0</v>
      </c>
      <c r="M702" s="1">
        <v>45973</v>
      </c>
      <c r="N702" t="s">
        <v>28</v>
      </c>
      <c r="O702" t="s">
        <v>29</v>
      </c>
      <c r="P702">
        <v>45</v>
      </c>
      <c r="Q702">
        <v>0</v>
      </c>
      <c r="R702" t="s">
        <v>30</v>
      </c>
      <c r="S702" t="s">
        <v>30</v>
      </c>
      <c r="T702">
        <v>1.4999999999999999E-2</v>
      </c>
      <c r="U702" t="s">
        <v>31</v>
      </c>
      <c r="V702">
        <v>0</v>
      </c>
    </row>
    <row r="703" spans="1:22" x14ac:dyDescent="0.25">
      <c r="A703" t="s">
        <v>799</v>
      </c>
      <c r="B703" t="s">
        <v>75</v>
      </c>
      <c r="C703" t="s">
        <v>76</v>
      </c>
      <c r="D703" t="s">
        <v>35</v>
      </c>
      <c r="E703" t="s">
        <v>63</v>
      </c>
      <c r="F703" t="s">
        <v>41</v>
      </c>
      <c r="G703" s="1">
        <v>45810</v>
      </c>
      <c r="H703" s="1">
        <v>45840</v>
      </c>
      <c r="I703">
        <v>30</v>
      </c>
      <c r="J703">
        <v>9092.5400000000009</v>
      </c>
      <c r="K703">
        <v>9092.5400000000009</v>
      </c>
      <c r="L703">
        <v>0</v>
      </c>
      <c r="M703" s="1">
        <v>45831</v>
      </c>
      <c r="N703" t="s">
        <v>28</v>
      </c>
      <c r="O703" t="s">
        <v>77</v>
      </c>
      <c r="P703">
        <v>21</v>
      </c>
      <c r="Q703">
        <v>9</v>
      </c>
      <c r="R703" t="s">
        <v>30</v>
      </c>
      <c r="S703" t="s">
        <v>30</v>
      </c>
      <c r="T703">
        <v>0.01</v>
      </c>
      <c r="U703" t="s">
        <v>31</v>
      </c>
      <c r="V703">
        <v>0</v>
      </c>
    </row>
    <row r="704" spans="1:22" x14ac:dyDescent="0.25">
      <c r="A704" t="s">
        <v>800</v>
      </c>
      <c r="B704" t="s">
        <v>120</v>
      </c>
      <c r="C704" t="s">
        <v>121</v>
      </c>
      <c r="D704" t="s">
        <v>54</v>
      </c>
      <c r="E704" t="s">
        <v>45</v>
      </c>
      <c r="F704" t="s">
        <v>41</v>
      </c>
      <c r="G704" s="1">
        <v>45699</v>
      </c>
      <c r="H704" s="1">
        <v>45789</v>
      </c>
      <c r="I704">
        <v>90</v>
      </c>
      <c r="J704">
        <v>6902.04</v>
      </c>
      <c r="K704">
        <v>6902.04</v>
      </c>
      <c r="L704">
        <v>0</v>
      </c>
      <c r="M704" s="1">
        <v>45786</v>
      </c>
      <c r="N704" t="s">
        <v>28</v>
      </c>
      <c r="O704" t="s">
        <v>77</v>
      </c>
      <c r="P704">
        <v>87</v>
      </c>
      <c r="Q704">
        <v>3</v>
      </c>
      <c r="R704" t="s">
        <v>30</v>
      </c>
      <c r="S704" t="s">
        <v>31</v>
      </c>
      <c r="T704">
        <v>0</v>
      </c>
      <c r="U704" t="s">
        <v>31</v>
      </c>
      <c r="V704">
        <v>0</v>
      </c>
    </row>
    <row r="705" spans="1:22" x14ac:dyDescent="0.25">
      <c r="A705" t="s">
        <v>801</v>
      </c>
      <c r="B705" t="s">
        <v>71</v>
      </c>
      <c r="C705" t="s">
        <v>72</v>
      </c>
      <c r="D705" t="s">
        <v>73</v>
      </c>
      <c r="E705" t="s">
        <v>40</v>
      </c>
      <c r="F705" t="s">
        <v>27</v>
      </c>
      <c r="G705" s="1">
        <v>45866</v>
      </c>
      <c r="H705" s="1">
        <v>45896</v>
      </c>
      <c r="I705">
        <v>30</v>
      </c>
      <c r="J705">
        <v>30649.71</v>
      </c>
      <c r="K705">
        <v>30649.71</v>
      </c>
      <c r="L705">
        <v>0</v>
      </c>
      <c r="M705" s="1">
        <v>45897</v>
      </c>
      <c r="N705" t="s">
        <v>28</v>
      </c>
      <c r="O705" t="s">
        <v>29</v>
      </c>
      <c r="P705">
        <v>31</v>
      </c>
      <c r="Q705">
        <v>-1</v>
      </c>
      <c r="R705" t="s">
        <v>31</v>
      </c>
      <c r="S705" t="s">
        <v>30</v>
      </c>
      <c r="T705">
        <v>0.01</v>
      </c>
      <c r="U705" t="s">
        <v>31</v>
      </c>
      <c r="V705">
        <v>0</v>
      </c>
    </row>
    <row r="706" spans="1:22" x14ac:dyDescent="0.25">
      <c r="A706" t="s">
        <v>802</v>
      </c>
      <c r="B706" t="s">
        <v>82</v>
      </c>
      <c r="C706" t="s">
        <v>83</v>
      </c>
      <c r="D706" t="s">
        <v>58</v>
      </c>
      <c r="E706" t="s">
        <v>68</v>
      </c>
      <c r="F706" t="s">
        <v>50</v>
      </c>
      <c r="G706" s="1">
        <v>45842</v>
      </c>
      <c r="H706" s="1">
        <v>45857</v>
      </c>
      <c r="I706">
        <v>15</v>
      </c>
      <c r="J706">
        <v>18407.5</v>
      </c>
      <c r="K706">
        <v>18407.5</v>
      </c>
      <c r="L706">
        <v>0</v>
      </c>
      <c r="M706" s="1">
        <v>45850</v>
      </c>
      <c r="N706" t="s">
        <v>28</v>
      </c>
      <c r="O706" t="s">
        <v>36</v>
      </c>
      <c r="P706">
        <v>8</v>
      </c>
      <c r="Q706">
        <v>7</v>
      </c>
      <c r="R706" t="s">
        <v>30</v>
      </c>
      <c r="S706" t="s">
        <v>30</v>
      </c>
      <c r="T706">
        <v>0.02</v>
      </c>
      <c r="U706" t="s">
        <v>31</v>
      </c>
      <c r="V706">
        <v>0</v>
      </c>
    </row>
    <row r="707" spans="1:22" x14ac:dyDescent="0.25">
      <c r="A707" t="s">
        <v>803</v>
      </c>
      <c r="B707" t="s">
        <v>95</v>
      </c>
      <c r="C707" t="s">
        <v>96</v>
      </c>
      <c r="D707" t="s">
        <v>49</v>
      </c>
      <c r="E707" t="s">
        <v>68</v>
      </c>
      <c r="F707" t="s">
        <v>27</v>
      </c>
      <c r="G707" s="1">
        <v>45766</v>
      </c>
      <c r="H707" s="1">
        <v>45826</v>
      </c>
      <c r="I707">
        <v>60</v>
      </c>
      <c r="J707">
        <v>42174.91</v>
      </c>
      <c r="K707">
        <v>42174.91</v>
      </c>
      <c r="L707">
        <v>0</v>
      </c>
      <c r="M707" s="1">
        <v>45812</v>
      </c>
      <c r="N707" t="s">
        <v>28</v>
      </c>
      <c r="O707" t="s">
        <v>69</v>
      </c>
      <c r="P707">
        <v>46</v>
      </c>
      <c r="Q707">
        <v>14</v>
      </c>
      <c r="R707" t="s">
        <v>30</v>
      </c>
      <c r="S707" t="s">
        <v>30</v>
      </c>
      <c r="T707">
        <v>0.01</v>
      </c>
      <c r="U707" t="s">
        <v>31</v>
      </c>
      <c r="V707">
        <v>0</v>
      </c>
    </row>
    <row r="708" spans="1:22" x14ac:dyDescent="0.25">
      <c r="A708" t="s">
        <v>804</v>
      </c>
      <c r="B708" t="s">
        <v>61</v>
      </c>
      <c r="C708" t="s">
        <v>62</v>
      </c>
      <c r="D708" t="s">
        <v>35</v>
      </c>
      <c r="E708" t="s">
        <v>45</v>
      </c>
      <c r="F708" t="s">
        <v>41</v>
      </c>
      <c r="G708" s="1">
        <v>45995</v>
      </c>
      <c r="H708" s="1">
        <v>46010</v>
      </c>
      <c r="I708">
        <v>15</v>
      </c>
      <c r="J708">
        <v>77732.789999999994</v>
      </c>
      <c r="K708">
        <v>0</v>
      </c>
      <c r="L708">
        <v>77732.789999999994</v>
      </c>
      <c r="N708" t="s">
        <v>59</v>
      </c>
      <c r="O708" t="s">
        <v>29</v>
      </c>
      <c r="Q708">
        <v>-163</v>
      </c>
      <c r="R708" t="s">
        <v>31</v>
      </c>
      <c r="S708" t="s">
        <v>30</v>
      </c>
      <c r="T708">
        <v>0.02</v>
      </c>
      <c r="U708" t="s">
        <v>31</v>
      </c>
      <c r="V708">
        <v>0</v>
      </c>
    </row>
    <row r="709" spans="1:22" x14ac:dyDescent="0.25">
      <c r="A709" t="s">
        <v>805</v>
      </c>
      <c r="B709" t="s">
        <v>143</v>
      </c>
      <c r="C709" t="s">
        <v>144</v>
      </c>
      <c r="D709" t="s">
        <v>25</v>
      </c>
      <c r="E709" t="s">
        <v>63</v>
      </c>
      <c r="F709" t="s">
        <v>64</v>
      </c>
      <c r="G709" s="1">
        <v>45947</v>
      </c>
      <c r="H709" s="1">
        <v>45962</v>
      </c>
      <c r="I709">
        <v>15</v>
      </c>
      <c r="J709">
        <v>7140.25</v>
      </c>
      <c r="K709">
        <v>7140.25</v>
      </c>
      <c r="L709">
        <v>0</v>
      </c>
      <c r="M709" s="1">
        <v>45969</v>
      </c>
      <c r="N709" t="s">
        <v>28</v>
      </c>
      <c r="O709" t="s">
        <v>36</v>
      </c>
      <c r="P709">
        <v>22</v>
      </c>
      <c r="Q709">
        <v>-7</v>
      </c>
      <c r="R709" t="s">
        <v>31</v>
      </c>
      <c r="S709" t="s">
        <v>30</v>
      </c>
      <c r="T709">
        <v>0.02</v>
      </c>
      <c r="U709" t="s">
        <v>31</v>
      </c>
      <c r="V709">
        <v>0</v>
      </c>
    </row>
    <row r="710" spans="1:22" x14ac:dyDescent="0.25">
      <c r="A710" t="s">
        <v>806</v>
      </c>
      <c r="B710" t="s">
        <v>47</v>
      </c>
      <c r="C710" t="s">
        <v>48</v>
      </c>
      <c r="D710" t="s">
        <v>49</v>
      </c>
      <c r="E710" t="s">
        <v>68</v>
      </c>
      <c r="F710" t="s">
        <v>64</v>
      </c>
      <c r="G710" s="1">
        <v>45749</v>
      </c>
      <c r="H710" s="1">
        <v>45809</v>
      </c>
      <c r="I710">
        <v>60</v>
      </c>
      <c r="J710">
        <v>2984.58</v>
      </c>
      <c r="K710">
        <v>2984.58</v>
      </c>
      <c r="L710">
        <v>0</v>
      </c>
      <c r="M710" s="1">
        <v>45807</v>
      </c>
      <c r="N710" t="s">
        <v>28</v>
      </c>
      <c r="O710" t="s">
        <v>36</v>
      </c>
      <c r="P710">
        <v>58</v>
      </c>
      <c r="Q710">
        <v>2</v>
      </c>
      <c r="R710" t="s">
        <v>30</v>
      </c>
      <c r="S710" t="s">
        <v>30</v>
      </c>
      <c r="T710">
        <v>0.01</v>
      </c>
      <c r="U710" t="s">
        <v>31</v>
      </c>
      <c r="V710">
        <v>0</v>
      </c>
    </row>
    <row r="711" spans="1:22" x14ac:dyDescent="0.25">
      <c r="A711" t="s">
        <v>807</v>
      </c>
      <c r="B711" t="s">
        <v>47</v>
      </c>
      <c r="C711" t="s">
        <v>48</v>
      </c>
      <c r="D711" t="s">
        <v>49</v>
      </c>
      <c r="E711" t="s">
        <v>68</v>
      </c>
      <c r="F711" t="s">
        <v>64</v>
      </c>
      <c r="G711" s="1">
        <v>46160</v>
      </c>
      <c r="H711" s="1">
        <v>46205</v>
      </c>
      <c r="I711">
        <v>45</v>
      </c>
      <c r="J711">
        <v>40452.82</v>
      </c>
      <c r="K711">
        <v>0</v>
      </c>
      <c r="L711">
        <v>40452.82</v>
      </c>
      <c r="N711" t="s">
        <v>59</v>
      </c>
      <c r="O711" t="s">
        <v>77</v>
      </c>
      <c r="Q711">
        <v>32</v>
      </c>
      <c r="R711" t="s">
        <v>31</v>
      </c>
      <c r="S711" t="s">
        <v>31</v>
      </c>
      <c r="T711">
        <v>0</v>
      </c>
      <c r="U711" t="s">
        <v>31</v>
      </c>
      <c r="V711">
        <v>0</v>
      </c>
    </row>
    <row r="712" spans="1:22" x14ac:dyDescent="0.25">
      <c r="A712" t="s">
        <v>808</v>
      </c>
      <c r="B712" t="s">
        <v>187</v>
      </c>
      <c r="C712" t="s">
        <v>188</v>
      </c>
      <c r="D712" t="s">
        <v>73</v>
      </c>
      <c r="E712" t="s">
        <v>40</v>
      </c>
      <c r="F712" t="s">
        <v>92</v>
      </c>
      <c r="G712" s="1">
        <v>45862</v>
      </c>
      <c r="H712" s="1">
        <v>45922</v>
      </c>
      <c r="I712">
        <v>60</v>
      </c>
      <c r="J712">
        <v>18157.560000000001</v>
      </c>
      <c r="K712">
        <v>18157.560000000001</v>
      </c>
      <c r="L712">
        <v>0</v>
      </c>
      <c r="M712" s="1">
        <v>45915</v>
      </c>
      <c r="N712" t="s">
        <v>28</v>
      </c>
      <c r="O712" t="s">
        <v>77</v>
      </c>
      <c r="P712">
        <v>53</v>
      </c>
      <c r="Q712">
        <v>7</v>
      </c>
      <c r="R712" t="s">
        <v>30</v>
      </c>
      <c r="S712" t="s">
        <v>31</v>
      </c>
      <c r="T712">
        <v>0</v>
      </c>
      <c r="U712" t="s">
        <v>31</v>
      </c>
      <c r="V712">
        <v>0</v>
      </c>
    </row>
    <row r="713" spans="1:22" x14ac:dyDescent="0.25">
      <c r="A713" t="s">
        <v>809</v>
      </c>
      <c r="B713" t="s">
        <v>85</v>
      </c>
      <c r="C713" t="s">
        <v>86</v>
      </c>
      <c r="D713" t="s">
        <v>25</v>
      </c>
      <c r="E713" t="s">
        <v>45</v>
      </c>
      <c r="F713" t="s">
        <v>92</v>
      </c>
      <c r="G713" s="1">
        <v>46094</v>
      </c>
      <c r="H713" s="1">
        <v>46154</v>
      </c>
      <c r="I713">
        <v>60</v>
      </c>
      <c r="J713">
        <v>2766</v>
      </c>
      <c r="K713">
        <v>0</v>
      </c>
      <c r="L713">
        <v>2766</v>
      </c>
      <c r="N713" t="s">
        <v>59</v>
      </c>
      <c r="O713" t="s">
        <v>36</v>
      </c>
      <c r="Q713">
        <v>-19</v>
      </c>
      <c r="R713" t="s">
        <v>31</v>
      </c>
      <c r="S713" t="s">
        <v>30</v>
      </c>
      <c r="T713">
        <v>0.01</v>
      </c>
      <c r="U713" t="s">
        <v>31</v>
      </c>
      <c r="V713">
        <v>0</v>
      </c>
    </row>
    <row r="714" spans="1:22" x14ac:dyDescent="0.25">
      <c r="A714" t="s">
        <v>810</v>
      </c>
      <c r="B714" t="s">
        <v>23</v>
      </c>
      <c r="C714" t="s">
        <v>24</v>
      </c>
      <c r="D714" t="s">
        <v>25</v>
      </c>
      <c r="E714" t="s">
        <v>40</v>
      </c>
      <c r="F714" t="s">
        <v>41</v>
      </c>
      <c r="G714" s="1">
        <v>46137</v>
      </c>
      <c r="H714" s="1">
        <v>46182</v>
      </c>
      <c r="I714">
        <v>45</v>
      </c>
      <c r="J714">
        <v>9309.75</v>
      </c>
      <c r="K714">
        <v>0</v>
      </c>
      <c r="L714">
        <v>9309.75</v>
      </c>
      <c r="N714" t="s">
        <v>93</v>
      </c>
      <c r="O714" t="s">
        <v>77</v>
      </c>
      <c r="S714" t="s">
        <v>31</v>
      </c>
      <c r="T714">
        <v>0</v>
      </c>
      <c r="U714" t="s">
        <v>31</v>
      </c>
      <c r="V714">
        <v>0</v>
      </c>
    </row>
    <row r="715" spans="1:22" x14ac:dyDescent="0.25">
      <c r="A715" t="s">
        <v>811</v>
      </c>
      <c r="B715" t="s">
        <v>75</v>
      </c>
      <c r="C715" t="s">
        <v>76</v>
      </c>
      <c r="D715" t="s">
        <v>35</v>
      </c>
      <c r="E715" t="s">
        <v>68</v>
      </c>
      <c r="F715" t="s">
        <v>64</v>
      </c>
      <c r="G715" s="1">
        <v>45706</v>
      </c>
      <c r="H715" s="1">
        <v>45751</v>
      </c>
      <c r="I715">
        <v>45</v>
      </c>
      <c r="J715">
        <v>46324.57</v>
      </c>
      <c r="K715">
        <v>46324.57</v>
      </c>
      <c r="L715">
        <v>0</v>
      </c>
      <c r="M715" s="1">
        <v>45748</v>
      </c>
      <c r="N715" t="s">
        <v>28</v>
      </c>
      <c r="O715" t="s">
        <v>69</v>
      </c>
      <c r="P715">
        <v>42</v>
      </c>
      <c r="Q715">
        <v>3</v>
      </c>
      <c r="R715" t="s">
        <v>30</v>
      </c>
      <c r="S715" t="s">
        <v>31</v>
      </c>
      <c r="T715">
        <v>0</v>
      </c>
      <c r="U715" t="s">
        <v>31</v>
      </c>
      <c r="V715">
        <v>0</v>
      </c>
    </row>
    <row r="716" spans="1:22" x14ac:dyDescent="0.25">
      <c r="A716" t="s">
        <v>812</v>
      </c>
      <c r="B716" t="s">
        <v>82</v>
      </c>
      <c r="C716" t="s">
        <v>83</v>
      </c>
      <c r="D716" t="s">
        <v>58</v>
      </c>
      <c r="E716" t="s">
        <v>45</v>
      </c>
      <c r="F716" t="s">
        <v>41</v>
      </c>
      <c r="G716" s="1">
        <v>45917</v>
      </c>
      <c r="H716" s="1">
        <v>46007</v>
      </c>
      <c r="I716">
        <v>90</v>
      </c>
      <c r="J716">
        <v>16151.93</v>
      </c>
      <c r="K716">
        <v>16151.93</v>
      </c>
      <c r="L716">
        <v>0</v>
      </c>
      <c r="M716" s="1">
        <v>46020</v>
      </c>
      <c r="N716" t="s">
        <v>28</v>
      </c>
      <c r="O716" t="s">
        <v>77</v>
      </c>
      <c r="P716">
        <v>103</v>
      </c>
      <c r="Q716">
        <v>-13</v>
      </c>
      <c r="R716" t="s">
        <v>31</v>
      </c>
      <c r="S716" t="s">
        <v>30</v>
      </c>
      <c r="T716">
        <v>5.0000000000000001E-3</v>
      </c>
      <c r="U716" t="s">
        <v>31</v>
      </c>
      <c r="V716">
        <v>0</v>
      </c>
    </row>
    <row r="717" spans="1:22" x14ac:dyDescent="0.25">
      <c r="A717" t="s">
        <v>813</v>
      </c>
      <c r="B717" t="s">
        <v>113</v>
      </c>
      <c r="C717" t="s">
        <v>114</v>
      </c>
      <c r="D717" t="s">
        <v>25</v>
      </c>
      <c r="E717" t="s">
        <v>40</v>
      </c>
      <c r="F717" t="s">
        <v>64</v>
      </c>
      <c r="G717" s="1">
        <v>45743</v>
      </c>
      <c r="H717" s="1">
        <v>45758</v>
      </c>
      <c r="I717">
        <v>15</v>
      </c>
      <c r="J717">
        <v>8908.7800000000007</v>
      </c>
      <c r="K717">
        <v>8908.7800000000007</v>
      </c>
      <c r="L717">
        <v>0</v>
      </c>
      <c r="M717" s="1">
        <v>45759</v>
      </c>
      <c r="N717" t="s">
        <v>28</v>
      </c>
      <c r="O717" t="s">
        <v>69</v>
      </c>
      <c r="P717">
        <v>16</v>
      </c>
      <c r="Q717">
        <v>-1</v>
      </c>
      <c r="R717" t="s">
        <v>31</v>
      </c>
      <c r="S717" t="s">
        <v>31</v>
      </c>
      <c r="T717">
        <v>0</v>
      </c>
      <c r="U717" t="s">
        <v>31</v>
      </c>
      <c r="V717">
        <v>0</v>
      </c>
    </row>
    <row r="718" spans="1:22" x14ac:dyDescent="0.25">
      <c r="A718" t="s">
        <v>814</v>
      </c>
      <c r="B718" t="s">
        <v>71</v>
      </c>
      <c r="C718" t="s">
        <v>72</v>
      </c>
      <c r="D718" t="s">
        <v>73</v>
      </c>
      <c r="E718" t="s">
        <v>45</v>
      </c>
      <c r="F718" t="s">
        <v>41</v>
      </c>
      <c r="G718" s="1">
        <v>45849</v>
      </c>
      <c r="H718" s="1">
        <v>45909</v>
      </c>
      <c r="I718">
        <v>60</v>
      </c>
      <c r="J718">
        <v>8965.26</v>
      </c>
      <c r="K718">
        <v>0</v>
      </c>
      <c r="L718">
        <v>8965.26</v>
      </c>
      <c r="N718" t="s">
        <v>59</v>
      </c>
      <c r="O718" t="s">
        <v>29</v>
      </c>
      <c r="Q718">
        <v>-264</v>
      </c>
      <c r="R718" t="s">
        <v>31</v>
      </c>
      <c r="S718" t="s">
        <v>30</v>
      </c>
      <c r="T718">
        <v>0.01</v>
      </c>
      <c r="U718" t="s">
        <v>31</v>
      </c>
      <c r="V718">
        <v>0</v>
      </c>
    </row>
    <row r="719" spans="1:22" x14ac:dyDescent="0.25">
      <c r="A719" t="s">
        <v>815</v>
      </c>
      <c r="B719" t="s">
        <v>131</v>
      </c>
      <c r="C719" t="s">
        <v>132</v>
      </c>
      <c r="D719" t="s">
        <v>49</v>
      </c>
      <c r="E719" t="s">
        <v>26</v>
      </c>
      <c r="F719" t="s">
        <v>41</v>
      </c>
      <c r="G719" s="1">
        <v>46062</v>
      </c>
      <c r="H719" s="1">
        <v>46077</v>
      </c>
      <c r="I719">
        <v>15</v>
      </c>
      <c r="J719">
        <v>7600.56</v>
      </c>
      <c r="K719">
        <v>7600.56</v>
      </c>
      <c r="L719">
        <v>0</v>
      </c>
      <c r="M719" s="1">
        <v>46072</v>
      </c>
      <c r="N719" t="s">
        <v>28</v>
      </c>
      <c r="O719" t="s">
        <v>77</v>
      </c>
      <c r="P719">
        <v>10</v>
      </c>
      <c r="Q719">
        <v>5</v>
      </c>
      <c r="R719" t="s">
        <v>30</v>
      </c>
      <c r="S719" t="s">
        <v>30</v>
      </c>
      <c r="T719">
        <v>0.02</v>
      </c>
      <c r="U719" t="s">
        <v>31</v>
      </c>
      <c r="V719">
        <v>0</v>
      </c>
    </row>
    <row r="720" spans="1:22" x14ac:dyDescent="0.25">
      <c r="A720" t="s">
        <v>816</v>
      </c>
      <c r="B720" t="s">
        <v>71</v>
      </c>
      <c r="C720" t="s">
        <v>72</v>
      </c>
      <c r="D720" t="s">
        <v>73</v>
      </c>
      <c r="E720" t="s">
        <v>63</v>
      </c>
      <c r="F720" t="s">
        <v>41</v>
      </c>
      <c r="G720" s="1">
        <v>46062</v>
      </c>
      <c r="H720" s="1">
        <v>46122</v>
      </c>
      <c r="I720">
        <v>60</v>
      </c>
      <c r="J720">
        <v>28553.14</v>
      </c>
      <c r="K720">
        <v>0</v>
      </c>
      <c r="L720">
        <v>28553.14</v>
      </c>
      <c r="N720" t="s">
        <v>93</v>
      </c>
      <c r="O720" t="s">
        <v>29</v>
      </c>
      <c r="S720" t="s">
        <v>30</v>
      </c>
      <c r="T720">
        <v>0.01</v>
      </c>
      <c r="U720" t="s">
        <v>31</v>
      </c>
      <c r="V720">
        <v>0</v>
      </c>
    </row>
    <row r="721" spans="1:22" x14ac:dyDescent="0.25">
      <c r="A721" t="s">
        <v>817</v>
      </c>
      <c r="B721" t="s">
        <v>95</v>
      </c>
      <c r="C721" t="s">
        <v>96</v>
      </c>
      <c r="D721" t="s">
        <v>49</v>
      </c>
      <c r="E721" t="s">
        <v>40</v>
      </c>
      <c r="F721" t="s">
        <v>27</v>
      </c>
      <c r="G721" s="1">
        <v>45806</v>
      </c>
      <c r="H721" s="1">
        <v>45896</v>
      </c>
      <c r="I721">
        <v>90</v>
      </c>
      <c r="J721">
        <v>33187.51</v>
      </c>
      <c r="K721">
        <v>33187.51</v>
      </c>
      <c r="L721">
        <v>0</v>
      </c>
      <c r="M721" s="1">
        <v>45881</v>
      </c>
      <c r="N721" t="s">
        <v>28</v>
      </c>
      <c r="O721" t="s">
        <v>36</v>
      </c>
      <c r="P721">
        <v>75</v>
      </c>
      <c r="Q721">
        <v>15</v>
      </c>
      <c r="R721" t="s">
        <v>30</v>
      </c>
      <c r="S721" t="s">
        <v>30</v>
      </c>
      <c r="T721">
        <v>5.0000000000000001E-3</v>
      </c>
      <c r="U721" t="s">
        <v>31</v>
      </c>
      <c r="V721">
        <v>0</v>
      </c>
    </row>
    <row r="722" spans="1:22" x14ac:dyDescent="0.25">
      <c r="A722" t="s">
        <v>818</v>
      </c>
      <c r="B722" t="s">
        <v>79</v>
      </c>
      <c r="C722" t="s">
        <v>80</v>
      </c>
      <c r="D722" t="s">
        <v>49</v>
      </c>
      <c r="E722" t="s">
        <v>40</v>
      </c>
      <c r="F722" t="s">
        <v>27</v>
      </c>
      <c r="G722" s="1">
        <v>45809</v>
      </c>
      <c r="H722" s="1">
        <v>45899</v>
      </c>
      <c r="I722">
        <v>90</v>
      </c>
      <c r="J722">
        <v>24751.48</v>
      </c>
      <c r="K722">
        <v>24751.48</v>
      </c>
      <c r="L722">
        <v>0</v>
      </c>
      <c r="M722" s="1">
        <v>45906</v>
      </c>
      <c r="N722" t="s">
        <v>28</v>
      </c>
      <c r="O722" t="s">
        <v>29</v>
      </c>
      <c r="P722">
        <v>97</v>
      </c>
      <c r="Q722">
        <v>-7</v>
      </c>
      <c r="R722" t="s">
        <v>31</v>
      </c>
      <c r="S722" t="s">
        <v>30</v>
      </c>
      <c r="T722">
        <v>5.0000000000000001E-3</v>
      </c>
      <c r="U722" t="s">
        <v>31</v>
      </c>
      <c r="V722">
        <v>0</v>
      </c>
    </row>
    <row r="723" spans="1:22" x14ac:dyDescent="0.25">
      <c r="A723" t="s">
        <v>819</v>
      </c>
      <c r="B723" t="s">
        <v>100</v>
      </c>
      <c r="C723" t="s">
        <v>101</v>
      </c>
      <c r="D723" t="s">
        <v>54</v>
      </c>
      <c r="E723" t="s">
        <v>45</v>
      </c>
      <c r="F723" t="s">
        <v>27</v>
      </c>
      <c r="G723" s="1">
        <v>45864</v>
      </c>
      <c r="H723" s="1">
        <v>45894</v>
      </c>
      <c r="I723">
        <v>30</v>
      </c>
      <c r="J723">
        <v>4775.0600000000004</v>
      </c>
      <c r="K723">
        <v>4775.0600000000004</v>
      </c>
      <c r="L723">
        <v>0</v>
      </c>
      <c r="M723" s="1">
        <v>45904</v>
      </c>
      <c r="N723" t="s">
        <v>28</v>
      </c>
      <c r="O723" t="s">
        <v>69</v>
      </c>
      <c r="P723">
        <v>40</v>
      </c>
      <c r="Q723">
        <v>-10</v>
      </c>
      <c r="R723" t="s">
        <v>31</v>
      </c>
      <c r="S723" t="s">
        <v>31</v>
      </c>
      <c r="T723">
        <v>0</v>
      </c>
      <c r="U723" t="s">
        <v>31</v>
      </c>
      <c r="V723">
        <v>0</v>
      </c>
    </row>
    <row r="724" spans="1:22" x14ac:dyDescent="0.25">
      <c r="A724" t="s">
        <v>820</v>
      </c>
      <c r="B724" t="s">
        <v>143</v>
      </c>
      <c r="C724" t="s">
        <v>144</v>
      </c>
      <c r="D724" t="s">
        <v>25</v>
      </c>
      <c r="E724" t="s">
        <v>26</v>
      </c>
      <c r="F724" t="s">
        <v>27</v>
      </c>
      <c r="G724" s="1">
        <v>46165</v>
      </c>
      <c r="H724" s="1">
        <v>46225</v>
      </c>
      <c r="I724">
        <v>60</v>
      </c>
      <c r="J724">
        <v>15004.49</v>
      </c>
      <c r="K724">
        <v>0</v>
      </c>
      <c r="L724">
        <v>15004.49</v>
      </c>
      <c r="N724" t="s">
        <v>93</v>
      </c>
      <c r="O724" t="s">
        <v>69</v>
      </c>
      <c r="S724" t="s">
        <v>30</v>
      </c>
      <c r="T724">
        <v>0.01</v>
      </c>
      <c r="U724" t="s">
        <v>31</v>
      </c>
      <c r="V724">
        <v>0</v>
      </c>
    </row>
    <row r="725" spans="1:22" x14ac:dyDescent="0.25">
      <c r="A725" t="s">
        <v>821</v>
      </c>
      <c r="B725" t="s">
        <v>100</v>
      </c>
      <c r="C725" t="s">
        <v>101</v>
      </c>
      <c r="D725" t="s">
        <v>54</v>
      </c>
      <c r="E725" t="s">
        <v>45</v>
      </c>
      <c r="F725" t="s">
        <v>41</v>
      </c>
      <c r="G725" s="1">
        <v>45720</v>
      </c>
      <c r="H725" s="1">
        <v>45750</v>
      </c>
      <c r="I725">
        <v>30</v>
      </c>
      <c r="J725">
        <v>8160.48</v>
      </c>
      <c r="K725">
        <v>8160.48</v>
      </c>
      <c r="L725">
        <v>0</v>
      </c>
      <c r="M725" s="1">
        <v>45765</v>
      </c>
      <c r="N725" t="s">
        <v>28</v>
      </c>
      <c r="O725" t="s">
        <v>69</v>
      </c>
      <c r="P725">
        <v>45</v>
      </c>
      <c r="Q725">
        <v>-15</v>
      </c>
      <c r="R725" t="s">
        <v>31</v>
      </c>
      <c r="S725" t="s">
        <v>30</v>
      </c>
      <c r="T725">
        <v>0.01</v>
      </c>
      <c r="U725" t="s">
        <v>31</v>
      </c>
      <c r="V725">
        <v>0</v>
      </c>
    </row>
    <row r="726" spans="1:22" x14ac:dyDescent="0.25">
      <c r="A726" t="s">
        <v>822</v>
      </c>
      <c r="B726" t="s">
        <v>38</v>
      </c>
      <c r="C726" t="s">
        <v>39</v>
      </c>
      <c r="D726" t="s">
        <v>35</v>
      </c>
      <c r="E726" t="s">
        <v>45</v>
      </c>
      <c r="F726" t="s">
        <v>27</v>
      </c>
      <c r="G726" s="1">
        <v>46117</v>
      </c>
      <c r="H726" s="1">
        <v>46177</v>
      </c>
      <c r="I726">
        <v>60</v>
      </c>
      <c r="J726">
        <v>57313.58</v>
      </c>
      <c r="K726">
        <v>0</v>
      </c>
      <c r="L726">
        <v>57313.58</v>
      </c>
      <c r="N726" t="s">
        <v>93</v>
      </c>
      <c r="O726" t="s">
        <v>69</v>
      </c>
      <c r="S726" t="s">
        <v>30</v>
      </c>
      <c r="T726">
        <v>0.01</v>
      </c>
      <c r="U726" t="s">
        <v>31</v>
      </c>
      <c r="V726">
        <v>0</v>
      </c>
    </row>
    <row r="727" spans="1:22" x14ac:dyDescent="0.25">
      <c r="A727" t="s">
        <v>823</v>
      </c>
      <c r="B727" t="s">
        <v>128</v>
      </c>
      <c r="C727" t="s">
        <v>129</v>
      </c>
      <c r="D727" t="s">
        <v>73</v>
      </c>
      <c r="E727" t="s">
        <v>45</v>
      </c>
      <c r="F727" t="s">
        <v>64</v>
      </c>
      <c r="G727" s="1">
        <v>46137</v>
      </c>
      <c r="H727" s="1">
        <v>46197</v>
      </c>
      <c r="I727">
        <v>60</v>
      </c>
      <c r="J727">
        <v>6328.23</v>
      </c>
      <c r="K727">
        <v>6328.23</v>
      </c>
      <c r="L727">
        <v>0</v>
      </c>
      <c r="M727" s="1">
        <v>46173</v>
      </c>
      <c r="N727" t="s">
        <v>28</v>
      </c>
      <c r="O727" t="s">
        <v>36</v>
      </c>
      <c r="P727">
        <v>36</v>
      </c>
      <c r="Q727">
        <v>24</v>
      </c>
      <c r="R727" t="s">
        <v>30</v>
      </c>
      <c r="S727" t="s">
        <v>30</v>
      </c>
      <c r="T727">
        <v>0.01</v>
      </c>
      <c r="U727" t="s">
        <v>31</v>
      </c>
      <c r="V727">
        <v>0</v>
      </c>
    </row>
    <row r="728" spans="1:22" x14ac:dyDescent="0.25">
      <c r="A728" t="s">
        <v>824</v>
      </c>
      <c r="B728" t="s">
        <v>56</v>
      </c>
      <c r="C728" t="s">
        <v>57</v>
      </c>
      <c r="D728" t="s">
        <v>58</v>
      </c>
      <c r="E728" t="s">
        <v>68</v>
      </c>
      <c r="F728" t="s">
        <v>41</v>
      </c>
      <c r="G728" s="1">
        <v>45947</v>
      </c>
      <c r="H728" s="1">
        <v>45977</v>
      </c>
      <c r="I728">
        <v>30</v>
      </c>
      <c r="J728">
        <v>28555.81</v>
      </c>
      <c r="K728">
        <v>28555.81</v>
      </c>
      <c r="L728">
        <v>0</v>
      </c>
      <c r="M728" s="1">
        <v>45979</v>
      </c>
      <c r="N728" t="s">
        <v>28</v>
      </c>
      <c r="O728" t="s">
        <v>36</v>
      </c>
      <c r="P728">
        <v>32</v>
      </c>
      <c r="Q728">
        <v>-2</v>
      </c>
      <c r="R728" t="s">
        <v>31</v>
      </c>
      <c r="S728" t="s">
        <v>30</v>
      </c>
      <c r="T728">
        <v>0.01</v>
      </c>
      <c r="U728" t="s">
        <v>31</v>
      </c>
      <c r="V728">
        <v>0</v>
      </c>
    </row>
    <row r="729" spans="1:22" x14ac:dyDescent="0.25">
      <c r="A729" t="s">
        <v>825</v>
      </c>
      <c r="B729" t="s">
        <v>100</v>
      </c>
      <c r="C729" t="s">
        <v>101</v>
      </c>
      <c r="D729" t="s">
        <v>54</v>
      </c>
      <c r="E729" t="s">
        <v>26</v>
      </c>
      <c r="F729" t="s">
        <v>41</v>
      </c>
      <c r="G729" s="1">
        <v>45898</v>
      </c>
      <c r="H729" s="1">
        <v>45943</v>
      </c>
      <c r="I729">
        <v>45</v>
      </c>
      <c r="J729">
        <v>3536.78</v>
      </c>
      <c r="K729">
        <v>3536.78</v>
      </c>
      <c r="L729">
        <v>0</v>
      </c>
      <c r="M729" s="1">
        <v>45947</v>
      </c>
      <c r="N729" t="s">
        <v>28</v>
      </c>
      <c r="O729" t="s">
        <v>69</v>
      </c>
      <c r="P729">
        <v>49</v>
      </c>
      <c r="Q729">
        <v>-4</v>
      </c>
      <c r="R729" t="s">
        <v>31</v>
      </c>
      <c r="S729" t="s">
        <v>30</v>
      </c>
      <c r="T729">
        <v>1.4999999999999999E-2</v>
      </c>
      <c r="U729" t="s">
        <v>31</v>
      </c>
      <c r="V729">
        <v>0</v>
      </c>
    </row>
    <row r="730" spans="1:22" x14ac:dyDescent="0.25">
      <c r="A730" t="s">
        <v>826</v>
      </c>
      <c r="B730" t="s">
        <v>131</v>
      </c>
      <c r="C730" t="s">
        <v>132</v>
      </c>
      <c r="D730" t="s">
        <v>49</v>
      </c>
      <c r="E730" t="s">
        <v>68</v>
      </c>
      <c r="F730" t="s">
        <v>64</v>
      </c>
      <c r="G730" s="1">
        <v>45723</v>
      </c>
      <c r="H730" s="1">
        <v>45738</v>
      </c>
      <c r="I730">
        <v>15</v>
      </c>
      <c r="J730">
        <v>18211.27</v>
      </c>
      <c r="K730">
        <v>18211.27</v>
      </c>
      <c r="L730">
        <v>0</v>
      </c>
      <c r="M730" s="1">
        <v>45730</v>
      </c>
      <c r="N730" t="s">
        <v>28</v>
      </c>
      <c r="O730" t="s">
        <v>36</v>
      </c>
      <c r="P730">
        <v>7</v>
      </c>
      <c r="Q730">
        <v>8</v>
      </c>
      <c r="R730" t="s">
        <v>30</v>
      </c>
      <c r="S730" t="s">
        <v>30</v>
      </c>
      <c r="T730">
        <v>0.02</v>
      </c>
      <c r="U730" t="s">
        <v>31</v>
      </c>
      <c r="V730">
        <v>0</v>
      </c>
    </row>
    <row r="731" spans="1:22" x14ac:dyDescent="0.25">
      <c r="A731" t="s">
        <v>827</v>
      </c>
      <c r="B731" t="s">
        <v>143</v>
      </c>
      <c r="C731" t="s">
        <v>144</v>
      </c>
      <c r="D731" t="s">
        <v>25</v>
      </c>
      <c r="E731" t="s">
        <v>68</v>
      </c>
      <c r="F731" t="s">
        <v>27</v>
      </c>
      <c r="G731" s="1">
        <v>45764</v>
      </c>
      <c r="H731" s="1">
        <v>45794</v>
      </c>
      <c r="I731">
        <v>30</v>
      </c>
      <c r="J731">
        <v>14421.69</v>
      </c>
      <c r="K731">
        <v>14421.69</v>
      </c>
      <c r="L731">
        <v>0</v>
      </c>
      <c r="M731" s="1">
        <v>45791</v>
      </c>
      <c r="N731" t="s">
        <v>28</v>
      </c>
      <c r="O731" t="s">
        <v>29</v>
      </c>
      <c r="P731">
        <v>27</v>
      </c>
      <c r="Q731">
        <v>3</v>
      </c>
      <c r="R731" t="s">
        <v>30</v>
      </c>
      <c r="S731" t="s">
        <v>31</v>
      </c>
      <c r="T731">
        <v>0</v>
      </c>
      <c r="U731" t="s">
        <v>31</v>
      </c>
      <c r="V731">
        <v>0</v>
      </c>
    </row>
    <row r="732" spans="1:22" x14ac:dyDescent="0.25">
      <c r="A732" t="s">
        <v>828</v>
      </c>
      <c r="B732" t="s">
        <v>113</v>
      </c>
      <c r="C732" t="s">
        <v>114</v>
      </c>
      <c r="D732" t="s">
        <v>25</v>
      </c>
      <c r="E732" t="s">
        <v>26</v>
      </c>
      <c r="F732" t="s">
        <v>27</v>
      </c>
      <c r="G732" s="1">
        <v>45765</v>
      </c>
      <c r="H732" s="1">
        <v>45780</v>
      </c>
      <c r="I732">
        <v>15</v>
      </c>
      <c r="J732">
        <v>4173.88</v>
      </c>
      <c r="K732">
        <v>4173.88</v>
      </c>
      <c r="L732">
        <v>0</v>
      </c>
      <c r="M732" s="1">
        <v>45772</v>
      </c>
      <c r="N732" t="s">
        <v>28</v>
      </c>
      <c r="O732" t="s">
        <v>77</v>
      </c>
      <c r="P732">
        <v>7</v>
      </c>
      <c r="Q732">
        <v>8</v>
      </c>
      <c r="R732" t="s">
        <v>30</v>
      </c>
      <c r="S732" t="s">
        <v>30</v>
      </c>
      <c r="T732">
        <v>0.02</v>
      </c>
      <c r="U732" t="s">
        <v>31</v>
      </c>
      <c r="V732">
        <v>0</v>
      </c>
    </row>
    <row r="733" spans="1:22" x14ac:dyDescent="0.25">
      <c r="A733" t="s">
        <v>829</v>
      </c>
      <c r="B733" t="s">
        <v>61</v>
      </c>
      <c r="C733" t="s">
        <v>62</v>
      </c>
      <c r="D733" t="s">
        <v>35</v>
      </c>
      <c r="E733" t="s">
        <v>45</v>
      </c>
      <c r="F733" t="s">
        <v>50</v>
      </c>
      <c r="G733" s="1">
        <v>45815</v>
      </c>
      <c r="H733" s="1">
        <v>45845</v>
      </c>
      <c r="I733">
        <v>30</v>
      </c>
      <c r="J733">
        <v>53531.97</v>
      </c>
      <c r="K733">
        <v>53531.97</v>
      </c>
      <c r="L733">
        <v>0</v>
      </c>
      <c r="M733" s="1">
        <v>45854</v>
      </c>
      <c r="N733" t="s">
        <v>28</v>
      </c>
      <c r="O733" t="s">
        <v>69</v>
      </c>
      <c r="P733">
        <v>39</v>
      </c>
      <c r="Q733">
        <v>-9</v>
      </c>
      <c r="R733" t="s">
        <v>31</v>
      </c>
      <c r="S733" t="s">
        <v>30</v>
      </c>
      <c r="T733">
        <v>0.01</v>
      </c>
      <c r="U733" t="s">
        <v>31</v>
      </c>
      <c r="V733">
        <v>0</v>
      </c>
    </row>
    <row r="734" spans="1:22" x14ac:dyDescent="0.25">
      <c r="A734" t="s">
        <v>830</v>
      </c>
      <c r="B734" t="s">
        <v>153</v>
      </c>
      <c r="C734" t="s">
        <v>154</v>
      </c>
      <c r="D734" t="s">
        <v>58</v>
      </c>
      <c r="E734" t="s">
        <v>45</v>
      </c>
      <c r="F734" t="s">
        <v>41</v>
      </c>
      <c r="G734" s="1">
        <v>46143</v>
      </c>
      <c r="H734" s="1">
        <v>46173</v>
      </c>
      <c r="I734">
        <v>30</v>
      </c>
      <c r="J734">
        <v>15628.84</v>
      </c>
      <c r="K734">
        <v>0</v>
      </c>
      <c r="L734">
        <v>15628.84</v>
      </c>
      <c r="N734" t="s">
        <v>93</v>
      </c>
      <c r="O734" t="s">
        <v>77</v>
      </c>
      <c r="S734" t="s">
        <v>30</v>
      </c>
      <c r="T734">
        <v>0.01</v>
      </c>
      <c r="U734" t="s">
        <v>31</v>
      </c>
      <c r="V734">
        <v>0</v>
      </c>
    </row>
    <row r="735" spans="1:22" x14ac:dyDescent="0.25">
      <c r="A735" t="s">
        <v>831</v>
      </c>
      <c r="B735" t="s">
        <v>85</v>
      </c>
      <c r="C735" t="s">
        <v>86</v>
      </c>
      <c r="D735" t="s">
        <v>25</v>
      </c>
      <c r="E735" t="s">
        <v>45</v>
      </c>
      <c r="F735" t="s">
        <v>92</v>
      </c>
      <c r="G735" s="1">
        <v>46089</v>
      </c>
      <c r="H735" s="1">
        <v>46119</v>
      </c>
      <c r="I735">
        <v>30</v>
      </c>
      <c r="J735">
        <v>15957.1</v>
      </c>
      <c r="K735">
        <v>15957.1</v>
      </c>
      <c r="L735">
        <v>0</v>
      </c>
      <c r="M735" s="1">
        <v>46134</v>
      </c>
      <c r="N735" t="s">
        <v>28</v>
      </c>
      <c r="O735" t="s">
        <v>36</v>
      </c>
      <c r="P735">
        <v>45</v>
      </c>
      <c r="Q735">
        <v>-15</v>
      </c>
      <c r="R735" t="s">
        <v>31</v>
      </c>
      <c r="S735" t="s">
        <v>30</v>
      </c>
      <c r="T735">
        <v>0.01</v>
      </c>
      <c r="U735" t="s">
        <v>31</v>
      </c>
      <c r="V735">
        <v>0</v>
      </c>
    </row>
    <row r="736" spans="1:22" x14ac:dyDescent="0.25">
      <c r="A736" t="s">
        <v>832</v>
      </c>
      <c r="B736" t="s">
        <v>82</v>
      </c>
      <c r="C736" t="s">
        <v>83</v>
      </c>
      <c r="D736" t="s">
        <v>58</v>
      </c>
      <c r="E736" t="s">
        <v>68</v>
      </c>
      <c r="F736" t="s">
        <v>27</v>
      </c>
      <c r="G736" s="1">
        <v>45668</v>
      </c>
      <c r="H736" s="1">
        <v>45698</v>
      </c>
      <c r="I736">
        <v>30</v>
      </c>
      <c r="J736">
        <v>29552.15</v>
      </c>
      <c r="K736">
        <v>29552.15</v>
      </c>
      <c r="L736">
        <v>0</v>
      </c>
      <c r="M736" s="1">
        <v>45687</v>
      </c>
      <c r="N736" t="s">
        <v>28</v>
      </c>
      <c r="O736" t="s">
        <v>69</v>
      </c>
      <c r="P736">
        <v>19</v>
      </c>
      <c r="Q736">
        <v>11</v>
      </c>
      <c r="R736" t="s">
        <v>30</v>
      </c>
      <c r="S736" t="s">
        <v>30</v>
      </c>
      <c r="T736">
        <v>0.01</v>
      </c>
      <c r="U736" t="s">
        <v>31</v>
      </c>
      <c r="V736">
        <v>0</v>
      </c>
    </row>
    <row r="737" spans="1:22" x14ac:dyDescent="0.25">
      <c r="A737" t="s">
        <v>833</v>
      </c>
      <c r="B737" t="s">
        <v>143</v>
      </c>
      <c r="C737" t="s">
        <v>144</v>
      </c>
      <c r="D737" t="s">
        <v>25</v>
      </c>
      <c r="E737" t="s">
        <v>68</v>
      </c>
      <c r="F737" t="s">
        <v>41</v>
      </c>
      <c r="G737" s="1">
        <v>45720</v>
      </c>
      <c r="H737" s="1">
        <v>45780</v>
      </c>
      <c r="I737">
        <v>60</v>
      </c>
      <c r="J737">
        <v>8472.06</v>
      </c>
      <c r="K737">
        <v>0</v>
      </c>
      <c r="L737">
        <v>8472.06</v>
      </c>
      <c r="N737" t="s">
        <v>59</v>
      </c>
      <c r="O737" t="s">
        <v>36</v>
      </c>
      <c r="Q737">
        <v>-393</v>
      </c>
      <c r="R737" t="s">
        <v>31</v>
      </c>
      <c r="S737" t="s">
        <v>30</v>
      </c>
      <c r="T737">
        <v>0.01</v>
      </c>
      <c r="U737" t="s">
        <v>31</v>
      </c>
      <c r="V737">
        <v>0</v>
      </c>
    </row>
    <row r="738" spans="1:22" x14ac:dyDescent="0.25">
      <c r="A738" t="s">
        <v>834</v>
      </c>
      <c r="B738" t="s">
        <v>75</v>
      </c>
      <c r="C738" t="s">
        <v>76</v>
      </c>
      <c r="D738" t="s">
        <v>35</v>
      </c>
      <c r="E738" t="s">
        <v>63</v>
      </c>
      <c r="F738" t="s">
        <v>27</v>
      </c>
      <c r="G738" s="1">
        <v>46069</v>
      </c>
      <c r="H738" s="1">
        <v>46129</v>
      </c>
      <c r="I738">
        <v>60</v>
      </c>
      <c r="J738">
        <v>71433.710000000006</v>
      </c>
      <c r="K738">
        <v>32634.32</v>
      </c>
      <c r="L738">
        <v>38799.39</v>
      </c>
      <c r="M738" s="1">
        <v>46135</v>
      </c>
      <c r="N738" t="s">
        <v>98</v>
      </c>
      <c r="O738" t="s">
        <v>29</v>
      </c>
      <c r="P738">
        <v>66</v>
      </c>
      <c r="Q738">
        <v>-6</v>
      </c>
      <c r="R738" t="s">
        <v>31</v>
      </c>
      <c r="S738" t="s">
        <v>31</v>
      </c>
      <c r="T738">
        <v>0</v>
      </c>
      <c r="U738" t="s">
        <v>31</v>
      </c>
      <c r="V738">
        <v>0</v>
      </c>
    </row>
    <row r="739" spans="1:22" x14ac:dyDescent="0.25">
      <c r="A739" t="s">
        <v>835</v>
      </c>
      <c r="B739" t="s">
        <v>95</v>
      </c>
      <c r="C739" t="s">
        <v>96</v>
      </c>
      <c r="D739" t="s">
        <v>49</v>
      </c>
      <c r="E739" t="s">
        <v>68</v>
      </c>
      <c r="F739" t="s">
        <v>50</v>
      </c>
      <c r="G739" s="1">
        <v>46114</v>
      </c>
      <c r="H739" s="1">
        <v>46174</v>
      </c>
      <c r="I739">
        <v>60</v>
      </c>
      <c r="J739">
        <v>32906.21</v>
      </c>
      <c r="K739">
        <v>32906.21</v>
      </c>
      <c r="L739">
        <v>0</v>
      </c>
      <c r="M739" s="1">
        <v>46168</v>
      </c>
      <c r="N739" t="s">
        <v>28</v>
      </c>
      <c r="O739" t="s">
        <v>36</v>
      </c>
      <c r="P739">
        <v>54</v>
      </c>
      <c r="Q739">
        <v>6</v>
      </c>
      <c r="R739" t="s">
        <v>30</v>
      </c>
      <c r="S739" t="s">
        <v>31</v>
      </c>
      <c r="T739">
        <v>0</v>
      </c>
      <c r="U739" t="s">
        <v>31</v>
      </c>
      <c r="V739">
        <v>0</v>
      </c>
    </row>
    <row r="740" spans="1:22" x14ac:dyDescent="0.25">
      <c r="A740" t="s">
        <v>836</v>
      </c>
      <c r="B740" t="s">
        <v>23</v>
      </c>
      <c r="C740" t="s">
        <v>24</v>
      </c>
      <c r="D740" t="s">
        <v>25</v>
      </c>
      <c r="E740" t="s">
        <v>45</v>
      </c>
      <c r="F740" t="s">
        <v>64</v>
      </c>
      <c r="G740" s="1">
        <v>45695</v>
      </c>
      <c r="H740" s="1">
        <v>45725</v>
      </c>
      <c r="I740">
        <v>30</v>
      </c>
      <c r="J740">
        <v>11211.24</v>
      </c>
      <c r="K740">
        <v>11211.24</v>
      </c>
      <c r="L740">
        <v>0</v>
      </c>
      <c r="M740" s="1">
        <v>45727</v>
      </c>
      <c r="N740" t="s">
        <v>28</v>
      </c>
      <c r="O740" t="s">
        <v>29</v>
      </c>
      <c r="P740">
        <v>32</v>
      </c>
      <c r="Q740">
        <v>-2</v>
      </c>
      <c r="R740" t="s">
        <v>31</v>
      </c>
      <c r="S740" t="s">
        <v>30</v>
      </c>
      <c r="T740">
        <v>0.01</v>
      </c>
      <c r="U740" t="s">
        <v>31</v>
      </c>
      <c r="V740">
        <v>0</v>
      </c>
    </row>
    <row r="741" spans="1:22" x14ac:dyDescent="0.25">
      <c r="A741" t="s">
        <v>837</v>
      </c>
      <c r="B741" t="s">
        <v>75</v>
      </c>
      <c r="C741" t="s">
        <v>76</v>
      </c>
      <c r="D741" t="s">
        <v>35</v>
      </c>
      <c r="E741" t="s">
        <v>63</v>
      </c>
      <c r="F741" t="s">
        <v>50</v>
      </c>
      <c r="G741" s="1">
        <v>45753</v>
      </c>
      <c r="H741" s="1">
        <v>45783</v>
      </c>
      <c r="I741">
        <v>30</v>
      </c>
      <c r="J741">
        <v>43375.37</v>
      </c>
      <c r="K741">
        <v>43375.37</v>
      </c>
      <c r="L741">
        <v>0</v>
      </c>
      <c r="M741" s="1">
        <v>45782</v>
      </c>
      <c r="N741" t="s">
        <v>28</v>
      </c>
      <c r="O741" t="s">
        <v>29</v>
      </c>
      <c r="P741">
        <v>29</v>
      </c>
      <c r="Q741">
        <v>1</v>
      </c>
      <c r="R741" t="s">
        <v>30</v>
      </c>
      <c r="S741" t="s">
        <v>30</v>
      </c>
      <c r="T741">
        <v>0.01</v>
      </c>
      <c r="U741" t="s">
        <v>31</v>
      </c>
      <c r="V741">
        <v>0</v>
      </c>
    </row>
    <row r="742" spans="1:22" x14ac:dyDescent="0.25">
      <c r="A742" t="s">
        <v>838</v>
      </c>
      <c r="B742" t="s">
        <v>79</v>
      </c>
      <c r="C742" t="s">
        <v>80</v>
      </c>
      <c r="D742" t="s">
        <v>49</v>
      </c>
      <c r="E742" t="s">
        <v>63</v>
      </c>
      <c r="F742" t="s">
        <v>92</v>
      </c>
      <c r="G742" s="1">
        <v>46090</v>
      </c>
      <c r="H742" s="1">
        <v>46135</v>
      </c>
      <c r="I742">
        <v>45</v>
      </c>
      <c r="J742">
        <v>49373.83</v>
      </c>
      <c r="K742">
        <v>0</v>
      </c>
      <c r="L742">
        <v>49373.83</v>
      </c>
      <c r="N742" t="s">
        <v>93</v>
      </c>
      <c r="O742" t="s">
        <v>36</v>
      </c>
      <c r="S742" t="s">
        <v>30</v>
      </c>
      <c r="T742">
        <v>1.4999999999999999E-2</v>
      </c>
      <c r="U742" t="s">
        <v>31</v>
      </c>
      <c r="V742">
        <v>0</v>
      </c>
    </row>
    <row r="743" spans="1:22" x14ac:dyDescent="0.25">
      <c r="A743" t="s">
        <v>839</v>
      </c>
      <c r="B743" t="s">
        <v>23</v>
      </c>
      <c r="C743" t="s">
        <v>24</v>
      </c>
      <c r="D743" t="s">
        <v>25</v>
      </c>
      <c r="E743" t="s">
        <v>63</v>
      </c>
      <c r="F743" t="s">
        <v>92</v>
      </c>
      <c r="G743" s="1">
        <v>45785</v>
      </c>
      <c r="H743" s="1">
        <v>45800</v>
      </c>
      <c r="I743">
        <v>15</v>
      </c>
      <c r="J743">
        <v>9526</v>
      </c>
      <c r="K743">
        <v>9526</v>
      </c>
      <c r="L743">
        <v>0</v>
      </c>
      <c r="M743" s="1">
        <v>45799</v>
      </c>
      <c r="N743" t="s">
        <v>28</v>
      </c>
      <c r="O743" t="s">
        <v>77</v>
      </c>
      <c r="P743">
        <v>14</v>
      </c>
      <c r="Q743">
        <v>1</v>
      </c>
      <c r="R743" t="s">
        <v>30</v>
      </c>
      <c r="S743" t="s">
        <v>30</v>
      </c>
      <c r="T743">
        <v>0.02</v>
      </c>
      <c r="U743" t="s">
        <v>31</v>
      </c>
      <c r="V743">
        <v>0</v>
      </c>
    </row>
    <row r="744" spans="1:22" x14ac:dyDescent="0.25">
      <c r="A744" t="s">
        <v>840</v>
      </c>
      <c r="B744" t="s">
        <v>143</v>
      </c>
      <c r="C744" t="s">
        <v>144</v>
      </c>
      <c r="D744" t="s">
        <v>25</v>
      </c>
      <c r="E744" t="s">
        <v>40</v>
      </c>
      <c r="F744" t="s">
        <v>50</v>
      </c>
      <c r="G744" s="1">
        <v>45964</v>
      </c>
      <c r="H744" s="1">
        <v>46024</v>
      </c>
      <c r="I744">
        <v>60</v>
      </c>
      <c r="J744">
        <v>6406.17</v>
      </c>
      <c r="K744">
        <v>6406.17</v>
      </c>
      <c r="L744">
        <v>0</v>
      </c>
      <c r="M744" s="1">
        <v>46019</v>
      </c>
      <c r="N744" t="s">
        <v>28</v>
      </c>
      <c r="O744" t="s">
        <v>36</v>
      </c>
      <c r="P744">
        <v>55</v>
      </c>
      <c r="Q744">
        <v>5</v>
      </c>
      <c r="R744" t="s">
        <v>30</v>
      </c>
      <c r="S744" t="s">
        <v>31</v>
      </c>
      <c r="T744">
        <v>0</v>
      </c>
      <c r="U744" t="s">
        <v>31</v>
      </c>
      <c r="V744">
        <v>0</v>
      </c>
    </row>
    <row r="745" spans="1:22" x14ac:dyDescent="0.25">
      <c r="A745" t="s">
        <v>841</v>
      </c>
      <c r="B745" t="s">
        <v>82</v>
      </c>
      <c r="C745" t="s">
        <v>83</v>
      </c>
      <c r="D745" t="s">
        <v>58</v>
      </c>
      <c r="E745" t="s">
        <v>40</v>
      </c>
      <c r="F745" t="s">
        <v>27</v>
      </c>
      <c r="G745" s="1">
        <v>46027</v>
      </c>
      <c r="H745" s="1">
        <v>46057</v>
      </c>
      <c r="I745">
        <v>30</v>
      </c>
      <c r="J745">
        <v>19809.45</v>
      </c>
      <c r="K745">
        <v>19809.45</v>
      </c>
      <c r="L745">
        <v>0</v>
      </c>
      <c r="M745" s="1">
        <v>46046</v>
      </c>
      <c r="N745" t="s">
        <v>28</v>
      </c>
      <c r="O745" t="s">
        <v>29</v>
      </c>
      <c r="P745">
        <v>19</v>
      </c>
      <c r="Q745">
        <v>11</v>
      </c>
      <c r="R745" t="s">
        <v>30</v>
      </c>
      <c r="S745" t="s">
        <v>30</v>
      </c>
      <c r="T745">
        <v>0.01</v>
      </c>
      <c r="U745" t="s">
        <v>31</v>
      </c>
      <c r="V745">
        <v>0</v>
      </c>
    </row>
    <row r="746" spans="1:22" x14ac:dyDescent="0.25">
      <c r="A746" t="s">
        <v>842</v>
      </c>
      <c r="B746" t="s">
        <v>38</v>
      </c>
      <c r="C746" t="s">
        <v>39</v>
      </c>
      <c r="D746" t="s">
        <v>35</v>
      </c>
      <c r="E746" t="s">
        <v>26</v>
      </c>
      <c r="F746" t="s">
        <v>27</v>
      </c>
      <c r="G746" s="1">
        <v>45791</v>
      </c>
      <c r="H746" s="1">
        <v>45851</v>
      </c>
      <c r="I746">
        <v>60</v>
      </c>
      <c r="J746">
        <v>40718.980000000003</v>
      </c>
      <c r="K746">
        <v>40718.980000000003</v>
      </c>
      <c r="L746">
        <v>0</v>
      </c>
      <c r="M746" s="1">
        <v>45841</v>
      </c>
      <c r="N746" t="s">
        <v>28</v>
      </c>
      <c r="O746" t="s">
        <v>77</v>
      </c>
      <c r="P746">
        <v>50</v>
      </c>
      <c r="Q746">
        <v>10</v>
      </c>
      <c r="R746" t="s">
        <v>30</v>
      </c>
      <c r="S746" t="s">
        <v>30</v>
      </c>
      <c r="T746">
        <v>0.01</v>
      </c>
      <c r="U746" t="s">
        <v>31</v>
      </c>
      <c r="V746">
        <v>0</v>
      </c>
    </row>
    <row r="747" spans="1:22" x14ac:dyDescent="0.25">
      <c r="A747" t="s">
        <v>843</v>
      </c>
      <c r="B747" t="s">
        <v>82</v>
      </c>
      <c r="C747" t="s">
        <v>83</v>
      </c>
      <c r="D747" t="s">
        <v>58</v>
      </c>
      <c r="E747" t="s">
        <v>45</v>
      </c>
      <c r="F747" t="s">
        <v>92</v>
      </c>
      <c r="G747" s="1">
        <v>46108</v>
      </c>
      <c r="H747" s="1">
        <v>46168</v>
      </c>
      <c r="I747">
        <v>60</v>
      </c>
      <c r="J747">
        <v>28493.66</v>
      </c>
      <c r="K747">
        <v>28493.66</v>
      </c>
      <c r="L747">
        <v>0</v>
      </c>
      <c r="M747" s="1">
        <v>46167</v>
      </c>
      <c r="N747" t="s">
        <v>28</v>
      </c>
      <c r="O747" t="s">
        <v>69</v>
      </c>
      <c r="P747">
        <v>59</v>
      </c>
      <c r="Q747">
        <v>1</v>
      </c>
      <c r="R747" t="s">
        <v>30</v>
      </c>
      <c r="S747" t="s">
        <v>31</v>
      </c>
      <c r="T747">
        <v>0</v>
      </c>
      <c r="U747" t="s">
        <v>31</v>
      </c>
      <c r="V747">
        <v>0</v>
      </c>
    </row>
    <row r="748" spans="1:22" x14ac:dyDescent="0.25">
      <c r="A748" t="s">
        <v>844</v>
      </c>
      <c r="B748" t="s">
        <v>120</v>
      </c>
      <c r="C748" t="s">
        <v>121</v>
      </c>
      <c r="D748" t="s">
        <v>54</v>
      </c>
      <c r="E748" t="s">
        <v>40</v>
      </c>
      <c r="F748" t="s">
        <v>50</v>
      </c>
      <c r="G748" s="1">
        <v>46126</v>
      </c>
      <c r="H748" s="1">
        <v>46216</v>
      </c>
      <c r="I748">
        <v>90</v>
      </c>
      <c r="J748">
        <v>2376.09</v>
      </c>
      <c r="K748">
        <v>0</v>
      </c>
      <c r="L748">
        <v>2376.09</v>
      </c>
      <c r="N748" t="s">
        <v>93</v>
      </c>
      <c r="O748" t="s">
        <v>36</v>
      </c>
      <c r="S748" t="s">
        <v>31</v>
      </c>
      <c r="T748">
        <v>0</v>
      </c>
      <c r="U748" t="s">
        <v>31</v>
      </c>
      <c r="V748">
        <v>0</v>
      </c>
    </row>
    <row r="749" spans="1:22" x14ac:dyDescent="0.25">
      <c r="A749" t="s">
        <v>845</v>
      </c>
      <c r="B749" t="s">
        <v>153</v>
      </c>
      <c r="C749" t="s">
        <v>154</v>
      </c>
      <c r="D749" t="s">
        <v>58</v>
      </c>
      <c r="E749" t="s">
        <v>45</v>
      </c>
      <c r="F749" t="s">
        <v>41</v>
      </c>
      <c r="G749" s="1">
        <v>46036</v>
      </c>
      <c r="H749" s="1">
        <v>46066</v>
      </c>
      <c r="I749">
        <v>30</v>
      </c>
      <c r="J749">
        <v>37102.800000000003</v>
      </c>
      <c r="K749">
        <v>13177.73</v>
      </c>
      <c r="L749">
        <v>23925.07</v>
      </c>
      <c r="M749" s="1">
        <v>46072</v>
      </c>
      <c r="N749" t="s">
        <v>98</v>
      </c>
      <c r="O749" t="s">
        <v>77</v>
      </c>
      <c r="P749">
        <v>36</v>
      </c>
      <c r="Q749">
        <v>-6</v>
      </c>
      <c r="R749" t="s">
        <v>31</v>
      </c>
      <c r="S749" t="s">
        <v>30</v>
      </c>
      <c r="T749">
        <v>0.01</v>
      </c>
      <c r="U749" t="s">
        <v>31</v>
      </c>
      <c r="V749">
        <v>0</v>
      </c>
    </row>
    <row r="750" spans="1:22" x14ac:dyDescent="0.25">
      <c r="A750" t="s">
        <v>846</v>
      </c>
      <c r="B750" t="s">
        <v>66</v>
      </c>
      <c r="C750" t="s">
        <v>67</v>
      </c>
      <c r="D750" t="s">
        <v>35</v>
      </c>
      <c r="E750" t="s">
        <v>68</v>
      </c>
      <c r="F750" t="s">
        <v>27</v>
      </c>
      <c r="G750" s="1">
        <v>46038</v>
      </c>
      <c r="H750" s="1">
        <v>46068</v>
      </c>
      <c r="I750">
        <v>30</v>
      </c>
      <c r="J750">
        <v>27869.34</v>
      </c>
      <c r="K750">
        <v>27869.34</v>
      </c>
      <c r="L750">
        <v>0</v>
      </c>
      <c r="M750" s="1">
        <v>46072</v>
      </c>
      <c r="N750" t="s">
        <v>28</v>
      </c>
      <c r="O750" t="s">
        <v>36</v>
      </c>
      <c r="P750">
        <v>34</v>
      </c>
      <c r="Q750">
        <v>-4</v>
      </c>
      <c r="R750" t="s">
        <v>31</v>
      </c>
      <c r="S750" t="s">
        <v>30</v>
      </c>
      <c r="T750">
        <v>0.01</v>
      </c>
      <c r="U750" t="s">
        <v>31</v>
      </c>
      <c r="V750">
        <v>0</v>
      </c>
    </row>
    <row r="751" spans="1:22" x14ac:dyDescent="0.25">
      <c r="A751" t="s">
        <v>847</v>
      </c>
      <c r="B751" t="s">
        <v>66</v>
      </c>
      <c r="C751" t="s">
        <v>67</v>
      </c>
      <c r="D751" t="s">
        <v>35</v>
      </c>
      <c r="E751" t="s">
        <v>45</v>
      </c>
      <c r="F751" t="s">
        <v>27</v>
      </c>
      <c r="G751" s="1">
        <v>45878</v>
      </c>
      <c r="H751" s="1">
        <v>45923</v>
      </c>
      <c r="I751">
        <v>45</v>
      </c>
      <c r="J751">
        <v>18730.78</v>
      </c>
      <c r="K751">
        <v>18730.78</v>
      </c>
      <c r="L751">
        <v>0</v>
      </c>
      <c r="M751" s="1">
        <v>45923</v>
      </c>
      <c r="N751" t="s">
        <v>28</v>
      </c>
      <c r="O751" t="s">
        <v>29</v>
      </c>
      <c r="P751">
        <v>45</v>
      </c>
      <c r="Q751">
        <v>0</v>
      </c>
      <c r="R751" t="s">
        <v>30</v>
      </c>
      <c r="S751" t="s">
        <v>31</v>
      </c>
      <c r="T751">
        <v>0</v>
      </c>
      <c r="U751" t="s">
        <v>31</v>
      </c>
      <c r="V75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Rengifo</dc:creator>
  <cp:lastModifiedBy>Carlos Rengifo</cp:lastModifiedBy>
  <dcterms:created xsi:type="dcterms:W3CDTF">2026-06-08T04:29:18Z</dcterms:created>
  <dcterms:modified xsi:type="dcterms:W3CDTF">2026-06-08T04:33:48Z</dcterms:modified>
</cp:coreProperties>
</file>